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Table!$A$2:$U$1549</definedName>
  </definedNames>
  <calcPr calcId="145621"/>
</workbook>
</file>

<file path=xl/calcChain.xml><?xml version="1.0" encoding="utf-8"?>
<calcChain xmlns="http://schemas.openxmlformats.org/spreadsheetml/2006/main">
  <c r="B891" i="1" l="1"/>
  <c r="C891" i="1"/>
  <c r="D891" i="1"/>
  <c r="E891" i="1"/>
  <c r="F891" i="1"/>
  <c r="G891" i="1"/>
  <c r="H891" i="1"/>
  <c r="I891" i="1"/>
  <c r="J891" i="1"/>
  <c r="K891" i="1"/>
  <c r="L891" i="1"/>
  <c r="M891" i="1"/>
  <c r="N891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3" i="1"/>
  <c r="O803" i="1"/>
  <c r="O683" i="1"/>
  <c r="O52" i="1"/>
  <c r="O682" i="1"/>
  <c r="O582" i="1"/>
  <c r="O804" i="1"/>
  <c r="O802" i="1"/>
  <c r="O805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667" i="1" l="1"/>
  <c r="B803" i="1"/>
  <c r="B582" i="1"/>
  <c r="B804" i="1"/>
  <c r="B802" i="1"/>
  <c r="B805" i="1"/>
  <c r="B791" i="1"/>
  <c r="B206" i="1"/>
  <c r="B555" i="1"/>
  <c r="B17" i="1"/>
  <c r="B320" i="1"/>
  <c r="B321" i="1"/>
  <c r="B316" i="1"/>
  <c r="B201" i="1"/>
  <c r="B203" i="1"/>
  <c r="B202" i="1"/>
  <c r="B200" i="1"/>
  <c r="B199" i="1"/>
  <c r="B650" i="1"/>
  <c r="B734" i="1"/>
  <c r="B27" i="1"/>
  <c r="B871" i="1"/>
  <c r="B281" i="1"/>
  <c r="B478" i="1"/>
  <c r="B956" i="1"/>
  <c r="B1409" i="1"/>
  <c r="B40" i="1"/>
  <c r="B955" i="1"/>
  <c r="B28" i="1"/>
  <c r="B169" i="1"/>
  <c r="B282" i="1"/>
  <c r="B479" i="1"/>
  <c r="B957" i="1"/>
  <c r="B1451" i="1"/>
  <c r="B1493" i="1"/>
  <c r="B381" i="1"/>
  <c r="B1279" i="1"/>
  <c r="B870" i="1"/>
  <c r="B762" i="1"/>
  <c r="B1214" i="1"/>
  <c r="B954" i="1"/>
  <c r="B763" i="1"/>
  <c r="B1495" i="1"/>
  <c r="B277" i="1"/>
  <c r="B550" i="1"/>
  <c r="B1289" i="1"/>
  <c r="B280" i="1"/>
  <c r="B380" i="1"/>
  <c r="B953" i="1"/>
  <c r="B1288" i="1"/>
  <c r="B26" i="1"/>
  <c r="B1002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03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872" i="1"/>
  <c r="B265" i="1"/>
  <c r="B269" i="1"/>
  <c r="B273" i="1"/>
  <c r="B276" i="1"/>
  <c r="B284" i="1"/>
  <c r="B288" i="1"/>
  <c r="B292" i="1"/>
  <c r="B296" i="1"/>
  <c r="B300" i="1"/>
  <c r="B304" i="1"/>
  <c r="B308" i="1"/>
  <c r="B312" i="1"/>
  <c r="B317" i="1"/>
  <c r="B323" i="1"/>
  <c r="B327" i="1"/>
  <c r="B333" i="1"/>
  <c r="B337" i="1"/>
  <c r="B341" i="1"/>
  <c r="B350" i="1"/>
  <c r="B354" i="1"/>
  <c r="B358" i="1"/>
  <c r="B362" i="1"/>
  <c r="B366" i="1"/>
  <c r="B370" i="1"/>
  <c r="B374" i="1"/>
  <c r="B378" i="1"/>
  <c r="B384" i="1"/>
  <c r="B388" i="1"/>
  <c r="B392" i="1"/>
  <c r="B396" i="1"/>
  <c r="B401" i="1"/>
  <c r="B405" i="1"/>
  <c r="B411" i="1"/>
  <c r="B415" i="1"/>
  <c r="B419" i="1"/>
  <c r="B423" i="1"/>
  <c r="B427" i="1"/>
  <c r="B431" i="1"/>
  <c r="B461" i="1"/>
  <c r="B435" i="1"/>
  <c r="B439" i="1"/>
  <c r="B445" i="1"/>
  <c r="B451" i="1"/>
  <c r="B455" i="1"/>
  <c r="B458" i="1"/>
  <c r="B465" i="1"/>
  <c r="B469" i="1"/>
  <c r="B687" i="1"/>
  <c r="B476" i="1"/>
  <c r="B482" i="1"/>
  <c r="B485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4" i="1"/>
  <c r="B548" i="1"/>
  <c r="B553" i="1"/>
  <c r="B559" i="1"/>
  <c r="B563" i="1"/>
  <c r="B567" i="1"/>
  <c r="B571" i="1"/>
  <c r="B575" i="1"/>
  <c r="B579" i="1"/>
  <c r="B584" i="1"/>
  <c r="B588" i="1"/>
  <c r="B592" i="1"/>
  <c r="B596" i="1"/>
  <c r="B600" i="1"/>
  <c r="B604" i="1"/>
  <c r="B608" i="1"/>
  <c r="B612" i="1"/>
  <c r="B616" i="1"/>
  <c r="B620" i="1"/>
  <c r="B623" i="1"/>
  <c r="B627" i="1"/>
  <c r="B631" i="1"/>
  <c r="B635" i="1"/>
  <c r="B639" i="1"/>
  <c r="B640" i="1"/>
  <c r="B641" i="1"/>
  <c r="B642" i="1"/>
  <c r="B643" i="1"/>
  <c r="B644" i="1"/>
  <c r="B645" i="1"/>
  <c r="B646" i="1"/>
  <c r="B647" i="1"/>
  <c r="B648" i="1"/>
  <c r="B649" i="1"/>
  <c r="B651" i="1"/>
  <c r="B652" i="1"/>
  <c r="B653" i="1"/>
  <c r="B406" i="1"/>
  <c r="B654" i="1"/>
  <c r="B655" i="1"/>
  <c r="B656" i="1"/>
  <c r="B657" i="1"/>
  <c r="B658" i="1"/>
  <c r="B659" i="1"/>
  <c r="B660" i="1"/>
  <c r="B661" i="1"/>
  <c r="B663" i="1"/>
  <c r="B665" i="1"/>
  <c r="B662" i="1"/>
  <c r="B664" i="1"/>
  <c r="B666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408" i="1"/>
  <c r="B688" i="1"/>
  <c r="B689" i="1"/>
  <c r="B690" i="1"/>
  <c r="B691" i="1"/>
  <c r="B692" i="1"/>
  <c r="B693" i="1"/>
  <c r="B694" i="1"/>
  <c r="B695" i="1"/>
  <c r="B696" i="1"/>
  <c r="B698" i="1"/>
  <c r="B699" i="1"/>
  <c r="B697" i="1"/>
  <c r="B700" i="1"/>
  <c r="B701" i="1"/>
  <c r="B702" i="1"/>
  <c r="B703" i="1"/>
  <c r="B704" i="1"/>
  <c r="B705" i="1"/>
  <c r="B707" i="1"/>
  <c r="B708" i="1"/>
  <c r="B706" i="1"/>
  <c r="B710" i="1"/>
  <c r="B709" i="1"/>
  <c r="B711" i="1"/>
  <c r="B712" i="1"/>
  <c r="B713" i="1"/>
  <c r="B714" i="1"/>
  <c r="B715" i="1"/>
  <c r="B716" i="1"/>
  <c r="B717" i="1"/>
  <c r="B718" i="1"/>
  <c r="B719" i="1"/>
  <c r="B130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8" i="1"/>
  <c r="B769" i="1"/>
  <c r="B770" i="1"/>
  <c r="B771" i="1"/>
  <c r="B775" i="1"/>
  <c r="B764" i="1"/>
  <c r="B765" i="1"/>
  <c r="B766" i="1"/>
  <c r="B767" i="1"/>
  <c r="B772" i="1"/>
  <c r="B773" i="1"/>
  <c r="B774" i="1"/>
  <c r="B776" i="1"/>
  <c r="B777" i="1"/>
  <c r="B778" i="1"/>
  <c r="B779" i="1"/>
  <c r="B780" i="1"/>
  <c r="B554" i="1"/>
  <c r="B1330" i="1"/>
  <c r="B781" i="1"/>
  <c r="B782" i="1"/>
  <c r="B783" i="1"/>
  <c r="B784" i="1"/>
  <c r="B785" i="1"/>
  <c r="B786" i="1"/>
  <c r="B787" i="1"/>
  <c r="B788" i="1"/>
  <c r="B789" i="1"/>
  <c r="B902" i="1"/>
  <c r="B904" i="1"/>
  <c r="B905" i="1"/>
  <c r="B907" i="1"/>
  <c r="B908" i="1"/>
  <c r="B906" i="1"/>
  <c r="B790" i="1"/>
  <c r="B792" i="1"/>
  <c r="B793" i="1"/>
  <c r="B795" i="1"/>
  <c r="B796" i="1"/>
  <c r="B797" i="1"/>
  <c r="B798" i="1"/>
  <c r="B799" i="1"/>
  <c r="B800" i="1"/>
  <c r="B801" i="1"/>
  <c r="B806" i="1"/>
  <c r="B807" i="1"/>
  <c r="B808" i="1"/>
  <c r="B809" i="1"/>
  <c r="B810" i="1"/>
  <c r="B811" i="1"/>
  <c r="B812" i="1"/>
  <c r="B5" i="1"/>
  <c r="B449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7" i="1"/>
  <c r="B865" i="1"/>
  <c r="B866" i="1"/>
  <c r="B868" i="1"/>
  <c r="B869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2" i="1"/>
  <c r="B893" i="1"/>
  <c r="B894" i="1"/>
  <c r="B895" i="1"/>
  <c r="B896" i="1"/>
  <c r="B897" i="1"/>
  <c r="B898" i="1"/>
  <c r="B899" i="1"/>
  <c r="B900" i="1"/>
  <c r="B901" i="1"/>
  <c r="B909" i="1"/>
  <c r="B912" i="1"/>
  <c r="B913" i="1"/>
  <c r="B159" i="1"/>
  <c r="B914" i="1"/>
  <c r="B915" i="1"/>
  <c r="B916" i="1"/>
  <c r="B917" i="1"/>
  <c r="B918" i="1"/>
  <c r="B919" i="1"/>
  <c r="B920" i="1"/>
  <c r="B921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4" i="1"/>
  <c r="B268" i="1"/>
  <c r="B272" i="1"/>
  <c r="B275" i="1"/>
  <c r="B283" i="1"/>
  <c r="B287" i="1"/>
  <c r="B291" i="1"/>
  <c r="B295" i="1"/>
  <c r="B299" i="1"/>
  <c r="B303" i="1"/>
  <c r="B307" i="1"/>
  <c r="B311" i="1"/>
  <c r="B315" i="1"/>
  <c r="B322" i="1"/>
  <c r="B326" i="1"/>
  <c r="B332" i="1"/>
  <c r="B336" i="1"/>
  <c r="B340" i="1"/>
  <c r="B349" i="1"/>
  <c r="B353" i="1"/>
  <c r="B357" i="1"/>
  <c r="B361" i="1"/>
  <c r="B365" i="1"/>
  <c r="B369" i="1"/>
  <c r="B373" i="1"/>
  <c r="B377" i="1"/>
  <c r="B383" i="1"/>
  <c r="B387" i="1"/>
  <c r="B391" i="1"/>
  <c r="B395" i="1"/>
  <c r="B400" i="1"/>
  <c r="B404" i="1"/>
  <c r="B410" i="1"/>
  <c r="B414" i="1"/>
  <c r="B418" i="1"/>
  <c r="B422" i="1"/>
  <c r="B426" i="1"/>
  <c r="B430" i="1"/>
  <c r="B460" i="1"/>
  <c r="B434" i="1"/>
  <c r="B438" i="1"/>
  <c r="B444" i="1"/>
  <c r="B450" i="1"/>
  <c r="B454" i="1"/>
  <c r="B459" i="1"/>
  <c r="B464" i="1"/>
  <c r="B468" i="1"/>
  <c r="B472" i="1"/>
  <c r="B475" i="1"/>
  <c r="B481" i="1"/>
  <c r="B483" i="1"/>
  <c r="B488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3" i="1"/>
  <c r="B547" i="1"/>
  <c r="B552" i="1"/>
  <c r="B558" i="1"/>
  <c r="B562" i="1"/>
  <c r="B566" i="1"/>
  <c r="B570" i="1"/>
  <c r="B574" i="1"/>
  <c r="B578" i="1"/>
  <c r="B583" i="1"/>
  <c r="B587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297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3" i="1"/>
  <c r="B267" i="1"/>
  <c r="B271" i="1"/>
  <c r="B274" i="1"/>
  <c r="B279" i="1"/>
  <c r="B286" i="1"/>
  <c r="B290" i="1"/>
  <c r="B294" i="1"/>
  <c r="B298" i="1"/>
  <c r="B302" i="1"/>
  <c r="B306" i="1"/>
  <c r="B310" i="1"/>
  <c r="B314" i="1"/>
  <c r="B319" i="1"/>
  <c r="B325" i="1"/>
  <c r="B329" i="1"/>
  <c r="B335" i="1"/>
  <c r="B339" i="1"/>
  <c r="B348" i="1"/>
  <c r="B352" i="1"/>
  <c r="B356" i="1"/>
  <c r="B360" i="1"/>
  <c r="B364" i="1"/>
  <c r="B368" i="1"/>
  <c r="B372" i="1"/>
  <c r="B376" i="1"/>
  <c r="B382" i="1"/>
  <c r="B386" i="1"/>
  <c r="B390" i="1"/>
  <c r="B394" i="1"/>
  <c r="B398" i="1"/>
  <c r="B403" i="1"/>
  <c r="B409" i="1"/>
  <c r="B413" i="1"/>
  <c r="B417" i="1"/>
  <c r="B421" i="1"/>
  <c r="B425" i="1"/>
  <c r="B429" i="1"/>
  <c r="B433" i="1"/>
  <c r="B441" i="1"/>
  <c r="B437" i="1"/>
  <c r="B443" i="1"/>
  <c r="B448" i="1"/>
  <c r="B453" i="1"/>
  <c r="B457" i="1"/>
  <c r="B463" i="1"/>
  <c r="B467" i="1"/>
  <c r="B471" i="1"/>
  <c r="B474" i="1"/>
  <c r="B480" i="1"/>
  <c r="B489" i="1"/>
  <c r="B487" i="1"/>
  <c r="B492" i="1"/>
  <c r="B496" i="1"/>
  <c r="B500" i="1"/>
  <c r="B504" i="1"/>
  <c r="B508" i="1"/>
  <c r="B512" i="1"/>
  <c r="B516" i="1"/>
  <c r="B520" i="1"/>
  <c r="B524" i="1"/>
  <c r="B528" i="1"/>
  <c r="B532" i="1"/>
  <c r="B536" i="1"/>
  <c r="B542" i="1"/>
  <c r="B546" i="1"/>
  <c r="B551" i="1"/>
  <c r="B557" i="1"/>
  <c r="B561" i="1"/>
  <c r="B565" i="1"/>
  <c r="B569" i="1"/>
  <c r="B573" i="1"/>
  <c r="B577" i="1"/>
  <c r="B581" i="1"/>
  <c r="B586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62" i="1"/>
  <c r="B278" i="1"/>
  <c r="B297" i="1"/>
  <c r="B313" i="1"/>
  <c r="B334" i="1"/>
  <c r="B355" i="1"/>
  <c r="B371" i="1"/>
  <c r="B389" i="1"/>
  <c r="B407" i="1"/>
  <c r="B424" i="1"/>
  <c r="B436" i="1"/>
  <c r="B456" i="1"/>
  <c r="B473" i="1"/>
  <c r="B491" i="1"/>
  <c r="B507" i="1"/>
  <c r="B523" i="1"/>
  <c r="B541" i="1"/>
  <c r="B560" i="1"/>
  <c r="B576" i="1"/>
  <c r="B594" i="1"/>
  <c r="B601" i="1"/>
  <c r="B603" i="1"/>
  <c r="B610" i="1"/>
  <c r="B617" i="1"/>
  <c r="B619" i="1"/>
  <c r="B625" i="1"/>
  <c r="B632" i="1"/>
  <c r="B634" i="1"/>
  <c r="B3" i="1"/>
  <c r="B1302" i="1"/>
  <c r="B1305" i="1"/>
  <c r="B1306" i="1"/>
  <c r="B1308" i="1"/>
  <c r="B1310" i="1"/>
  <c r="B1311" i="1"/>
  <c r="B1313" i="1"/>
  <c r="B1315" i="1"/>
  <c r="B1316" i="1"/>
  <c r="B1318" i="1"/>
  <c r="B1320" i="1"/>
  <c r="B1321" i="1"/>
  <c r="B1323" i="1"/>
  <c r="B1325" i="1"/>
  <c r="B1326" i="1"/>
  <c r="B1328" i="1"/>
  <c r="B1331" i="1"/>
  <c r="B1332" i="1"/>
  <c r="B1334" i="1"/>
  <c r="B1336" i="1"/>
  <c r="B1337" i="1"/>
  <c r="B1339" i="1"/>
  <c r="B1341" i="1"/>
  <c r="B1342" i="1"/>
  <c r="B1344" i="1"/>
  <c r="B1345" i="1"/>
  <c r="B1347" i="1"/>
  <c r="B1349" i="1"/>
  <c r="B1351" i="1"/>
  <c r="B1352" i="1"/>
  <c r="B1354" i="1"/>
  <c r="B1356" i="1"/>
  <c r="B1357" i="1"/>
  <c r="B1359" i="1"/>
  <c r="B540" i="1"/>
  <c r="B1360" i="1"/>
  <c r="B1362" i="1"/>
  <c r="B1364" i="1"/>
  <c r="B1365" i="1"/>
  <c r="B1367" i="1"/>
  <c r="B1368" i="1"/>
  <c r="B447" i="1"/>
  <c r="B1370" i="1"/>
  <c r="B1371" i="1"/>
  <c r="B1373" i="1"/>
  <c r="B1375" i="1"/>
  <c r="B1376" i="1"/>
  <c r="B1378" i="1"/>
  <c r="B1380" i="1"/>
  <c r="B1381" i="1"/>
  <c r="B1383" i="1"/>
  <c r="B1385" i="1"/>
  <c r="B1386" i="1"/>
  <c r="B1388" i="1"/>
  <c r="B1390" i="1"/>
  <c r="B1391" i="1"/>
  <c r="B1393" i="1"/>
  <c r="B1395" i="1"/>
  <c r="B1396" i="1"/>
  <c r="B1398" i="1"/>
  <c r="B1399" i="1"/>
  <c r="B1401" i="1"/>
  <c r="B1403" i="1"/>
  <c r="B1405" i="1"/>
  <c r="B1406" i="1"/>
  <c r="B1408" i="1"/>
  <c r="B1410" i="1"/>
  <c r="B1412" i="1"/>
  <c r="B1414" i="1"/>
  <c r="B1415" i="1"/>
  <c r="B1417" i="1"/>
  <c r="B1418" i="1"/>
  <c r="B1420" i="1"/>
  <c r="B1422" i="1"/>
  <c r="B1423" i="1"/>
  <c r="B1425" i="1"/>
  <c r="B1426" i="1"/>
  <c r="B1428" i="1"/>
  <c r="B1430" i="1"/>
  <c r="B1432" i="1"/>
  <c r="B1433" i="1"/>
  <c r="B1435" i="1"/>
  <c r="B1436" i="1"/>
  <c r="B1438" i="1"/>
  <c r="B1440" i="1"/>
  <c r="B1441" i="1"/>
  <c r="B1443" i="1"/>
  <c r="B1445" i="1"/>
  <c r="B1446" i="1"/>
  <c r="B1448" i="1"/>
  <c r="B1450" i="1"/>
  <c r="B1452" i="1"/>
  <c r="B1454" i="1"/>
  <c r="B1455" i="1"/>
  <c r="B1457" i="1"/>
  <c r="B1458" i="1"/>
  <c r="B1460" i="1"/>
  <c r="B1462" i="1"/>
  <c r="B1463" i="1"/>
  <c r="B1465" i="1"/>
  <c r="B1467" i="1"/>
  <c r="B1470" i="1"/>
  <c r="B1472" i="1"/>
  <c r="B1474" i="1"/>
  <c r="B1475" i="1"/>
  <c r="B1476" i="1"/>
  <c r="B1479" i="1"/>
  <c r="B794" i="1"/>
  <c r="B1480" i="1"/>
  <c r="B1481" i="1"/>
  <c r="B1482" i="1"/>
  <c r="B1483" i="1"/>
  <c r="B1484" i="1"/>
  <c r="B343" i="1"/>
  <c r="B344" i="1"/>
  <c r="B345" i="1"/>
  <c r="B346" i="1"/>
  <c r="B347" i="1"/>
  <c r="B1485" i="1"/>
  <c r="B1486" i="1"/>
  <c r="B1487" i="1"/>
  <c r="B1488" i="1"/>
  <c r="B1489" i="1"/>
  <c r="B1490" i="1"/>
  <c r="B1491" i="1"/>
  <c r="B1492" i="1"/>
  <c r="B1494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10" i="1"/>
  <c r="B1511" i="1"/>
  <c r="B1512" i="1"/>
  <c r="B1513" i="1"/>
  <c r="B1516" i="1"/>
  <c r="B1517" i="1"/>
  <c r="B1508" i="1"/>
  <c r="B1509" i="1"/>
  <c r="B1514" i="1"/>
  <c r="B1515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5" i="1"/>
  <c r="B1536" i="1"/>
  <c r="B1537" i="1"/>
  <c r="B1538" i="1"/>
  <c r="B1140" i="1"/>
  <c r="B1139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59" i="1"/>
  <c r="B748" i="1"/>
  <c r="B293" i="1"/>
  <c r="B309" i="1"/>
  <c r="B328" i="1"/>
  <c r="B351" i="1"/>
  <c r="B367" i="1"/>
  <c r="B385" i="1"/>
  <c r="B402" i="1"/>
  <c r="B420" i="1"/>
  <c r="B442" i="1"/>
  <c r="B452" i="1"/>
  <c r="B470" i="1"/>
  <c r="B486" i="1"/>
  <c r="B503" i="1"/>
  <c r="B519" i="1"/>
  <c r="B535" i="1"/>
  <c r="B556" i="1"/>
  <c r="B572" i="1"/>
  <c r="B589" i="1"/>
  <c r="B591" i="1"/>
  <c r="B598" i="1"/>
  <c r="B605" i="1"/>
  <c r="B607" i="1"/>
  <c r="B614" i="1"/>
  <c r="B1173" i="1"/>
  <c r="B622" i="1"/>
  <c r="B629" i="1"/>
  <c r="B636" i="1"/>
  <c r="B638" i="1"/>
  <c r="B946" i="1"/>
  <c r="B947" i="1"/>
  <c r="B948" i="1"/>
  <c r="B949" i="1"/>
  <c r="B950" i="1"/>
  <c r="B951" i="1"/>
  <c r="B952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80" i="1"/>
  <c r="B981" i="1"/>
  <c r="B982" i="1"/>
  <c r="B983" i="1"/>
  <c r="B984" i="1"/>
  <c r="B985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30" i="1"/>
  <c r="B1031" i="1"/>
  <c r="B1029" i="1"/>
  <c r="B1032" i="1"/>
  <c r="B1033" i="1"/>
  <c r="B1034" i="1"/>
  <c r="B1035" i="1"/>
  <c r="B1036" i="1"/>
  <c r="B1037" i="1"/>
  <c r="B1038" i="1"/>
  <c r="B1039" i="1"/>
  <c r="B1040" i="1"/>
  <c r="B1045" i="1"/>
  <c r="B1046" i="1"/>
  <c r="B1047" i="1"/>
  <c r="B1048" i="1"/>
  <c r="B1049" i="1"/>
  <c r="B1050" i="1"/>
  <c r="B1051" i="1"/>
  <c r="B1053" i="1"/>
  <c r="B1054" i="1"/>
  <c r="B1055" i="1"/>
  <c r="B1056" i="1"/>
  <c r="B38" i="1"/>
  <c r="B922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41" i="1"/>
  <c r="B1142" i="1"/>
  <c r="B1143" i="1"/>
  <c r="B1144" i="1"/>
  <c r="B1145" i="1"/>
  <c r="B1146" i="1"/>
  <c r="B1147" i="1"/>
  <c r="B1148" i="1"/>
  <c r="B1149" i="1"/>
  <c r="B1150" i="1"/>
  <c r="B1151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468" i="1"/>
  <c r="B1469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7" i="1"/>
  <c r="B1236" i="1"/>
  <c r="B1238" i="1"/>
  <c r="B112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80" i="1"/>
  <c r="B1281" i="1"/>
  <c r="B1282" i="1"/>
  <c r="B1283" i="1"/>
  <c r="B1284" i="1"/>
  <c r="B1285" i="1"/>
  <c r="B1286" i="1"/>
  <c r="B1287" i="1"/>
  <c r="B1290" i="1"/>
  <c r="B1291" i="1"/>
  <c r="B1292" i="1"/>
  <c r="B1293" i="1"/>
  <c r="B1294" i="1"/>
  <c r="B1295" i="1"/>
  <c r="B1298" i="1"/>
  <c r="B1299" i="1"/>
  <c r="B1300" i="1"/>
  <c r="B1301" i="1"/>
  <c r="B1303" i="1"/>
  <c r="B1304" i="1"/>
  <c r="B1307" i="1"/>
  <c r="B1309" i="1"/>
  <c r="B1312" i="1"/>
  <c r="B1314" i="1"/>
  <c r="B1317" i="1"/>
  <c r="B1319" i="1"/>
  <c r="B1322" i="1"/>
  <c r="B1324" i="1"/>
  <c r="B1327" i="1"/>
  <c r="B1329" i="1"/>
  <c r="B1333" i="1"/>
  <c r="B1335" i="1"/>
  <c r="B1338" i="1"/>
  <c r="B1340" i="1"/>
  <c r="B1343" i="1"/>
  <c r="B1346" i="1"/>
  <c r="B1348" i="1"/>
  <c r="B1350" i="1"/>
  <c r="B1353" i="1"/>
  <c r="B1355" i="1"/>
  <c r="B1358" i="1"/>
  <c r="B539" i="1"/>
  <c r="B1361" i="1"/>
  <c r="B1363" i="1"/>
  <c r="B1366" i="1"/>
  <c r="B1369" i="1"/>
  <c r="B1052" i="1"/>
  <c r="B1372" i="1"/>
  <c r="B1374" i="1"/>
  <c r="B1377" i="1"/>
  <c r="B1379" i="1"/>
  <c r="B1382" i="1"/>
  <c r="B1384" i="1"/>
  <c r="B1387" i="1"/>
  <c r="B1389" i="1"/>
  <c r="B1392" i="1"/>
  <c r="B1394" i="1"/>
  <c r="B1397" i="1"/>
  <c r="B1400" i="1"/>
  <c r="B1402" i="1"/>
  <c r="B1404" i="1"/>
  <c r="B1407" i="1"/>
  <c r="B1411" i="1"/>
  <c r="B1413" i="1"/>
  <c r="B1416" i="1"/>
  <c r="B1419" i="1"/>
  <c r="B1421" i="1"/>
  <c r="B1424" i="1"/>
  <c r="B1427" i="1"/>
  <c r="B1429" i="1"/>
  <c r="B1431" i="1"/>
  <c r="B1434" i="1"/>
  <c r="B1437" i="1"/>
  <c r="B1439" i="1"/>
  <c r="B1442" i="1"/>
  <c r="B1444" i="1"/>
  <c r="B1447" i="1"/>
  <c r="B1449" i="1"/>
  <c r="B1453" i="1"/>
  <c r="B1534" i="1"/>
  <c r="B1456" i="1"/>
  <c r="B1459" i="1"/>
  <c r="B1461" i="1"/>
  <c r="B1464" i="1"/>
  <c r="B1466" i="1"/>
  <c r="B1471" i="1"/>
  <c r="B1473" i="1"/>
  <c r="B1477" i="1"/>
  <c r="B1478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55" i="1"/>
  <c r="B270" i="1"/>
  <c r="B289" i="1"/>
  <c r="B305" i="1"/>
  <c r="B324" i="1"/>
  <c r="B342" i="1"/>
  <c r="B363" i="1"/>
  <c r="B379" i="1"/>
  <c r="B397" i="1"/>
  <c r="B416" i="1"/>
  <c r="B432" i="1"/>
  <c r="B446" i="1"/>
  <c r="B466" i="1"/>
  <c r="B484" i="1"/>
  <c r="B499" i="1"/>
  <c r="B515" i="1"/>
  <c r="B531" i="1"/>
  <c r="B549" i="1"/>
  <c r="B568" i="1"/>
  <c r="B585" i="1"/>
  <c r="B593" i="1"/>
  <c r="B595" i="1"/>
  <c r="B602" i="1"/>
  <c r="B609" i="1"/>
  <c r="B611" i="1"/>
  <c r="B618" i="1"/>
  <c r="B624" i="1"/>
  <c r="B626" i="1"/>
  <c r="B633" i="1"/>
  <c r="B7" i="1"/>
  <c r="B10" i="1"/>
  <c r="B33" i="1"/>
  <c r="B53" i="1"/>
  <c r="B68" i="1"/>
  <c r="B84" i="1"/>
  <c r="B99" i="1"/>
  <c r="B116" i="1"/>
  <c r="B133" i="1"/>
  <c r="B149" i="1"/>
  <c r="B166" i="1"/>
  <c r="B183" i="1"/>
  <c r="B1296" i="1"/>
  <c r="B219" i="1"/>
  <c r="B235" i="1"/>
  <c r="B251" i="1"/>
  <c r="B266" i="1"/>
  <c r="B285" i="1"/>
  <c r="B301" i="1"/>
  <c r="B318" i="1"/>
  <c r="B338" i="1"/>
  <c r="B359" i="1"/>
  <c r="B375" i="1"/>
  <c r="B393" i="1"/>
  <c r="B412" i="1"/>
  <c r="B428" i="1"/>
  <c r="B440" i="1"/>
  <c r="B462" i="1"/>
  <c r="B477" i="1"/>
  <c r="B495" i="1"/>
  <c r="B511" i="1"/>
  <c r="B527" i="1"/>
  <c r="B545" i="1"/>
  <c r="B564" i="1"/>
  <c r="B580" i="1"/>
  <c r="B590" i="1"/>
  <c r="B597" i="1"/>
  <c r="B599" i="1"/>
  <c r="B606" i="1"/>
  <c r="B613" i="1"/>
  <c r="B615" i="1"/>
  <c r="B621" i="1"/>
  <c r="B628" i="1"/>
  <c r="B630" i="1"/>
  <c r="B637" i="1"/>
  <c r="C667" i="1" l="1"/>
  <c r="C804" i="1"/>
  <c r="C802" i="1"/>
  <c r="C582" i="1"/>
  <c r="C803" i="1"/>
  <c r="C805" i="1"/>
  <c r="C791" i="1"/>
  <c r="C206" i="1"/>
  <c r="C555" i="1"/>
  <c r="C320" i="1"/>
  <c r="C1043" i="1"/>
  <c r="C17" i="1"/>
  <c r="C1044" i="1"/>
  <c r="C321" i="1"/>
  <c r="C1042" i="1"/>
  <c r="C316" i="1"/>
  <c r="C200" i="1"/>
  <c r="C201" i="1"/>
  <c r="C202" i="1"/>
  <c r="C199" i="1"/>
  <c r="C203" i="1"/>
  <c r="C911" i="1"/>
  <c r="C910" i="1"/>
  <c r="C650" i="1"/>
  <c r="C734" i="1"/>
  <c r="C28" i="1"/>
  <c r="C169" i="1"/>
  <c r="C282" i="1"/>
  <c r="C479" i="1"/>
  <c r="C957" i="1"/>
  <c r="C1451" i="1"/>
  <c r="C1493" i="1"/>
  <c r="C381" i="1"/>
  <c r="C1279" i="1"/>
  <c r="C26" i="1"/>
  <c r="C277" i="1"/>
  <c r="C380" i="1"/>
  <c r="C550" i="1"/>
  <c r="C1002" i="1"/>
  <c r="C331" i="1"/>
  <c r="C953" i="1"/>
  <c r="C1289" i="1"/>
  <c r="C27" i="1"/>
  <c r="C281" i="1"/>
  <c r="C956" i="1"/>
  <c r="C40" i="1"/>
  <c r="C1288" i="1"/>
  <c r="C1409" i="1"/>
  <c r="C870" i="1"/>
  <c r="C762" i="1"/>
  <c r="C1214" i="1"/>
  <c r="C954" i="1"/>
  <c r="C871" i="1"/>
  <c r="C478" i="1"/>
  <c r="C955" i="1"/>
  <c r="C280" i="1"/>
  <c r="C330" i="1"/>
  <c r="C1495" i="1"/>
  <c r="C763" i="1"/>
  <c r="D1" i="1"/>
  <c r="C399" i="1"/>
  <c r="C1152" i="1"/>
  <c r="C986" i="1"/>
  <c r="C1041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03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296" i="1"/>
  <c r="C1297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872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748" i="1"/>
  <c r="C274" i="1"/>
  <c r="C275" i="1"/>
  <c r="C276" i="1"/>
  <c r="C278" i="1"/>
  <c r="C279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7" i="1"/>
  <c r="C318" i="1"/>
  <c r="C319" i="1"/>
  <c r="C322" i="1"/>
  <c r="C323" i="1"/>
  <c r="C324" i="1"/>
  <c r="C325" i="1"/>
  <c r="C326" i="1"/>
  <c r="C327" i="1"/>
  <c r="C328" i="1"/>
  <c r="C329" i="1"/>
  <c r="C332" i="1"/>
  <c r="C333" i="1"/>
  <c r="C334" i="1"/>
  <c r="C335" i="1"/>
  <c r="C336" i="1"/>
  <c r="C337" i="1"/>
  <c r="C338" i="1"/>
  <c r="C339" i="1"/>
  <c r="C340" i="1"/>
  <c r="C341" i="1"/>
  <c r="C342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400" i="1"/>
  <c r="C401" i="1"/>
  <c r="C402" i="1"/>
  <c r="C403" i="1"/>
  <c r="C404" i="1"/>
  <c r="C405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60" i="1"/>
  <c r="C461" i="1"/>
  <c r="C442" i="1"/>
  <c r="C441" i="1"/>
  <c r="C434" i="1"/>
  <c r="C435" i="1"/>
  <c r="C436" i="1"/>
  <c r="C437" i="1"/>
  <c r="C438" i="1"/>
  <c r="C439" i="1"/>
  <c r="C440" i="1"/>
  <c r="C443" i="1"/>
  <c r="C444" i="1"/>
  <c r="C445" i="1"/>
  <c r="C446" i="1"/>
  <c r="C448" i="1"/>
  <c r="C450" i="1"/>
  <c r="C451" i="1"/>
  <c r="C452" i="1"/>
  <c r="C453" i="1"/>
  <c r="C454" i="1"/>
  <c r="C455" i="1"/>
  <c r="C456" i="1"/>
  <c r="C457" i="1"/>
  <c r="C459" i="1"/>
  <c r="C458" i="1"/>
  <c r="C462" i="1"/>
  <c r="C463" i="1"/>
  <c r="C464" i="1"/>
  <c r="C465" i="1"/>
  <c r="C466" i="1"/>
  <c r="C467" i="1"/>
  <c r="C468" i="1"/>
  <c r="C469" i="1"/>
  <c r="C470" i="1"/>
  <c r="C471" i="1"/>
  <c r="C472" i="1"/>
  <c r="C687" i="1"/>
  <c r="C473" i="1"/>
  <c r="C474" i="1"/>
  <c r="C475" i="1"/>
  <c r="C476" i="1"/>
  <c r="C477" i="1"/>
  <c r="C480" i="1"/>
  <c r="C481" i="1"/>
  <c r="C482" i="1"/>
  <c r="C484" i="1"/>
  <c r="C489" i="1"/>
  <c r="C483" i="1"/>
  <c r="C485" i="1"/>
  <c r="C486" i="1"/>
  <c r="C487" i="1"/>
  <c r="C488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41" i="1"/>
  <c r="C542" i="1"/>
  <c r="C543" i="1"/>
  <c r="C544" i="1"/>
  <c r="C545" i="1"/>
  <c r="C546" i="1"/>
  <c r="C547" i="1"/>
  <c r="C548" i="1"/>
  <c r="C549" i="1"/>
  <c r="C551" i="1"/>
  <c r="C552" i="1"/>
  <c r="C553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1173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39" i="1"/>
  <c r="C643" i="1"/>
  <c r="C647" i="1"/>
  <c r="C652" i="1"/>
  <c r="C655" i="1"/>
  <c r="C659" i="1"/>
  <c r="C665" i="1"/>
  <c r="C671" i="1"/>
  <c r="C675" i="1"/>
  <c r="C679" i="1"/>
  <c r="C683" i="1"/>
  <c r="C408" i="1"/>
  <c r="C691" i="1"/>
  <c r="C695" i="1"/>
  <c r="C697" i="1"/>
  <c r="C703" i="1"/>
  <c r="C708" i="1"/>
  <c r="C711" i="1"/>
  <c r="C715" i="1"/>
  <c r="C719" i="1"/>
  <c r="C722" i="1"/>
  <c r="C726" i="1"/>
  <c r="C730" i="1"/>
  <c r="C735" i="1"/>
  <c r="C739" i="1"/>
  <c r="C743" i="1"/>
  <c r="C747" i="1"/>
  <c r="C752" i="1"/>
  <c r="C756" i="1"/>
  <c r="C760" i="1"/>
  <c r="C770" i="1"/>
  <c r="C765" i="1"/>
  <c r="C773" i="1"/>
  <c r="C778" i="1"/>
  <c r="C1330" i="1"/>
  <c r="C784" i="1"/>
  <c r="C788" i="1"/>
  <c r="C905" i="1"/>
  <c r="C790" i="1"/>
  <c r="C796" i="1"/>
  <c r="C800" i="1"/>
  <c r="C808" i="1"/>
  <c r="C812" i="1"/>
  <c r="C814" i="1"/>
  <c r="C818" i="1"/>
  <c r="C822" i="1"/>
  <c r="C826" i="1"/>
  <c r="C830" i="1"/>
  <c r="C834" i="1"/>
  <c r="C838" i="1"/>
  <c r="C842" i="1"/>
  <c r="C846" i="1"/>
  <c r="C850" i="1"/>
  <c r="C854" i="1"/>
  <c r="C858" i="1"/>
  <c r="C862" i="1"/>
  <c r="C865" i="1"/>
  <c r="C873" i="1"/>
  <c r="C877" i="1"/>
  <c r="C881" i="1"/>
  <c r="C885" i="1"/>
  <c r="C889" i="1"/>
  <c r="C894" i="1"/>
  <c r="C898" i="1"/>
  <c r="C909" i="1"/>
  <c r="C914" i="1"/>
  <c r="C918" i="1"/>
  <c r="C923" i="1"/>
  <c r="C927" i="1"/>
  <c r="C931" i="1"/>
  <c r="C935" i="1"/>
  <c r="C939" i="1"/>
  <c r="C943" i="1"/>
  <c r="C3" i="1"/>
  <c r="C1429" i="1"/>
  <c r="C1430" i="1"/>
  <c r="C1432" i="1"/>
  <c r="C1434" i="1"/>
  <c r="C1435" i="1"/>
  <c r="C1437" i="1"/>
  <c r="C1439" i="1"/>
  <c r="C1440" i="1"/>
  <c r="C1442" i="1"/>
  <c r="C1443" i="1"/>
  <c r="C1445" i="1"/>
  <c r="C1447" i="1"/>
  <c r="C1449" i="1"/>
  <c r="C1450" i="1"/>
  <c r="C1453" i="1"/>
  <c r="C1534" i="1"/>
  <c r="C1455" i="1"/>
  <c r="C1457" i="1"/>
  <c r="C1459" i="1"/>
  <c r="C1460" i="1"/>
  <c r="C1462" i="1"/>
  <c r="C1464" i="1"/>
  <c r="C1465" i="1"/>
  <c r="C1467" i="1"/>
  <c r="C1471" i="1"/>
  <c r="C1472" i="1"/>
  <c r="C1474" i="1"/>
  <c r="C1475" i="1"/>
  <c r="C1476" i="1"/>
  <c r="C1479" i="1"/>
  <c r="C794" i="1"/>
  <c r="C1481" i="1"/>
  <c r="C1482" i="1"/>
  <c r="C1484" i="1"/>
  <c r="C344" i="1"/>
  <c r="C345" i="1"/>
  <c r="C347" i="1"/>
  <c r="C1486" i="1"/>
  <c r="C1487" i="1"/>
  <c r="C1489" i="1"/>
  <c r="C1491" i="1"/>
  <c r="C1492" i="1"/>
  <c r="C1496" i="1"/>
  <c r="C1497" i="1"/>
  <c r="C1499" i="1"/>
  <c r="C1501" i="1"/>
  <c r="C1502" i="1"/>
  <c r="C1504" i="1"/>
  <c r="C1505" i="1"/>
  <c r="C1507" i="1"/>
  <c r="C1511" i="1"/>
  <c r="C642" i="1"/>
  <c r="C646" i="1"/>
  <c r="C651" i="1"/>
  <c r="C654" i="1"/>
  <c r="C658" i="1"/>
  <c r="C663" i="1"/>
  <c r="C666" i="1"/>
  <c r="C670" i="1"/>
  <c r="C674" i="1"/>
  <c r="C678" i="1"/>
  <c r="C682" i="1"/>
  <c r="C686" i="1"/>
  <c r="C690" i="1"/>
  <c r="C694" i="1"/>
  <c r="C699" i="1"/>
  <c r="C702" i="1"/>
  <c r="C707" i="1"/>
  <c r="C709" i="1"/>
  <c r="C714" i="1"/>
  <c r="C718" i="1"/>
  <c r="C721" i="1"/>
  <c r="C725" i="1"/>
  <c r="C729" i="1"/>
  <c r="C733" i="1"/>
  <c r="C738" i="1"/>
  <c r="C742" i="1"/>
  <c r="C746" i="1"/>
  <c r="C751" i="1"/>
  <c r="C755" i="1"/>
  <c r="C759" i="1"/>
  <c r="C769" i="1"/>
  <c r="C764" i="1"/>
  <c r="C772" i="1"/>
  <c r="C777" i="1"/>
  <c r="C554" i="1"/>
  <c r="C783" i="1"/>
  <c r="C787" i="1"/>
  <c r="C904" i="1"/>
  <c r="C906" i="1"/>
  <c r="C795" i="1"/>
  <c r="C799" i="1"/>
  <c r="C807" i="1"/>
  <c r="C811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1" i="1"/>
  <c r="C867" i="1"/>
  <c r="C869" i="1"/>
  <c r="C876" i="1"/>
  <c r="C880" i="1"/>
  <c r="C884" i="1"/>
  <c r="C888" i="1"/>
  <c r="C893" i="1"/>
  <c r="C897" i="1"/>
  <c r="C901" i="1"/>
  <c r="C159" i="1"/>
  <c r="C917" i="1"/>
  <c r="C921" i="1"/>
  <c r="C926" i="1"/>
  <c r="C930" i="1"/>
  <c r="C934" i="1"/>
  <c r="C938" i="1"/>
  <c r="C942" i="1"/>
  <c r="C641" i="1"/>
  <c r="C645" i="1"/>
  <c r="C649" i="1"/>
  <c r="C406" i="1"/>
  <c r="C657" i="1"/>
  <c r="C661" i="1"/>
  <c r="C664" i="1"/>
  <c r="C669" i="1"/>
  <c r="C673" i="1"/>
  <c r="C677" i="1"/>
  <c r="C681" i="1"/>
  <c r="C685" i="1"/>
  <c r="C689" i="1"/>
  <c r="C693" i="1"/>
  <c r="C698" i="1"/>
  <c r="C701" i="1"/>
  <c r="C705" i="1"/>
  <c r="C710" i="1"/>
  <c r="C713" i="1"/>
  <c r="C717" i="1"/>
  <c r="C720" i="1"/>
  <c r="C724" i="1"/>
  <c r="C728" i="1"/>
  <c r="C732" i="1"/>
  <c r="C737" i="1"/>
  <c r="C741" i="1"/>
  <c r="C745" i="1"/>
  <c r="C750" i="1"/>
  <c r="C754" i="1"/>
  <c r="C758" i="1"/>
  <c r="C768" i="1"/>
  <c r="C775" i="1"/>
  <c r="C767" i="1"/>
  <c r="C776" i="1"/>
  <c r="C780" i="1"/>
  <c r="C782" i="1"/>
  <c r="C786" i="1"/>
  <c r="C902" i="1"/>
  <c r="C908" i="1"/>
  <c r="C793" i="1"/>
  <c r="C798" i="1"/>
  <c r="C806" i="1"/>
  <c r="C810" i="1"/>
  <c r="C449" i="1"/>
  <c r="C816" i="1"/>
  <c r="C820" i="1"/>
  <c r="C824" i="1"/>
  <c r="C828" i="1"/>
  <c r="C832" i="1"/>
  <c r="C836" i="1"/>
  <c r="C840" i="1"/>
  <c r="C844" i="1"/>
  <c r="C848" i="1"/>
  <c r="C852" i="1"/>
  <c r="C856" i="1"/>
  <c r="C860" i="1"/>
  <c r="C864" i="1"/>
  <c r="C868" i="1"/>
  <c r="C875" i="1"/>
  <c r="C879" i="1"/>
  <c r="C883" i="1"/>
  <c r="C887" i="1"/>
  <c r="C892" i="1"/>
  <c r="C896" i="1"/>
  <c r="C900" i="1"/>
  <c r="C913" i="1"/>
  <c r="C916" i="1"/>
  <c r="C920" i="1"/>
  <c r="C925" i="1"/>
  <c r="C929" i="1"/>
  <c r="C933" i="1"/>
  <c r="C937" i="1"/>
  <c r="C941" i="1"/>
  <c r="C945" i="1"/>
  <c r="C946" i="1"/>
  <c r="C947" i="1"/>
  <c r="C948" i="1"/>
  <c r="C949" i="1"/>
  <c r="C950" i="1"/>
  <c r="C951" i="1"/>
  <c r="C952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30" i="1"/>
  <c r="C1031" i="1"/>
  <c r="C1029" i="1"/>
  <c r="C1032" i="1"/>
  <c r="C1033" i="1"/>
  <c r="C1034" i="1"/>
  <c r="C1035" i="1"/>
  <c r="C1036" i="1"/>
  <c r="C1037" i="1"/>
  <c r="C1038" i="1"/>
  <c r="C1039" i="1"/>
  <c r="C1040" i="1"/>
  <c r="C1045" i="1"/>
  <c r="C1046" i="1"/>
  <c r="C1047" i="1"/>
  <c r="C1048" i="1"/>
  <c r="C1049" i="1"/>
  <c r="C1050" i="1"/>
  <c r="C1051" i="1"/>
  <c r="C1053" i="1"/>
  <c r="C1054" i="1"/>
  <c r="C1055" i="1"/>
  <c r="C1056" i="1"/>
  <c r="C38" i="1"/>
  <c r="C922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41" i="1"/>
  <c r="C1142" i="1"/>
  <c r="C1143" i="1"/>
  <c r="C1144" i="1"/>
  <c r="C1145" i="1"/>
  <c r="C1146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468" i="1"/>
  <c r="C1469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7" i="1"/>
  <c r="C1236" i="1"/>
  <c r="C1238" i="1"/>
  <c r="C112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80" i="1"/>
  <c r="C1281" i="1"/>
  <c r="C1282" i="1"/>
  <c r="C1283" i="1"/>
  <c r="C1284" i="1"/>
  <c r="C1285" i="1"/>
  <c r="C1286" i="1"/>
  <c r="C1287" i="1"/>
  <c r="C1290" i="1"/>
  <c r="C1291" i="1"/>
  <c r="C1292" i="1"/>
  <c r="C1293" i="1"/>
  <c r="C1294" i="1"/>
  <c r="C1295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539" i="1"/>
  <c r="C540" i="1"/>
  <c r="C1360" i="1"/>
  <c r="C1361" i="1"/>
  <c r="C1362" i="1"/>
  <c r="C1363" i="1"/>
  <c r="C1364" i="1"/>
  <c r="C1365" i="1"/>
  <c r="C1366" i="1"/>
  <c r="C1367" i="1"/>
  <c r="C1368" i="1"/>
  <c r="C1369" i="1"/>
  <c r="C447" i="1"/>
  <c r="C1052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31" i="1"/>
  <c r="C1433" i="1"/>
  <c r="C1436" i="1"/>
  <c r="C1438" i="1"/>
  <c r="C1441" i="1"/>
  <c r="C1444" i="1"/>
  <c r="C1446" i="1"/>
  <c r="C1448" i="1"/>
  <c r="C1452" i="1"/>
  <c r="C1454" i="1"/>
  <c r="C1456" i="1"/>
  <c r="C1458" i="1"/>
  <c r="C1461" i="1"/>
  <c r="C1463" i="1"/>
  <c r="C1466" i="1"/>
  <c r="C1470" i="1"/>
  <c r="C1473" i="1"/>
  <c r="C1477" i="1"/>
  <c r="C1478" i="1"/>
  <c r="C1480" i="1"/>
  <c r="C1483" i="1"/>
  <c r="C343" i="1"/>
  <c r="C346" i="1"/>
  <c r="C1485" i="1"/>
  <c r="C1488" i="1"/>
  <c r="C1490" i="1"/>
  <c r="C1494" i="1"/>
  <c r="C1498" i="1"/>
  <c r="C1500" i="1"/>
  <c r="C1503" i="1"/>
  <c r="C1506" i="1"/>
  <c r="C1510" i="1"/>
  <c r="C13" i="1"/>
  <c r="C16" i="1"/>
  <c r="C20" i="1"/>
  <c r="C644" i="1"/>
  <c r="C660" i="1"/>
  <c r="C676" i="1"/>
  <c r="C692" i="1"/>
  <c r="C706" i="1"/>
  <c r="C723" i="1"/>
  <c r="C740" i="1"/>
  <c r="C757" i="1"/>
  <c r="C774" i="1"/>
  <c r="C789" i="1"/>
  <c r="C801" i="1"/>
  <c r="C819" i="1"/>
  <c r="C835" i="1"/>
  <c r="C851" i="1"/>
  <c r="C866" i="1"/>
  <c r="C886" i="1"/>
  <c r="C912" i="1"/>
  <c r="C928" i="1"/>
  <c r="C944" i="1"/>
  <c r="C1512" i="1"/>
  <c r="C1516" i="1"/>
  <c r="C1508" i="1"/>
  <c r="C1514" i="1"/>
  <c r="C1518" i="1"/>
  <c r="C1520" i="1"/>
  <c r="C1522" i="1"/>
  <c r="C1524" i="1"/>
  <c r="C1526" i="1"/>
  <c r="C1528" i="1"/>
  <c r="C1530" i="1"/>
  <c r="C1532" i="1"/>
  <c r="C1535" i="1"/>
  <c r="C1537" i="1"/>
  <c r="C1140" i="1"/>
  <c r="C1539" i="1"/>
  <c r="C1541" i="1"/>
  <c r="C1543" i="1"/>
  <c r="C1545" i="1"/>
  <c r="C1547" i="1"/>
  <c r="C1549" i="1"/>
  <c r="C640" i="1"/>
  <c r="C656" i="1"/>
  <c r="C672" i="1"/>
  <c r="C688" i="1"/>
  <c r="C704" i="1"/>
  <c r="C130" i="1"/>
  <c r="C736" i="1"/>
  <c r="C753" i="1"/>
  <c r="C766" i="1"/>
  <c r="C785" i="1"/>
  <c r="C797" i="1"/>
  <c r="C815" i="1"/>
  <c r="C831" i="1"/>
  <c r="C847" i="1"/>
  <c r="C863" i="1"/>
  <c r="C882" i="1"/>
  <c r="C899" i="1"/>
  <c r="C924" i="1"/>
  <c r="C940" i="1"/>
  <c r="C653" i="1"/>
  <c r="C668" i="1"/>
  <c r="C684" i="1"/>
  <c r="C700" i="1"/>
  <c r="C716" i="1"/>
  <c r="C731" i="1"/>
  <c r="C749" i="1"/>
  <c r="C771" i="1"/>
  <c r="C781" i="1"/>
  <c r="C792" i="1"/>
  <c r="C5" i="1"/>
  <c r="C827" i="1"/>
  <c r="C843" i="1"/>
  <c r="C859" i="1"/>
  <c r="C878" i="1"/>
  <c r="C895" i="1"/>
  <c r="C919" i="1"/>
  <c r="C936" i="1"/>
  <c r="C1513" i="1"/>
  <c r="C1517" i="1"/>
  <c r="C1509" i="1"/>
  <c r="C1515" i="1"/>
  <c r="C1519" i="1"/>
  <c r="C1521" i="1"/>
  <c r="C1523" i="1"/>
  <c r="C1525" i="1"/>
  <c r="C1527" i="1"/>
  <c r="C1529" i="1"/>
  <c r="C1531" i="1"/>
  <c r="C1533" i="1"/>
  <c r="C1536" i="1"/>
  <c r="C1538" i="1"/>
  <c r="C1139" i="1"/>
  <c r="C1540" i="1"/>
  <c r="C1542" i="1"/>
  <c r="C1544" i="1"/>
  <c r="C1546" i="1"/>
  <c r="C1548" i="1"/>
  <c r="C1550" i="1"/>
  <c r="C648" i="1"/>
  <c r="C662" i="1"/>
  <c r="C680" i="1"/>
  <c r="C696" i="1"/>
  <c r="C712" i="1"/>
  <c r="C727" i="1"/>
  <c r="C744" i="1"/>
  <c r="C761" i="1"/>
  <c r="C779" i="1"/>
  <c r="C907" i="1"/>
  <c r="C809" i="1"/>
  <c r="C823" i="1"/>
  <c r="C839" i="1"/>
  <c r="C855" i="1"/>
  <c r="C874" i="1"/>
  <c r="C890" i="1"/>
  <c r="C915" i="1"/>
  <c r="C932" i="1"/>
  <c r="D667" i="1" l="1"/>
  <c r="D805" i="1"/>
  <c r="D582" i="1"/>
  <c r="D802" i="1"/>
  <c r="D804" i="1"/>
  <c r="D803" i="1"/>
  <c r="D791" i="1"/>
  <c r="D206" i="1"/>
  <c r="D555" i="1"/>
  <c r="D1042" i="1"/>
  <c r="D1044" i="1"/>
  <c r="D320" i="1"/>
  <c r="D1043" i="1"/>
  <c r="D17" i="1"/>
  <c r="D321" i="1"/>
  <c r="D316" i="1"/>
  <c r="D199" i="1"/>
  <c r="D201" i="1"/>
  <c r="D202" i="1"/>
  <c r="D200" i="1"/>
  <c r="D203" i="1"/>
  <c r="D910" i="1"/>
  <c r="D911" i="1"/>
  <c r="D650" i="1"/>
  <c r="D734" i="1"/>
  <c r="D26" i="1"/>
  <c r="D277" i="1"/>
  <c r="D380" i="1"/>
  <c r="D550" i="1"/>
  <c r="D1002" i="1"/>
  <c r="D331" i="1"/>
  <c r="D953" i="1"/>
  <c r="D870" i="1"/>
  <c r="D280" i="1"/>
  <c r="D762" i="1"/>
  <c r="D763" i="1"/>
  <c r="D1214" i="1"/>
  <c r="D330" i="1"/>
  <c r="D954" i="1"/>
  <c r="D169" i="1"/>
  <c r="D479" i="1"/>
  <c r="D1451" i="1"/>
  <c r="D1279" i="1"/>
  <c r="D1495" i="1"/>
  <c r="D27" i="1"/>
  <c r="D281" i="1"/>
  <c r="D956" i="1"/>
  <c r="D40" i="1"/>
  <c r="D1288" i="1"/>
  <c r="D28" i="1"/>
  <c r="D282" i="1"/>
  <c r="D957" i="1"/>
  <c r="D1493" i="1"/>
  <c r="D381" i="1"/>
  <c r="D1289" i="1"/>
  <c r="D871" i="1"/>
  <c r="D955" i="1"/>
  <c r="D1409" i="1"/>
  <c r="D478" i="1"/>
  <c r="E1" i="1"/>
  <c r="D399" i="1"/>
  <c r="D1152" i="1"/>
  <c r="D986" i="1"/>
  <c r="D1041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296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2" i="1"/>
  <c r="D266" i="1"/>
  <c r="D270" i="1"/>
  <c r="D748" i="1"/>
  <c r="D278" i="1"/>
  <c r="D285" i="1"/>
  <c r="D289" i="1"/>
  <c r="D293" i="1"/>
  <c r="D297" i="1"/>
  <c r="D301" i="1"/>
  <c r="D305" i="1"/>
  <c r="D309" i="1"/>
  <c r="D313" i="1"/>
  <c r="D318" i="1"/>
  <c r="D324" i="1"/>
  <c r="D328" i="1"/>
  <c r="D334" i="1"/>
  <c r="D338" i="1"/>
  <c r="D342" i="1"/>
  <c r="D351" i="1"/>
  <c r="D355" i="1"/>
  <c r="D359" i="1"/>
  <c r="D363" i="1"/>
  <c r="D367" i="1"/>
  <c r="D371" i="1"/>
  <c r="D375" i="1"/>
  <c r="D379" i="1"/>
  <c r="D385" i="1"/>
  <c r="D389" i="1"/>
  <c r="D393" i="1"/>
  <c r="D397" i="1"/>
  <c r="D402" i="1"/>
  <c r="D407" i="1"/>
  <c r="D412" i="1"/>
  <c r="D416" i="1"/>
  <c r="D420" i="1"/>
  <c r="D424" i="1"/>
  <c r="D428" i="1"/>
  <c r="D432" i="1"/>
  <c r="D442" i="1"/>
  <c r="D436" i="1"/>
  <c r="D440" i="1"/>
  <c r="D446" i="1"/>
  <c r="D452" i="1"/>
  <c r="D456" i="1"/>
  <c r="D462" i="1"/>
  <c r="D466" i="1"/>
  <c r="D470" i="1"/>
  <c r="D473" i="1"/>
  <c r="D477" i="1"/>
  <c r="D484" i="1"/>
  <c r="D486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41" i="1"/>
  <c r="D545" i="1"/>
  <c r="D549" i="1"/>
  <c r="D556" i="1"/>
  <c r="D560" i="1"/>
  <c r="D564" i="1"/>
  <c r="D568" i="1"/>
  <c r="D572" i="1"/>
  <c r="D576" i="1"/>
  <c r="D580" i="1"/>
  <c r="D585" i="1"/>
  <c r="D589" i="1"/>
  <c r="D593" i="1"/>
  <c r="D597" i="1"/>
  <c r="D601" i="1"/>
  <c r="D605" i="1"/>
  <c r="D609" i="1"/>
  <c r="D613" i="1"/>
  <c r="D617" i="1"/>
  <c r="D1173" i="1"/>
  <c r="D624" i="1"/>
  <c r="D628" i="1"/>
  <c r="D632" i="1"/>
  <c r="D636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03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872" i="1"/>
  <c r="D265" i="1"/>
  <c r="D269" i="1"/>
  <c r="D273" i="1"/>
  <c r="D276" i="1"/>
  <c r="D284" i="1"/>
  <c r="D288" i="1"/>
  <c r="D292" i="1"/>
  <c r="D296" i="1"/>
  <c r="D300" i="1"/>
  <c r="D304" i="1"/>
  <c r="D308" i="1"/>
  <c r="D312" i="1"/>
  <c r="D317" i="1"/>
  <c r="D323" i="1"/>
  <c r="D327" i="1"/>
  <c r="D333" i="1"/>
  <c r="D337" i="1"/>
  <c r="D341" i="1"/>
  <c r="D350" i="1"/>
  <c r="D354" i="1"/>
  <c r="D358" i="1"/>
  <c r="D362" i="1"/>
  <c r="D366" i="1"/>
  <c r="D370" i="1"/>
  <c r="D374" i="1"/>
  <c r="D378" i="1"/>
  <c r="D384" i="1"/>
  <c r="D388" i="1"/>
  <c r="D392" i="1"/>
  <c r="D396" i="1"/>
  <c r="D401" i="1"/>
  <c r="D405" i="1"/>
  <c r="D411" i="1"/>
  <c r="D415" i="1"/>
  <c r="D419" i="1"/>
  <c r="D423" i="1"/>
  <c r="D427" i="1"/>
  <c r="D431" i="1"/>
  <c r="D461" i="1"/>
  <c r="D435" i="1"/>
  <c r="D439" i="1"/>
  <c r="D445" i="1"/>
  <c r="D451" i="1"/>
  <c r="D455" i="1"/>
  <c r="D458" i="1"/>
  <c r="D465" i="1"/>
  <c r="D469" i="1"/>
  <c r="D687" i="1"/>
  <c r="D476" i="1"/>
  <c r="D482" i="1"/>
  <c r="D485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4" i="1"/>
  <c r="D548" i="1"/>
  <c r="D553" i="1"/>
  <c r="D559" i="1"/>
  <c r="D563" i="1"/>
  <c r="D567" i="1"/>
  <c r="D571" i="1"/>
  <c r="D575" i="1"/>
  <c r="D579" i="1"/>
  <c r="D584" i="1"/>
  <c r="D588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4" i="1"/>
  <c r="D268" i="1"/>
  <c r="D272" i="1"/>
  <c r="D275" i="1"/>
  <c r="D283" i="1"/>
  <c r="D287" i="1"/>
  <c r="D291" i="1"/>
  <c r="D295" i="1"/>
  <c r="D299" i="1"/>
  <c r="D303" i="1"/>
  <c r="D307" i="1"/>
  <c r="D311" i="1"/>
  <c r="D315" i="1"/>
  <c r="D322" i="1"/>
  <c r="D326" i="1"/>
  <c r="D332" i="1"/>
  <c r="D336" i="1"/>
  <c r="D340" i="1"/>
  <c r="D349" i="1"/>
  <c r="D353" i="1"/>
  <c r="D357" i="1"/>
  <c r="D361" i="1"/>
  <c r="D365" i="1"/>
  <c r="D369" i="1"/>
  <c r="D373" i="1"/>
  <c r="D377" i="1"/>
  <c r="D383" i="1"/>
  <c r="D387" i="1"/>
  <c r="D391" i="1"/>
  <c r="D395" i="1"/>
  <c r="D400" i="1"/>
  <c r="D404" i="1"/>
  <c r="D410" i="1"/>
  <c r="D414" i="1"/>
  <c r="D418" i="1"/>
  <c r="D422" i="1"/>
  <c r="D426" i="1"/>
  <c r="D430" i="1"/>
  <c r="D460" i="1"/>
  <c r="D434" i="1"/>
  <c r="D438" i="1"/>
  <c r="D444" i="1"/>
  <c r="D450" i="1"/>
  <c r="D454" i="1"/>
  <c r="D459" i="1"/>
  <c r="D464" i="1"/>
  <c r="D468" i="1"/>
  <c r="D472" i="1"/>
  <c r="D475" i="1"/>
  <c r="D481" i="1"/>
  <c r="D483" i="1"/>
  <c r="D488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3" i="1"/>
  <c r="D547" i="1"/>
  <c r="D552" i="1"/>
  <c r="D558" i="1"/>
  <c r="D562" i="1"/>
  <c r="D566" i="1"/>
  <c r="D570" i="1"/>
  <c r="D574" i="1"/>
  <c r="D578" i="1"/>
  <c r="D583" i="1"/>
  <c r="D587" i="1"/>
  <c r="D34" i="1"/>
  <c r="D51" i="1"/>
  <c r="D69" i="1"/>
  <c r="D85" i="1"/>
  <c r="D100" i="1"/>
  <c r="D117" i="1"/>
  <c r="D134" i="1"/>
  <c r="D150" i="1"/>
  <c r="D167" i="1"/>
  <c r="D184" i="1"/>
  <c r="D1297" i="1"/>
  <c r="D220" i="1"/>
  <c r="D236" i="1"/>
  <c r="D252" i="1"/>
  <c r="D267" i="1"/>
  <c r="D286" i="1"/>
  <c r="D302" i="1"/>
  <c r="D319" i="1"/>
  <c r="D339" i="1"/>
  <c r="D360" i="1"/>
  <c r="D376" i="1"/>
  <c r="D394" i="1"/>
  <c r="D413" i="1"/>
  <c r="D429" i="1"/>
  <c r="D443" i="1"/>
  <c r="D463" i="1"/>
  <c r="D480" i="1"/>
  <c r="D496" i="1"/>
  <c r="D512" i="1"/>
  <c r="D528" i="1"/>
  <c r="D546" i="1"/>
  <c r="D565" i="1"/>
  <c r="D581" i="1"/>
  <c r="D590" i="1"/>
  <c r="D592" i="1"/>
  <c r="D599" i="1"/>
  <c r="D606" i="1"/>
  <c r="D608" i="1"/>
  <c r="D615" i="1"/>
  <c r="D621" i="1"/>
  <c r="D623" i="1"/>
  <c r="D630" i="1"/>
  <c r="D637" i="1"/>
  <c r="D640" i="1"/>
  <c r="D644" i="1"/>
  <c r="D648" i="1"/>
  <c r="D653" i="1"/>
  <c r="D656" i="1"/>
  <c r="D660" i="1"/>
  <c r="D662" i="1"/>
  <c r="D668" i="1"/>
  <c r="D672" i="1"/>
  <c r="D676" i="1"/>
  <c r="D680" i="1"/>
  <c r="D684" i="1"/>
  <c r="D688" i="1"/>
  <c r="D692" i="1"/>
  <c r="D696" i="1"/>
  <c r="D700" i="1"/>
  <c r="D704" i="1"/>
  <c r="D706" i="1"/>
  <c r="D712" i="1"/>
  <c r="D716" i="1"/>
  <c r="D130" i="1"/>
  <c r="D723" i="1"/>
  <c r="D727" i="1"/>
  <c r="D731" i="1"/>
  <c r="D736" i="1"/>
  <c r="D740" i="1"/>
  <c r="D744" i="1"/>
  <c r="D749" i="1"/>
  <c r="D753" i="1"/>
  <c r="D757" i="1"/>
  <c r="D761" i="1"/>
  <c r="D771" i="1"/>
  <c r="D766" i="1"/>
  <c r="D774" i="1"/>
  <c r="D779" i="1"/>
  <c r="D781" i="1"/>
  <c r="D785" i="1"/>
  <c r="D789" i="1"/>
  <c r="D907" i="1"/>
  <c r="D792" i="1"/>
  <c r="D797" i="1"/>
  <c r="D801" i="1"/>
  <c r="D809" i="1"/>
  <c r="D5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6" i="1"/>
  <c r="D874" i="1"/>
  <c r="D878" i="1"/>
  <c r="D882" i="1"/>
  <c r="D886" i="1"/>
  <c r="D890" i="1"/>
  <c r="D895" i="1"/>
  <c r="D899" i="1"/>
  <c r="D912" i="1"/>
  <c r="D915" i="1"/>
  <c r="D919" i="1"/>
  <c r="D924" i="1"/>
  <c r="D928" i="1"/>
  <c r="D932" i="1"/>
  <c r="D936" i="1"/>
  <c r="D940" i="1"/>
  <c r="D944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63" i="1"/>
  <c r="D279" i="1"/>
  <c r="D298" i="1"/>
  <c r="D314" i="1"/>
  <c r="D335" i="1"/>
  <c r="D356" i="1"/>
  <c r="D372" i="1"/>
  <c r="D390" i="1"/>
  <c r="D409" i="1"/>
  <c r="D425" i="1"/>
  <c r="D437" i="1"/>
  <c r="D457" i="1"/>
  <c r="D474" i="1"/>
  <c r="D492" i="1"/>
  <c r="D508" i="1"/>
  <c r="D524" i="1"/>
  <c r="D542" i="1"/>
  <c r="D561" i="1"/>
  <c r="D577" i="1"/>
  <c r="D594" i="1"/>
  <c r="D596" i="1"/>
  <c r="D603" i="1"/>
  <c r="D610" i="1"/>
  <c r="D612" i="1"/>
  <c r="D619" i="1"/>
  <c r="D625" i="1"/>
  <c r="D627" i="1"/>
  <c r="D634" i="1"/>
  <c r="D639" i="1"/>
  <c r="D643" i="1"/>
  <c r="D647" i="1"/>
  <c r="D652" i="1"/>
  <c r="D655" i="1"/>
  <c r="D659" i="1"/>
  <c r="D665" i="1"/>
  <c r="D671" i="1"/>
  <c r="D675" i="1"/>
  <c r="D679" i="1"/>
  <c r="D683" i="1"/>
  <c r="D408" i="1"/>
  <c r="D691" i="1"/>
  <c r="D695" i="1"/>
  <c r="D697" i="1"/>
  <c r="D703" i="1"/>
  <c r="D708" i="1"/>
  <c r="D711" i="1"/>
  <c r="D715" i="1"/>
  <c r="D719" i="1"/>
  <c r="D722" i="1"/>
  <c r="D726" i="1"/>
  <c r="D730" i="1"/>
  <c r="D735" i="1"/>
  <c r="D739" i="1"/>
  <c r="D743" i="1"/>
  <c r="D747" i="1"/>
  <c r="D752" i="1"/>
  <c r="D756" i="1"/>
  <c r="D760" i="1"/>
  <c r="D770" i="1"/>
  <c r="D765" i="1"/>
  <c r="D773" i="1"/>
  <c r="D778" i="1"/>
  <c r="D1330" i="1"/>
  <c r="D784" i="1"/>
  <c r="D788" i="1"/>
  <c r="D905" i="1"/>
  <c r="D790" i="1"/>
  <c r="D796" i="1"/>
  <c r="D800" i="1"/>
  <c r="D808" i="1"/>
  <c r="D812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2" i="1"/>
  <c r="D865" i="1"/>
  <c r="D873" i="1"/>
  <c r="D877" i="1"/>
  <c r="D881" i="1"/>
  <c r="D885" i="1"/>
  <c r="D889" i="1"/>
  <c r="D894" i="1"/>
  <c r="D898" i="1"/>
  <c r="D909" i="1"/>
  <c r="D914" i="1"/>
  <c r="D918" i="1"/>
  <c r="D923" i="1"/>
  <c r="D927" i="1"/>
  <c r="D931" i="1"/>
  <c r="D935" i="1"/>
  <c r="D939" i="1"/>
  <c r="D943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0" i="1"/>
  <c r="D274" i="1"/>
  <c r="D294" i="1"/>
  <c r="D310" i="1"/>
  <c r="D329" i="1"/>
  <c r="D352" i="1"/>
  <c r="D368" i="1"/>
  <c r="D386" i="1"/>
  <c r="D403" i="1"/>
  <c r="D421" i="1"/>
  <c r="D441" i="1"/>
  <c r="D453" i="1"/>
  <c r="D471" i="1"/>
  <c r="D487" i="1"/>
  <c r="D504" i="1"/>
  <c r="D520" i="1"/>
  <c r="D536" i="1"/>
  <c r="D557" i="1"/>
  <c r="D573" i="1"/>
  <c r="D591" i="1"/>
  <c r="D598" i="1"/>
  <c r="D600" i="1"/>
  <c r="D607" i="1"/>
  <c r="D614" i="1"/>
  <c r="D616" i="1"/>
  <c r="D622" i="1"/>
  <c r="D629" i="1"/>
  <c r="D631" i="1"/>
  <c r="D638" i="1"/>
  <c r="D642" i="1"/>
  <c r="D646" i="1"/>
  <c r="D651" i="1"/>
  <c r="D654" i="1"/>
  <c r="D658" i="1"/>
  <c r="D663" i="1"/>
  <c r="D666" i="1"/>
  <c r="D670" i="1"/>
  <c r="D674" i="1"/>
  <c r="D678" i="1"/>
  <c r="D682" i="1"/>
  <c r="D686" i="1"/>
  <c r="D690" i="1"/>
  <c r="D694" i="1"/>
  <c r="D699" i="1"/>
  <c r="D702" i="1"/>
  <c r="D707" i="1"/>
  <c r="D709" i="1"/>
  <c r="D714" i="1"/>
  <c r="D718" i="1"/>
  <c r="D721" i="1"/>
  <c r="D725" i="1"/>
  <c r="D729" i="1"/>
  <c r="D733" i="1"/>
  <c r="D738" i="1"/>
  <c r="D742" i="1"/>
  <c r="D746" i="1"/>
  <c r="D751" i="1"/>
  <c r="D755" i="1"/>
  <c r="D759" i="1"/>
  <c r="D769" i="1"/>
  <c r="D764" i="1"/>
  <c r="D772" i="1"/>
  <c r="D777" i="1"/>
  <c r="D554" i="1"/>
  <c r="D783" i="1"/>
  <c r="D787" i="1"/>
  <c r="D904" i="1"/>
  <c r="D906" i="1"/>
  <c r="D795" i="1"/>
  <c r="D799" i="1"/>
  <c r="D807" i="1"/>
  <c r="D811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7" i="1"/>
  <c r="D869" i="1"/>
  <c r="D876" i="1"/>
  <c r="D880" i="1"/>
  <c r="D884" i="1"/>
  <c r="D888" i="1"/>
  <c r="D893" i="1"/>
  <c r="D897" i="1"/>
  <c r="D901" i="1"/>
  <c r="D159" i="1"/>
  <c r="D917" i="1"/>
  <c r="D921" i="1"/>
  <c r="D926" i="1"/>
  <c r="D930" i="1"/>
  <c r="D934" i="1"/>
  <c r="D938" i="1"/>
  <c r="D942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56" i="1"/>
  <c r="D271" i="1"/>
  <c r="D290" i="1"/>
  <c r="D306" i="1"/>
  <c r="D325" i="1"/>
  <c r="D348" i="1"/>
  <c r="D364" i="1"/>
  <c r="D382" i="1"/>
  <c r="D398" i="1"/>
  <c r="D417" i="1"/>
  <c r="D433" i="1"/>
  <c r="D448" i="1"/>
  <c r="D467" i="1"/>
  <c r="D489" i="1"/>
  <c r="D500" i="1"/>
  <c r="D516" i="1"/>
  <c r="D532" i="1"/>
  <c r="D551" i="1"/>
  <c r="D569" i="1"/>
  <c r="D586" i="1"/>
  <c r="D604" i="1"/>
  <c r="D611" i="1"/>
  <c r="D618" i="1"/>
  <c r="D649" i="1"/>
  <c r="D664" i="1"/>
  <c r="D681" i="1"/>
  <c r="D698" i="1"/>
  <c r="D713" i="1"/>
  <c r="D728" i="1"/>
  <c r="D745" i="1"/>
  <c r="D768" i="1"/>
  <c r="D780" i="1"/>
  <c r="D908" i="1"/>
  <c r="D810" i="1"/>
  <c r="D824" i="1"/>
  <c r="D840" i="1"/>
  <c r="D856" i="1"/>
  <c r="D875" i="1"/>
  <c r="D892" i="1"/>
  <c r="D916" i="1"/>
  <c r="D933" i="1"/>
  <c r="D948" i="1"/>
  <c r="D952" i="1"/>
  <c r="D961" i="1"/>
  <c r="D965" i="1"/>
  <c r="D969" i="1"/>
  <c r="D973" i="1"/>
  <c r="D977" i="1"/>
  <c r="D982" i="1"/>
  <c r="D987" i="1"/>
  <c r="D991" i="1"/>
  <c r="D995" i="1"/>
  <c r="D999" i="1"/>
  <c r="D1004" i="1"/>
  <c r="D1008" i="1"/>
  <c r="D1012" i="1"/>
  <c r="D1016" i="1"/>
  <c r="D1020" i="1"/>
  <c r="D1024" i="1"/>
  <c r="D1028" i="1"/>
  <c r="D1032" i="1"/>
  <c r="D1036" i="1"/>
  <c r="D1040" i="1"/>
  <c r="D1048" i="1"/>
  <c r="D1053" i="1"/>
  <c r="D38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41" i="1"/>
  <c r="D1145" i="1"/>
  <c r="D1149" i="1"/>
  <c r="D1154" i="1"/>
  <c r="D1158" i="1"/>
  <c r="D1162" i="1"/>
  <c r="D1166" i="1"/>
  <c r="D1170" i="1"/>
  <c r="D1175" i="1"/>
  <c r="D1179" i="1"/>
  <c r="D1183" i="1"/>
  <c r="D1187" i="1"/>
  <c r="D1191" i="1"/>
  <c r="D1469" i="1"/>
  <c r="D1197" i="1"/>
  <c r="D1201" i="1"/>
  <c r="D1205" i="1"/>
  <c r="D1209" i="1"/>
  <c r="D1213" i="1"/>
  <c r="D1218" i="1"/>
  <c r="D1222" i="1"/>
  <c r="D1226" i="1"/>
  <c r="D1230" i="1"/>
  <c r="D1234" i="1"/>
  <c r="D1238" i="1"/>
  <c r="D1241" i="1"/>
  <c r="D1245" i="1"/>
  <c r="D1249" i="1"/>
  <c r="D1253" i="1"/>
  <c r="D1257" i="1"/>
  <c r="D1261" i="1"/>
  <c r="D1265" i="1"/>
  <c r="D1269" i="1"/>
  <c r="D1273" i="1"/>
  <c r="D1277" i="1"/>
  <c r="D1282" i="1"/>
  <c r="D1286" i="1"/>
  <c r="D1292" i="1"/>
  <c r="D1298" i="1"/>
  <c r="D1302" i="1"/>
  <c r="D1306" i="1"/>
  <c r="D1310" i="1"/>
  <c r="D1314" i="1"/>
  <c r="D1318" i="1"/>
  <c r="D1322" i="1"/>
  <c r="D1326" i="1"/>
  <c r="D1331" i="1"/>
  <c r="D1335" i="1"/>
  <c r="D1339" i="1"/>
  <c r="D1343" i="1"/>
  <c r="D1347" i="1"/>
  <c r="D1351" i="1"/>
  <c r="D1355" i="1"/>
  <c r="D1359" i="1"/>
  <c r="D1361" i="1"/>
  <c r="D1365" i="1"/>
  <c r="D1369" i="1"/>
  <c r="D1371" i="1"/>
  <c r="D1375" i="1"/>
  <c r="D1379" i="1"/>
  <c r="D1383" i="1"/>
  <c r="D1387" i="1"/>
  <c r="D1391" i="1"/>
  <c r="D1395" i="1"/>
  <c r="D1399" i="1"/>
  <c r="D1403" i="1"/>
  <c r="D1407" i="1"/>
  <c r="D1412" i="1"/>
  <c r="D1416" i="1"/>
  <c r="D1420" i="1"/>
  <c r="D1424" i="1"/>
  <c r="D1428" i="1"/>
  <c r="D1432" i="1"/>
  <c r="D1436" i="1"/>
  <c r="D1440" i="1"/>
  <c r="D1444" i="1"/>
  <c r="D1448" i="1"/>
  <c r="D1453" i="1"/>
  <c r="D1456" i="1"/>
  <c r="D1460" i="1"/>
  <c r="D1464" i="1"/>
  <c r="D1470" i="1"/>
  <c r="D1474" i="1"/>
  <c r="D1478" i="1"/>
  <c r="D1481" i="1"/>
  <c r="D343" i="1"/>
  <c r="D347" i="1"/>
  <c r="D1488" i="1"/>
  <c r="D1492" i="1"/>
  <c r="D1498" i="1"/>
  <c r="D1502" i="1"/>
  <c r="D1506" i="1"/>
  <c r="D3" i="1"/>
  <c r="D1268" i="1"/>
  <c r="D1291" i="1"/>
  <c r="D1301" i="1"/>
  <c r="D1317" i="1"/>
  <c r="D1334" i="1"/>
  <c r="D1346" i="1"/>
  <c r="D1360" i="1"/>
  <c r="D1374" i="1"/>
  <c r="D1390" i="1"/>
  <c r="D1398" i="1"/>
  <c r="D1419" i="1"/>
  <c r="D1431" i="1"/>
  <c r="D1447" i="1"/>
  <c r="D1463" i="1"/>
  <c r="D1476" i="1"/>
  <c r="D1487" i="1"/>
  <c r="D1501" i="1"/>
  <c r="D1517" i="1"/>
  <c r="D1519" i="1"/>
  <c r="D1527" i="1"/>
  <c r="D1536" i="1"/>
  <c r="D1540" i="1"/>
  <c r="D1548" i="1"/>
  <c r="D620" i="1"/>
  <c r="D626" i="1"/>
  <c r="D633" i="1"/>
  <c r="D645" i="1"/>
  <c r="D661" i="1"/>
  <c r="D677" i="1"/>
  <c r="D693" i="1"/>
  <c r="D710" i="1"/>
  <c r="D724" i="1"/>
  <c r="D741" i="1"/>
  <c r="D758" i="1"/>
  <c r="D776" i="1"/>
  <c r="D902" i="1"/>
  <c r="D806" i="1"/>
  <c r="D820" i="1"/>
  <c r="D836" i="1"/>
  <c r="D852" i="1"/>
  <c r="D868" i="1"/>
  <c r="D887" i="1"/>
  <c r="D913" i="1"/>
  <c r="D929" i="1"/>
  <c r="D945" i="1"/>
  <c r="D949" i="1"/>
  <c r="D958" i="1"/>
  <c r="D962" i="1"/>
  <c r="D966" i="1"/>
  <c r="D970" i="1"/>
  <c r="D974" i="1"/>
  <c r="D978" i="1"/>
  <c r="D983" i="1"/>
  <c r="D988" i="1"/>
  <c r="D992" i="1"/>
  <c r="D996" i="1"/>
  <c r="D1000" i="1"/>
  <c r="D1005" i="1"/>
  <c r="D1009" i="1"/>
  <c r="D1013" i="1"/>
  <c r="D1017" i="1"/>
  <c r="D1021" i="1"/>
  <c r="D1025" i="1"/>
  <c r="D1030" i="1"/>
  <c r="D1033" i="1"/>
  <c r="D1037" i="1"/>
  <c r="D1045" i="1"/>
  <c r="D1049" i="1"/>
  <c r="D1054" i="1"/>
  <c r="D922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2" i="1"/>
  <c r="D1146" i="1"/>
  <c r="D1150" i="1"/>
  <c r="D1155" i="1"/>
  <c r="D1159" i="1"/>
  <c r="D1163" i="1"/>
  <c r="D1167" i="1"/>
  <c r="D1171" i="1"/>
  <c r="D1176" i="1"/>
  <c r="D1180" i="1"/>
  <c r="D1184" i="1"/>
  <c r="D1188" i="1"/>
  <c r="D1192" i="1"/>
  <c r="D1194" i="1"/>
  <c r="D1198" i="1"/>
  <c r="D1202" i="1"/>
  <c r="D1206" i="1"/>
  <c r="D1210" i="1"/>
  <c r="D1215" i="1"/>
  <c r="D1219" i="1"/>
  <c r="D1223" i="1"/>
  <c r="D1227" i="1"/>
  <c r="D1231" i="1"/>
  <c r="D1235" i="1"/>
  <c r="D112" i="1"/>
  <c r="D1242" i="1"/>
  <c r="D1246" i="1"/>
  <c r="D1250" i="1"/>
  <c r="D1254" i="1"/>
  <c r="D1258" i="1"/>
  <c r="D1262" i="1"/>
  <c r="D1266" i="1"/>
  <c r="D1270" i="1"/>
  <c r="D1274" i="1"/>
  <c r="D1278" i="1"/>
  <c r="D1283" i="1"/>
  <c r="D1287" i="1"/>
  <c r="D1293" i="1"/>
  <c r="D1299" i="1"/>
  <c r="D1303" i="1"/>
  <c r="D1307" i="1"/>
  <c r="D1311" i="1"/>
  <c r="D1315" i="1"/>
  <c r="D1319" i="1"/>
  <c r="D1323" i="1"/>
  <c r="D1327" i="1"/>
  <c r="D1332" i="1"/>
  <c r="D1336" i="1"/>
  <c r="D1340" i="1"/>
  <c r="D1344" i="1"/>
  <c r="D1348" i="1"/>
  <c r="D1352" i="1"/>
  <c r="D1356" i="1"/>
  <c r="D539" i="1"/>
  <c r="D1362" i="1"/>
  <c r="D1366" i="1"/>
  <c r="D447" i="1"/>
  <c r="D1372" i="1"/>
  <c r="D1376" i="1"/>
  <c r="D1380" i="1"/>
  <c r="D1384" i="1"/>
  <c r="D1388" i="1"/>
  <c r="D1392" i="1"/>
  <c r="D1396" i="1"/>
  <c r="D1400" i="1"/>
  <c r="D1404" i="1"/>
  <c r="D1408" i="1"/>
  <c r="D1413" i="1"/>
  <c r="D1417" i="1"/>
  <c r="D1421" i="1"/>
  <c r="D1425" i="1"/>
  <c r="D1429" i="1"/>
  <c r="D1433" i="1"/>
  <c r="D1437" i="1"/>
  <c r="D1441" i="1"/>
  <c r="D1445" i="1"/>
  <c r="D1449" i="1"/>
  <c r="D1454" i="1"/>
  <c r="D1457" i="1"/>
  <c r="D1461" i="1"/>
  <c r="D1465" i="1"/>
  <c r="D1471" i="1"/>
  <c r="D1475" i="1"/>
  <c r="D1479" i="1"/>
  <c r="D1482" i="1"/>
  <c r="D344" i="1"/>
  <c r="D1485" i="1"/>
  <c r="D1489" i="1"/>
  <c r="D1494" i="1"/>
  <c r="D1499" i="1"/>
  <c r="D1503" i="1"/>
  <c r="D1507" i="1"/>
  <c r="D1512" i="1"/>
  <c r="D1516" i="1"/>
  <c r="D1508" i="1"/>
  <c r="D1514" i="1"/>
  <c r="D1518" i="1"/>
  <c r="D1520" i="1"/>
  <c r="D1522" i="1"/>
  <c r="D1524" i="1"/>
  <c r="D1526" i="1"/>
  <c r="D1528" i="1"/>
  <c r="D1530" i="1"/>
  <c r="D1532" i="1"/>
  <c r="D1535" i="1"/>
  <c r="D1537" i="1"/>
  <c r="D1140" i="1"/>
  <c r="D1539" i="1"/>
  <c r="D1541" i="1"/>
  <c r="D1543" i="1"/>
  <c r="D1545" i="1"/>
  <c r="D1547" i="1"/>
  <c r="D1549" i="1"/>
  <c r="D1272" i="1"/>
  <c r="D1285" i="1"/>
  <c r="D1305" i="1"/>
  <c r="D1321" i="1"/>
  <c r="D1338" i="1"/>
  <c r="D1350" i="1"/>
  <c r="D1364" i="1"/>
  <c r="D1370" i="1"/>
  <c r="D1386" i="1"/>
  <c r="D1402" i="1"/>
  <c r="D1415" i="1"/>
  <c r="D1427" i="1"/>
  <c r="D1443" i="1"/>
  <c r="D1455" i="1"/>
  <c r="D1473" i="1"/>
  <c r="D1484" i="1"/>
  <c r="D1497" i="1"/>
  <c r="D1513" i="1"/>
  <c r="D1515" i="1"/>
  <c r="D1525" i="1"/>
  <c r="D1531" i="1"/>
  <c r="D1139" i="1"/>
  <c r="D1546" i="1"/>
  <c r="D635" i="1"/>
  <c r="D641" i="1"/>
  <c r="D657" i="1"/>
  <c r="D673" i="1"/>
  <c r="D689" i="1"/>
  <c r="D705" i="1"/>
  <c r="D720" i="1"/>
  <c r="D737" i="1"/>
  <c r="D754" i="1"/>
  <c r="D767" i="1"/>
  <c r="D786" i="1"/>
  <c r="D798" i="1"/>
  <c r="D816" i="1"/>
  <c r="D832" i="1"/>
  <c r="D848" i="1"/>
  <c r="D864" i="1"/>
  <c r="D883" i="1"/>
  <c r="D900" i="1"/>
  <c r="D925" i="1"/>
  <c r="D941" i="1"/>
  <c r="D946" i="1"/>
  <c r="D950" i="1"/>
  <c r="D959" i="1"/>
  <c r="D963" i="1"/>
  <c r="D967" i="1"/>
  <c r="D971" i="1"/>
  <c r="D975" i="1"/>
  <c r="D980" i="1"/>
  <c r="D984" i="1"/>
  <c r="D989" i="1"/>
  <c r="D993" i="1"/>
  <c r="D997" i="1"/>
  <c r="D1001" i="1"/>
  <c r="D1006" i="1"/>
  <c r="D1010" i="1"/>
  <c r="D1014" i="1"/>
  <c r="D1018" i="1"/>
  <c r="D1022" i="1"/>
  <c r="D1026" i="1"/>
  <c r="D1031" i="1"/>
  <c r="D1034" i="1"/>
  <c r="D1038" i="1"/>
  <c r="D1046" i="1"/>
  <c r="D1050" i="1"/>
  <c r="D1055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3" i="1"/>
  <c r="D1147" i="1"/>
  <c r="D1151" i="1"/>
  <c r="D1156" i="1"/>
  <c r="D1160" i="1"/>
  <c r="D1164" i="1"/>
  <c r="D1168" i="1"/>
  <c r="D1172" i="1"/>
  <c r="D1177" i="1"/>
  <c r="D1181" i="1"/>
  <c r="D1185" i="1"/>
  <c r="D1189" i="1"/>
  <c r="D1193" i="1"/>
  <c r="D1195" i="1"/>
  <c r="D1199" i="1"/>
  <c r="D1203" i="1"/>
  <c r="D1207" i="1"/>
  <c r="D1211" i="1"/>
  <c r="D1216" i="1"/>
  <c r="D1220" i="1"/>
  <c r="D1224" i="1"/>
  <c r="D1228" i="1"/>
  <c r="D1232" i="1"/>
  <c r="D1237" i="1"/>
  <c r="D1239" i="1"/>
  <c r="D1243" i="1"/>
  <c r="D1247" i="1"/>
  <c r="D1251" i="1"/>
  <c r="D1255" i="1"/>
  <c r="D1259" i="1"/>
  <c r="D1263" i="1"/>
  <c r="D1267" i="1"/>
  <c r="D1271" i="1"/>
  <c r="D1275" i="1"/>
  <c r="D1280" i="1"/>
  <c r="D1284" i="1"/>
  <c r="D1290" i="1"/>
  <c r="D1294" i="1"/>
  <c r="D1300" i="1"/>
  <c r="D1304" i="1"/>
  <c r="D1308" i="1"/>
  <c r="D1312" i="1"/>
  <c r="D1316" i="1"/>
  <c r="D1320" i="1"/>
  <c r="D1324" i="1"/>
  <c r="D1328" i="1"/>
  <c r="D1333" i="1"/>
  <c r="D1337" i="1"/>
  <c r="D1341" i="1"/>
  <c r="D1345" i="1"/>
  <c r="D1349" i="1"/>
  <c r="D1353" i="1"/>
  <c r="D1357" i="1"/>
  <c r="D540" i="1"/>
  <c r="D1363" i="1"/>
  <c r="D1367" i="1"/>
  <c r="D1052" i="1"/>
  <c r="D1373" i="1"/>
  <c r="D1377" i="1"/>
  <c r="D1381" i="1"/>
  <c r="D1385" i="1"/>
  <c r="D1389" i="1"/>
  <c r="D1393" i="1"/>
  <c r="D1397" i="1"/>
  <c r="D1401" i="1"/>
  <c r="D1405" i="1"/>
  <c r="D1410" i="1"/>
  <c r="D1414" i="1"/>
  <c r="D1418" i="1"/>
  <c r="D1422" i="1"/>
  <c r="D1426" i="1"/>
  <c r="D1430" i="1"/>
  <c r="D1434" i="1"/>
  <c r="D1438" i="1"/>
  <c r="D1442" i="1"/>
  <c r="D1446" i="1"/>
  <c r="D1450" i="1"/>
  <c r="D1534" i="1"/>
  <c r="D1458" i="1"/>
  <c r="D1462" i="1"/>
  <c r="D1466" i="1"/>
  <c r="D1472" i="1"/>
  <c r="D1477" i="1"/>
  <c r="D794" i="1"/>
  <c r="D1483" i="1"/>
  <c r="D345" i="1"/>
  <c r="D1486" i="1"/>
  <c r="D1490" i="1"/>
  <c r="D1496" i="1"/>
  <c r="D1500" i="1"/>
  <c r="D1504" i="1"/>
  <c r="D1510" i="1"/>
  <c r="D595" i="1"/>
  <c r="D602" i="1"/>
  <c r="D406" i="1"/>
  <c r="D669" i="1"/>
  <c r="D685" i="1"/>
  <c r="D701" i="1"/>
  <c r="D717" i="1"/>
  <c r="D732" i="1"/>
  <c r="D750" i="1"/>
  <c r="D775" i="1"/>
  <c r="D782" i="1"/>
  <c r="D793" i="1"/>
  <c r="D449" i="1"/>
  <c r="D828" i="1"/>
  <c r="D844" i="1"/>
  <c r="D860" i="1"/>
  <c r="D879" i="1"/>
  <c r="D896" i="1"/>
  <c r="D920" i="1"/>
  <c r="D937" i="1"/>
  <c r="D947" i="1"/>
  <c r="D951" i="1"/>
  <c r="D960" i="1"/>
  <c r="D964" i="1"/>
  <c r="D968" i="1"/>
  <c r="D972" i="1"/>
  <c r="D976" i="1"/>
  <c r="D981" i="1"/>
  <c r="D985" i="1"/>
  <c r="D990" i="1"/>
  <c r="D994" i="1"/>
  <c r="D998" i="1"/>
  <c r="D1003" i="1"/>
  <c r="D1007" i="1"/>
  <c r="D1011" i="1"/>
  <c r="D1015" i="1"/>
  <c r="D1019" i="1"/>
  <c r="D1023" i="1"/>
  <c r="D1027" i="1"/>
  <c r="D1029" i="1"/>
  <c r="D1035" i="1"/>
  <c r="D1039" i="1"/>
  <c r="D1047" i="1"/>
  <c r="D1051" i="1"/>
  <c r="D1056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4" i="1"/>
  <c r="D1148" i="1"/>
  <c r="D1153" i="1"/>
  <c r="D1157" i="1"/>
  <c r="D1161" i="1"/>
  <c r="D1165" i="1"/>
  <c r="D1169" i="1"/>
  <c r="D1174" i="1"/>
  <c r="D1178" i="1"/>
  <c r="D1182" i="1"/>
  <c r="D1186" i="1"/>
  <c r="D1190" i="1"/>
  <c r="D1468" i="1"/>
  <c r="D1196" i="1"/>
  <c r="D1200" i="1"/>
  <c r="D1204" i="1"/>
  <c r="D1208" i="1"/>
  <c r="D1212" i="1"/>
  <c r="D1217" i="1"/>
  <c r="D1221" i="1"/>
  <c r="D1225" i="1"/>
  <c r="D1229" i="1"/>
  <c r="D1233" i="1"/>
  <c r="D1236" i="1"/>
  <c r="D1240" i="1"/>
  <c r="D1244" i="1"/>
  <c r="D1248" i="1"/>
  <c r="D1252" i="1"/>
  <c r="D1256" i="1"/>
  <c r="D1260" i="1"/>
  <c r="D1264" i="1"/>
  <c r="D1276" i="1"/>
  <c r="D1281" i="1"/>
  <c r="D1295" i="1"/>
  <c r="D1309" i="1"/>
  <c r="D1313" i="1"/>
  <c r="D1325" i="1"/>
  <c r="D1329" i="1"/>
  <c r="D1342" i="1"/>
  <c r="D1354" i="1"/>
  <c r="D1358" i="1"/>
  <c r="D1368" i="1"/>
  <c r="D1378" i="1"/>
  <c r="D1382" i="1"/>
  <c r="D1394" i="1"/>
  <c r="D1406" i="1"/>
  <c r="D1411" i="1"/>
  <c r="D1423" i="1"/>
  <c r="D1435" i="1"/>
  <c r="D1439" i="1"/>
  <c r="D1452" i="1"/>
  <c r="D1459" i="1"/>
  <c r="D1467" i="1"/>
  <c r="D1480" i="1"/>
  <c r="D346" i="1"/>
  <c r="D1491" i="1"/>
  <c r="D1505" i="1"/>
  <c r="D1511" i="1"/>
  <c r="D1509" i="1"/>
  <c r="D1521" i="1"/>
  <c r="D1523" i="1"/>
  <c r="D1529" i="1"/>
  <c r="D1533" i="1"/>
  <c r="D1538" i="1"/>
  <c r="D1542" i="1"/>
  <c r="D1544" i="1"/>
  <c r="D1550" i="1"/>
  <c r="E667" i="1" l="1"/>
  <c r="E206" i="1"/>
  <c r="E791" i="1"/>
  <c r="E316" i="1"/>
  <c r="E910" i="1"/>
  <c r="E911" i="1"/>
  <c r="E1451" i="1"/>
  <c r="F1" i="1"/>
  <c r="G1" i="1" l="1"/>
  <c r="F1048" i="1"/>
  <c r="G667" i="1" l="1"/>
  <c r="G804" i="1"/>
  <c r="G805" i="1"/>
  <c r="G803" i="1"/>
  <c r="G802" i="1"/>
  <c r="G582" i="1"/>
  <c r="G206" i="1"/>
  <c r="G791" i="1"/>
  <c r="G555" i="1"/>
  <c r="G17" i="1"/>
  <c r="G316" i="1"/>
  <c r="G202" i="1"/>
  <c r="G199" i="1"/>
  <c r="G201" i="1"/>
  <c r="G203" i="1"/>
  <c r="G200" i="1"/>
  <c r="G910" i="1"/>
  <c r="G911" i="1"/>
  <c r="G650" i="1"/>
  <c r="G734" i="1"/>
  <c r="G870" i="1"/>
  <c r="G280" i="1"/>
  <c r="G762" i="1"/>
  <c r="G763" i="1"/>
  <c r="G1214" i="1"/>
  <c r="G954" i="1"/>
  <c r="G27" i="1"/>
  <c r="G871" i="1"/>
  <c r="G281" i="1"/>
  <c r="G478" i="1"/>
  <c r="G956" i="1"/>
  <c r="G1409" i="1"/>
  <c r="G1451" i="1"/>
  <c r="G40" i="1"/>
  <c r="G955" i="1"/>
  <c r="G26" i="1"/>
  <c r="G380" i="1"/>
  <c r="G1002" i="1"/>
  <c r="G953" i="1"/>
  <c r="G1288" i="1"/>
  <c r="G169" i="1"/>
  <c r="G479" i="1"/>
  <c r="G1279" i="1"/>
  <c r="G1495" i="1"/>
  <c r="G277" i="1"/>
  <c r="G550" i="1"/>
  <c r="G28" i="1"/>
  <c r="G957" i="1"/>
  <c r="G1493" i="1"/>
  <c r="G1289" i="1"/>
  <c r="G381" i="1"/>
  <c r="G282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297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3" i="1"/>
  <c r="G267" i="1"/>
  <c r="G271" i="1"/>
  <c r="G274" i="1"/>
  <c r="G279" i="1"/>
  <c r="G286" i="1"/>
  <c r="G290" i="1"/>
  <c r="G294" i="1"/>
  <c r="G298" i="1"/>
  <c r="G302" i="1"/>
  <c r="G306" i="1"/>
  <c r="G310" i="1"/>
  <c r="G314" i="1"/>
  <c r="G319" i="1"/>
  <c r="G325" i="1"/>
  <c r="G329" i="1"/>
  <c r="G335" i="1"/>
  <c r="G339" i="1"/>
  <c r="G348" i="1"/>
  <c r="G352" i="1"/>
  <c r="G356" i="1"/>
  <c r="G360" i="1"/>
  <c r="G364" i="1"/>
  <c r="G368" i="1"/>
  <c r="G372" i="1"/>
  <c r="G376" i="1"/>
  <c r="G382" i="1"/>
  <c r="G386" i="1"/>
  <c r="G390" i="1"/>
  <c r="G394" i="1"/>
  <c r="G398" i="1"/>
  <c r="G403" i="1"/>
  <c r="G409" i="1"/>
  <c r="G413" i="1"/>
  <c r="G417" i="1"/>
  <c r="G421" i="1"/>
  <c r="G425" i="1"/>
  <c r="G429" i="1"/>
  <c r="G433" i="1"/>
  <c r="G441" i="1"/>
  <c r="G437" i="1"/>
  <c r="G443" i="1"/>
  <c r="G448" i="1"/>
  <c r="G453" i="1"/>
  <c r="G457" i="1"/>
  <c r="G463" i="1"/>
  <c r="G467" i="1"/>
  <c r="G471" i="1"/>
  <c r="G474" i="1"/>
  <c r="G480" i="1"/>
  <c r="G489" i="1"/>
  <c r="G487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2" i="1"/>
  <c r="G546" i="1"/>
  <c r="G551" i="1"/>
  <c r="G557" i="1"/>
  <c r="G561" i="1"/>
  <c r="G565" i="1"/>
  <c r="G569" i="1"/>
  <c r="G573" i="1"/>
  <c r="G577" i="1"/>
  <c r="G581" i="1"/>
  <c r="G586" i="1"/>
  <c r="G590" i="1"/>
  <c r="G594" i="1"/>
  <c r="G598" i="1"/>
  <c r="G602" i="1"/>
  <c r="G606" i="1"/>
  <c r="G610" i="1"/>
  <c r="G614" i="1"/>
  <c r="G618" i="1"/>
  <c r="G621" i="1"/>
  <c r="G625" i="1"/>
  <c r="G629" i="1"/>
  <c r="G633" i="1"/>
  <c r="G637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296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2" i="1"/>
  <c r="G266" i="1"/>
  <c r="G270" i="1"/>
  <c r="G748" i="1"/>
  <c r="G278" i="1"/>
  <c r="G285" i="1"/>
  <c r="G289" i="1"/>
  <c r="G293" i="1"/>
  <c r="G297" i="1"/>
  <c r="G301" i="1"/>
  <c r="G305" i="1"/>
  <c r="G309" i="1"/>
  <c r="G313" i="1"/>
  <c r="G318" i="1"/>
  <c r="G324" i="1"/>
  <c r="G328" i="1"/>
  <c r="G334" i="1"/>
  <c r="G338" i="1"/>
  <c r="G342" i="1"/>
  <c r="G351" i="1"/>
  <c r="G355" i="1"/>
  <c r="G359" i="1"/>
  <c r="G363" i="1"/>
  <c r="G367" i="1"/>
  <c r="G371" i="1"/>
  <c r="G375" i="1"/>
  <c r="G379" i="1"/>
  <c r="G385" i="1"/>
  <c r="G389" i="1"/>
  <c r="G393" i="1"/>
  <c r="G397" i="1"/>
  <c r="G402" i="1"/>
  <c r="G407" i="1"/>
  <c r="G412" i="1"/>
  <c r="G416" i="1"/>
  <c r="G420" i="1"/>
  <c r="G424" i="1"/>
  <c r="G428" i="1"/>
  <c r="G432" i="1"/>
  <c r="G442" i="1"/>
  <c r="G436" i="1"/>
  <c r="G440" i="1"/>
  <c r="G446" i="1"/>
  <c r="G452" i="1"/>
  <c r="G456" i="1"/>
  <c r="G462" i="1"/>
  <c r="G466" i="1"/>
  <c r="G470" i="1"/>
  <c r="G473" i="1"/>
  <c r="G477" i="1"/>
  <c r="G484" i="1"/>
  <c r="G486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41" i="1"/>
  <c r="G545" i="1"/>
  <c r="G549" i="1"/>
  <c r="G556" i="1"/>
  <c r="G560" i="1"/>
  <c r="G564" i="1"/>
  <c r="G568" i="1"/>
  <c r="G572" i="1"/>
  <c r="G576" i="1"/>
  <c r="G580" i="1"/>
  <c r="G585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03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872" i="1"/>
  <c r="G265" i="1"/>
  <c r="G269" i="1"/>
  <c r="G273" i="1"/>
  <c r="G276" i="1"/>
  <c r="G284" i="1"/>
  <c r="G288" i="1"/>
  <c r="G292" i="1"/>
  <c r="G296" i="1"/>
  <c r="G300" i="1"/>
  <c r="G304" i="1"/>
  <c r="G308" i="1"/>
  <c r="G312" i="1"/>
  <c r="G317" i="1"/>
  <c r="G323" i="1"/>
  <c r="G327" i="1"/>
  <c r="G333" i="1"/>
  <c r="G337" i="1"/>
  <c r="G341" i="1"/>
  <c r="G350" i="1"/>
  <c r="G354" i="1"/>
  <c r="G358" i="1"/>
  <c r="G362" i="1"/>
  <c r="G366" i="1"/>
  <c r="G370" i="1"/>
  <c r="G374" i="1"/>
  <c r="G378" i="1"/>
  <c r="G384" i="1"/>
  <c r="G388" i="1"/>
  <c r="G392" i="1"/>
  <c r="G396" i="1"/>
  <c r="G401" i="1"/>
  <c r="G405" i="1"/>
  <c r="G411" i="1"/>
  <c r="G415" i="1"/>
  <c r="G419" i="1"/>
  <c r="G423" i="1"/>
  <c r="G427" i="1"/>
  <c r="G431" i="1"/>
  <c r="G461" i="1"/>
  <c r="G435" i="1"/>
  <c r="G439" i="1"/>
  <c r="G445" i="1"/>
  <c r="G451" i="1"/>
  <c r="G455" i="1"/>
  <c r="G458" i="1"/>
  <c r="G465" i="1"/>
  <c r="G469" i="1"/>
  <c r="G687" i="1"/>
  <c r="G476" i="1"/>
  <c r="G482" i="1"/>
  <c r="G485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4" i="1"/>
  <c r="G548" i="1"/>
  <c r="G553" i="1"/>
  <c r="G559" i="1"/>
  <c r="G563" i="1"/>
  <c r="G567" i="1"/>
  <c r="G571" i="1"/>
  <c r="G575" i="1"/>
  <c r="G579" i="1"/>
  <c r="G584" i="1"/>
  <c r="G588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57" i="1"/>
  <c r="G272" i="1"/>
  <c r="G291" i="1"/>
  <c r="G307" i="1"/>
  <c r="G326" i="1"/>
  <c r="G349" i="1"/>
  <c r="G365" i="1"/>
  <c r="G383" i="1"/>
  <c r="G400" i="1"/>
  <c r="G418" i="1"/>
  <c r="G460" i="1"/>
  <c r="G450" i="1"/>
  <c r="G468" i="1"/>
  <c r="G483" i="1"/>
  <c r="G501" i="1"/>
  <c r="G517" i="1"/>
  <c r="G533" i="1"/>
  <c r="G552" i="1"/>
  <c r="G570" i="1"/>
  <c r="G587" i="1"/>
  <c r="G595" i="1"/>
  <c r="G597" i="1"/>
  <c r="G604" i="1"/>
  <c r="G611" i="1"/>
  <c r="G613" i="1"/>
  <c r="G620" i="1"/>
  <c r="G626" i="1"/>
  <c r="G628" i="1"/>
  <c r="G635" i="1"/>
  <c r="G641" i="1"/>
  <c r="G645" i="1"/>
  <c r="G649" i="1"/>
  <c r="G406" i="1"/>
  <c r="G657" i="1"/>
  <c r="G661" i="1"/>
  <c r="G664" i="1"/>
  <c r="G669" i="1"/>
  <c r="G673" i="1"/>
  <c r="G677" i="1"/>
  <c r="G681" i="1"/>
  <c r="G685" i="1"/>
  <c r="G689" i="1"/>
  <c r="G693" i="1"/>
  <c r="G698" i="1"/>
  <c r="G701" i="1"/>
  <c r="G705" i="1"/>
  <c r="G710" i="1"/>
  <c r="G713" i="1"/>
  <c r="G717" i="1"/>
  <c r="G720" i="1"/>
  <c r="G724" i="1"/>
  <c r="G728" i="1"/>
  <c r="G732" i="1"/>
  <c r="G737" i="1"/>
  <c r="G741" i="1"/>
  <c r="G745" i="1"/>
  <c r="G750" i="1"/>
  <c r="G754" i="1"/>
  <c r="G758" i="1"/>
  <c r="G768" i="1"/>
  <c r="G775" i="1"/>
  <c r="G767" i="1"/>
  <c r="G776" i="1"/>
  <c r="G780" i="1"/>
  <c r="G782" i="1"/>
  <c r="G786" i="1"/>
  <c r="G902" i="1"/>
  <c r="G908" i="1"/>
  <c r="G793" i="1"/>
  <c r="G798" i="1"/>
  <c r="G806" i="1"/>
  <c r="G810" i="1"/>
  <c r="G449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5" i="1"/>
  <c r="G879" i="1"/>
  <c r="G883" i="1"/>
  <c r="G887" i="1"/>
  <c r="G892" i="1"/>
  <c r="G896" i="1"/>
  <c r="G900" i="1"/>
  <c r="G913" i="1"/>
  <c r="G916" i="1"/>
  <c r="G920" i="1"/>
  <c r="G925" i="1"/>
  <c r="G929" i="1"/>
  <c r="G933" i="1"/>
  <c r="G937" i="1"/>
  <c r="G941" i="1"/>
  <c r="G945" i="1"/>
  <c r="G946" i="1"/>
  <c r="G947" i="1"/>
  <c r="G948" i="1"/>
  <c r="G949" i="1"/>
  <c r="G950" i="1"/>
  <c r="G951" i="1"/>
  <c r="G952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80" i="1"/>
  <c r="G981" i="1"/>
  <c r="G982" i="1"/>
  <c r="G983" i="1"/>
  <c r="G984" i="1"/>
  <c r="G985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30" i="1"/>
  <c r="G1031" i="1"/>
  <c r="G1029" i="1"/>
  <c r="G1032" i="1"/>
  <c r="G1033" i="1"/>
  <c r="G1034" i="1"/>
  <c r="G1035" i="1"/>
  <c r="G1036" i="1"/>
  <c r="G1037" i="1"/>
  <c r="G1038" i="1"/>
  <c r="G1039" i="1"/>
  <c r="G1040" i="1"/>
  <c r="G1045" i="1"/>
  <c r="G1046" i="1"/>
  <c r="G1047" i="1"/>
  <c r="G1048" i="1"/>
  <c r="G1049" i="1"/>
  <c r="G1050" i="1"/>
  <c r="G1051" i="1"/>
  <c r="G1053" i="1"/>
  <c r="G1054" i="1"/>
  <c r="G1055" i="1"/>
  <c r="G1056" i="1"/>
  <c r="G38" i="1"/>
  <c r="G922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41" i="1"/>
  <c r="G1142" i="1"/>
  <c r="G1143" i="1"/>
  <c r="G1144" i="1"/>
  <c r="G1145" i="1"/>
  <c r="G1146" i="1"/>
  <c r="G1147" i="1"/>
  <c r="G1148" i="1"/>
  <c r="G1149" i="1"/>
  <c r="G1150" i="1"/>
  <c r="G1151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468" i="1"/>
  <c r="G1469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7" i="1"/>
  <c r="G1236" i="1"/>
  <c r="G1238" i="1"/>
  <c r="G112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80" i="1"/>
  <c r="G1281" i="1"/>
  <c r="G1282" i="1"/>
  <c r="G1283" i="1"/>
  <c r="G1284" i="1"/>
  <c r="G1285" i="1"/>
  <c r="G1286" i="1"/>
  <c r="G1287" i="1"/>
  <c r="G1290" i="1"/>
  <c r="G1291" i="1"/>
  <c r="G1292" i="1"/>
  <c r="G1293" i="1"/>
  <c r="G1294" i="1"/>
  <c r="G1295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539" i="1"/>
  <c r="G540" i="1"/>
  <c r="G1360" i="1"/>
  <c r="G1361" i="1"/>
  <c r="G1362" i="1"/>
  <c r="G1363" i="1"/>
  <c r="G1364" i="1"/>
  <c r="G1365" i="1"/>
  <c r="G1366" i="1"/>
  <c r="G1367" i="1"/>
  <c r="G1368" i="1"/>
  <c r="G1369" i="1"/>
  <c r="G447" i="1"/>
  <c r="G1052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2" i="1"/>
  <c r="G1453" i="1"/>
  <c r="G1454" i="1"/>
  <c r="G153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70" i="1"/>
  <c r="G1471" i="1"/>
  <c r="G1472" i="1"/>
  <c r="G1473" i="1"/>
  <c r="G1474" i="1"/>
  <c r="G1475" i="1"/>
  <c r="G1477" i="1"/>
  <c r="G1476" i="1"/>
  <c r="G1478" i="1"/>
  <c r="G1479" i="1"/>
  <c r="G794" i="1"/>
  <c r="G1480" i="1"/>
  <c r="G1481" i="1"/>
  <c r="G1482" i="1"/>
  <c r="G1483" i="1"/>
  <c r="G1484" i="1"/>
  <c r="G343" i="1"/>
  <c r="G344" i="1"/>
  <c r="G345" i="1"/>
  <c r="G346" i="1"/>
  <c r="G347" i="1"/>
  <c r="G1485" i="1"/>
  <c r="G1486" i="1"/>
  <c r="G1487" i="1"/>
  <c r="G1488" i="1"/>
  <c r="G1489" i="1"/>
  <c r="G1490" i="1"/>
  <c r="G1491" i="1"/>
  <c r="G1492" i="1"/>
  <c r="G1494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10" i="1"/>
  <c r="G1511" i="1"/>
  <c r="G1512" i="1"/>
  <c r="G1513" i="1"/>
  <c r="G1516" i="1"/>
  <c r="G1517" i="1"/>
  <c r="G1508" i="1"/>
  <c r="G1509" i="1"/>
  <c r="G1514" i="1"/>
  <c r="G1515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5" i="1"/>
  <c r="G1536" i="1"/>
  <c r="G1537" i="1"/>
  <c r="G1538" i="1"/>
  <c r="G1140" i="1"/>
  <c r="G1139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68" i="1"/>
  <c r="G287" i="1"/>
  <c r="G303" i="1"/>
  <c r="G322" i="1"/>
  <c r="G340" i="1"/>
  <c r="G361" i="1"/>
  <c r="G377" i="1"/>
  <c r="G395" i="1"/>
  <c r="G414" i="1"/>
  <c r="G430" i="1"/>
  <c r="G444" i="1"/>
  <c r="G464" i="1"/>
  <c r="G481" i="1"/>
  <c r="G497" i="1"/>
  <c r="G513" i="1"/>
  <c r="G529" i="1"/>
  <c r="G547" i="1"/>
  <c r="G566" i="1"/>
  <c r="G583" i="1"/>
  <c r="G592" i="1"/>
  <c r="G599" i="1"/>
  <c r="G601" i="1"/>
  <c r="G608" i="1"/>
  <c r="G615" i="1"/>
  <c r="G617" i="1"/>
  <c r="G623" i="1"/>
  <c r="G630" i="1"/>
  <c r="G632" i="1"/>
  <c r="G640" i="1"/>
  <c r="G644" i="1"/>
  <c r="G648" i="1"/>
  <c r="G653" i="1"/>
  <c r="G656" i="1"/>
  <c r="G660" i="1"/>
  <c r="G662" i="1"/>
  <c r="G668" i="1"/>
  <c r="G672" i="1"/>
  <c r="G676" i="1"/>
  <c r="G680" i="1"/>
  <c r="G684" i="1"/>
  <c r="G688" i="1"/>
  <c r="G692" i="1"/>
  <c r="G696" i="1"/>
  <c r="G700" i="1"/>
  <c r="G704" i="1"/>
  <c r="G706" i="1"/>
  <c r="G712" i="1"/>
  <c r="G716" i="1"/>
  <c r="G130" i="1"/>
  <c r="G723" i="1"/>
  <c r="G727" i="1"/>
  <c r="G731" i="1"/>
  <c r="G736" i="1"/>
  <c r="G740" i="1"/>
  <c r="G744" i="1"/>
  <c r="G749" i="1"/>
  <c r="G753" i="1"/>
  <c r="G757" i="1"/>
  <c r="G761" i="1"/>
  <c r="G771" i="1"/>
  <c r="G766" i="1"/>
  <c r="G774" i="1"/>
  <c r="G779" i="1"/>
  <c r="G781" i="1"/>
  <c r="G785" i="1"/>
  <c r="G789" i="1"/>
  <c r="G907" i="1"/>
  <c r="G792" i="1"/>
  <c r="G797" i="1"/>
  <c r="G801" i="1"/>
  <c r="G809" i="1"/>
  <c r="G5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6" i="1"/>
  <c r="G874" i="1"/>
  <c r="G878" i="1"/>
  <c r="G882" i="1"/>
  <c r="G886" i="1"/>
  <c r="G890" i="1"/>
  <c r="G895" i="1"/>
  <c r="G899" i="1"/>
  <c r="G912" i="1"/>
  <c r="G915" i="1"/>
  <c r="G919" i="1"/>
  <c r="G924" i="1"/>
  <c r="G928" i="1"/>
  <c r="G932" i="1"/>
  <c r="G936" i="1"/>
  <c r="G940" i="1"/>
  <c r="G944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64" i="1"/>
  <c r="G283" i="1"/>
  <c r="G299" i="1"/>
  <c r="G315" i="1"/>
  <c r="G336" i="1"/>
  <c r="G357" i="1"/>
  <c r="G373" i="1"/>
  <c r="G391" i="1"/>
  <c r="G410" i="1"/>
  <c r="G426" i="1"/>
  <c r="G438" i="1"/>
  <c r="G459" i="1"/>
  <c r="G475" i="1"/>
  <c r="G493" i="1"/>
  <c r="G509" i="1"/>
  <c r="G525" i="1"/>
  <c r="G543" i="1"/>
  <c r="G562" i="1"/>
  <c r="G578" i="1"/>
  <c r="G589" i="1"/>
  <c r="G596" i="1"/>
  <c r="G603" i="1"/>
  <c r="G605" i="1"/>
  <c r="G612" i="1"/>
  <c r="G619" i="1"/>
  <c r="G1173" i="1"/>
  <c r="G627" i="1"/>
  <c r="G634" i="1"/>
  <c r="G636" i="1"/>
  <c r="G639" i="1"/>
  <c r="G643" i="1"/>
  <c r="G647" i="1"/>
  <c r="G652" i="1"/>
  <c r="G655" i="1"/>
  <c r="G659" i="1"/>
  <c r="G665" i="1"/>
  <c r="G671" i="1"/>
  <c r="G675" i="1"/>
  <c r="G679" i="1"/>
  <c r="G683" i="1"/>
  <c r="G408" i="1"/>
  <c r="G691" i="1"/>
  <c r="G695" i="1"/>
  <c r="G697" i="1"/>
  <c r="G703" i="1"/>
  <c r="G708" i="1"/>
  <c r="G711" i="1"/>
  <c r="G715" i="1"/>
  <c r="G719" i="1"/>
  <c r="G722" i="1"/>
  <c r="G726" i="1"/>
  <c r="G730" i="1"/>
  <c r="G735" i="1"/>
  <c r="G739" i="1"/>
  <c r="G743" i="1"/>
  <c r="G747" i="1"/>
  <c r="G752" i="1"/>
  <c r="G756" i="1"/>
  <c r="G760" i="1"/>
  <c r="G770" i="1"/>
  <c r="G765" i="1"/>
  <c r="G773" i="1"/>
  <c r="G778" i="1"/>
  <c r="G1330" i="1"/>
  <c r="G784" i="1"/>
  <c r="G788" i="1"/>
  <c r="G905" i="1"/>
  <c r="G790" i="1"/>
  <c r="G796" i="1"/>
  <c r="G800" i="1"/>
  <c r="G808" i="1"/>
  <c r="G812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5" i="1"/>
  <c r="G873" i="1"/>
  <c r="G877" i="1"/>
  <c r="G881" i="1"/>
  <c r="G885" i="1"/>
  <c r="G889" i="1"/>
  <c r="G894" i="1"/>
  <c r="G898" i="1"/>
  <c r="G909" i="1"/>
  <c r="G914" i="1"/>
  <c r="G918" i="1"/>
  <c r="G923" i="1"/>
  <c r="G927" i="1"/>
  <c r="G931" i="1"/>
  <c r="G935" i="1"/>
  <c r="G939" i="1"/>
  <c r="G943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61" i="1"/>
  <c r="G275" i="1"/>
  <c r="G295" i="1"/>
  <c r="G311" i="1"/>
  <c r="G332" i="1"/>
  <c r="G353" i="1"/>
  <c r="G369" i="1"/>
  <c r="G387" i="1"/>
  <c r="G404" i="1"/>
  <c r="G422" i="1"/>
  <c r="G434" i="1"/>
  <c r="G454" i="1"/>
  <c r="G472" i="1"/>
  <c r="G488" i="1"/>
  <c r="G505" i="1"/>
  <c r="G521" i="1"/>
  <c r="G537" i="1"/>
  <c r="G558" i="1"/>
  <c r="G574" i="1"/>
  <c r="G624" i="1"/>
  <c r="G631" i="1"/>
  <c r="G638" i="1"/>
  <c r="G654" i="1"/>
  <c r="G670" i="1"/>
  <c r="G686" i="1"/>
  <c r="G702" i="1"/>
  <c r="G718" i="1"/>
  <c r="G733" i="1"/>
  <c r="G751" i="1"/>
  <c r="G764" i="1"/>
  <c r="G783" i="1"/>
  <c r="G795" i="1"/>
  <c r="G813" i="1"/>
  <c r="G829" i="1"/>
  <c r="G845" i="1"/>
  <c r="G861" i="1"/>
  <c r="G880" i="1"/>
  <c r="G897" i="1"/>
  <c r="G921" i="1"/>
  <c r="G938" i="1"/>
  <c r="G591" i="1"/>
  <c r="G651" i="1"/>
  <c r="G666" i="1"/>
  <c r="G682" i="1"/>
  <c r="G699" i="1"/>
  <c r="G714" i="1"/>
  <c r="G729" i="1"/>
  <c r="G746" i="1"/>
  <c r="G769" i="1"/>
  <c r="G554" i="1"/>
  <c r="G906" i="1"/>
  <c r="G811" i="1"/>
  <c r="G825" i="1"/>
  <c r="G841" i="1"/>
  <c r="G857" i="1"/>
  <c r="G876" i="1"/>
  <c r="G893" i="1"/>
  <c r="G917" i="1"/>
  <c r="G934" i="1"/>
  <c r="G3" i="1"/>
  <c r="G593" i="1"/>
  <c r="G600" i="1"/>
  <c r="G607" i="1"/>
  <c r="G646" i="1"/>
  <c r="G663" i="1"/>
  <c r="G678" i="1"/>
  <c r="G694" i="1"/>
  <c r="G709" i="1"/>
  <c r="G725" i="1"/>
  <c r="G742" i="1"/>
  <c r="G759" i="1"/>
  <c r="G777" i="1"/>
  <c r="G904" i="1"/>
  <c r="G807" i="1"/>
  <c r="G821" i="1"/>
  <c r="G837" i="1"/>
  <c r="G853" i="1"/>
  <c r="G869" i="1"/>
  <c r="G888" i="1"/>
  <c r="G159" i="1"/>
  <c r="G930" i="1"/>
  <c r="G609" i="1"/>
  <c r="G616" i="1"/>
  <c r="G622" i="1"/>
  <c r="G642" i="1"/>
  <c r="G658" i="1"/>
  <c r="G674" i="1"/>
  <c r="G690" i="1"/>
  <c r="G707" i="1"/>
  <c r="G721" i="1"/>
  <c r="G738" i="1"/>
  <c r="G755" i="1"/>
  <c r="G772" i="1"/>
  <c r="G787" i="1"/>
  <c r="G799" i="1"/>
  <c r="G817" i="1"/>
  <c r="G833" i="1"/>
  <c r="G849" i="1"/>
  <c r="G867" i="1"/>
  <c r="G884" i="1"/>
  <c r="G901" i="1"/>
  <c r="G926" i="1"/>
  <c r="G942" i="1"/>
  <c r="H1" i="1"/>
  <c r="H667" i="1" l="1"/>
  <c r="H805" i="1"/>
  <c r="H804" i="1"/>
  <c r="H803" i="1"/>
  <c r="H582" i="1"/>
  <c r="H802" i="1"/>
  <c r="H206" i="1"/>
  <c r="H791" i="1"/>
  <c r="H555" i="1"/>
  <c r="H17" i="1"/>
  <c r="H321" i="1"/>
  <c r="H1043" i="1"/>
  <c r="H1044" i="1"/>
  <c r="H1042" i="1"/>
  <c r="H320" i="1"/>
  <c r="H316" i="1"/>
  <c r="H201" i="1"/>
  <c r="H203" i="1"/>
  <c r="H199" i="1"/>
  <c r="H200" i="1"/>
  <c r="H202" i="1"/>
  <c r="H911" i="1"/>
  <c r="H910" i="1"/>
  <c r="H650" i="1"/>
  <c r="H734" i="1"/>
  <c r="H27" i="1"/>
  <c r="H871" i="1"/>
  <c r="H281" i="1"/>
  <c r="H478" i="1"/>
  <c r="H956" i="1"/>
  <c r="H1409" i="1"/>
  <c r="H1451" i="1"/>
  <c r="H330" i="1"/>
  <c r="H40" i="1"/>
  <c r="H955" i="1"/>
  <c r="H28" i="1"/>
  <c r="H169" i="1"/>
  <c r="H282" i="1"/>
  <c r="H479" i="1"/>
  <c r="H957" i="1"/>
  <c r="H1493" i="1"/>
  <c r="H381" i="1"/>
  <c r="H1279" i="1"/>
  <c r="H280" i="1"/>
  <c r="H763" i="1"/>
  <c r="H331" i="1"/>
  <c r="H1289" i="1"/>
  <c r="H954" i="1"/>
  <c r="H26" i="1"/>
  <c r="H380" i="1"/>
  <c r="H1002" i="1"/>
  <c r="H953" i="1"/>
  <c r="H870" i="1"/>
  <c r="H762" i="1"/>
  <c r="H1214" i="1"/>
  <c r="H1495" i="1"/>
  <c r="H1288" i="1"/>
  <c r="H550" i="1"/>
  <c r="H277" i="1"/>
  <c r="H399" i="1"/>
  <c r="H1152" i="1"/>
  <c r="H986" i="1"/>
  <c r="H1041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03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297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56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54" i="1"/>
  <c r="H258" i="1"/>
  <c r="H872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65" i="1"/>
  <c r="H269" i="1"/>
  <c r="H273" i="1"/>
  <c r="H276" i="1"/>
  <c r="H284" i="1"/>
  <c r="H288" i="1"/>
  <c r="H292" i="1"/>
  <c r="H296" i="1"/>
  <c r="H300" i="1"/>
  <c r="H304" i="1"/>
  <c r="H308" i="1"/>
  <c r="H312" i="1"/>
  <c r="H317" i="1"/>
  <c r="H322" i="1"/>
  <c r="H326" i="1"/>
  <c r="H332" i="1"/>
  <c r="H336" i="1"/>
  <c r="H340" i="1"/>
  <c r="H349" i="1"/>
  <c r="H353" i="1"/>
  <c r="H357" i="1"/>
  <c r="H361" i="1"/>
  <c r="H365" i="1"/>
  <c r="H369" i="1"/>
  <c r="H373" i="1"/>
  <c r="H377" i="1"/>
  <c r="H383" i="1"/>
  <c r="H387" i="1"/>
  <c r="H391" i="1"/>
  <c r="H395" i="1"/>
  <c r="H400" i="1"/>
  <c r="H404" i="1"/>
  <c r="H410" i="1"/>
  <c r="H414" i="1"/>
  <c r="H418" i="1"/>
  <c r="H133" i="1"/>
  <c r="H145" i="1"/>
  <c r="H162" i="1"/>
  <c r="H179" i="1"/>
  <c r="H195" i="1"/>
  <c r="H210" i="1"/>
  <c r="H218" i="1"/>
  <c r="H231" i="1"/>
  <c r="H239" i="1"/>
  <c r="H247" i="1"/>
  <c r="H255" i="1"/>
  <c r="H260" i="1"/>
  <c r="H263" i="1"/>
  <c r="H267" i="1"/>
  <c r="H271" i="1"/>
  <c r="H274" i="1"/>
  <c r="H279" i="1"/>
  <c r="H286" i="1"/>
  <c r="H290" i="1"/>
  <c r="H294" i="1"/>
  <c r="H298" i="1"/>
  <c r="H302" i="1"/>
  <c r="H306" i="1"/>
  <c r="H310" i="1"/>
  <c r="H314" i="1"/>
  <c r="H324" i="1"/>
  <c r="H328" i="1"/>
  <c r="H334" i="1"/>
  <c r="H338" i="1"/>
  <c r="H342" i="1"/>
  <c r="H351" i="1"/>
  <c r="H355" i="1"/>
  <c r="H359" i="1"/>
  <c r="H363" i="1"/>
  <c r="H367" i="1"/>
  <c r="H371" i="1"/>
  <c r="H375" i="1"/>
  <c r="H379" i="1"/>
  <c r="H385" i="1"/>
  <c r="H389" i="1"/>
  <c r="H393" i="1"/>
  <c r="H397" i="1"/>
  <c r="H402" i="1"/>
  <c r="H407" i="1"/>
  <c r="H412" i="1"/>
  <c r="H416" i="1"/>
  <c r="H420" i="1"/>
  <c r="H43" i="1"/>
  <c r="H122" i="1"/>
  <c r="H149" i="1"/>
  <c r="H183" i="1"/>
  <c r="H212" i="1"/>
  <c r="H233" i="1"/>
  <c r="H249" i="1"/>
  <c r="H262" i="1"/>
  <c r="H268" i="1"/>
  <c r="H275" i="1"/>
  <c r="H287" i="1"/>
  <c r="H295" i="1"/>
  <c r="H303" i="1"/>
  <c r="H311" i="1"/>
  <c r="H319" i="1"/>
  <c r="H329" i="1"/>
  <c r="H339" i="1"/>
  <c r="H352" i="1"/>
  <c r="H360" i="1"/>
  <c r="H368" i="1"/>
  <c r="H376" i="1"/>
  <c r="H386" i="1"/>
  <c r="H394" i="1"/>
  <c r="H403" i="1"/>
  <c r="H413" i="1"/>
  <c r="H421" i="1"/>
  <c r="H424" i="1"/>
  <c r="H428" i="1"/>
  <c r="H432" i="1"/>
  <c r="H442" i="1"/>
  <c r="H436" i="1"/>
  <c r="H440" i="1"/>
  <c r="H446" i="1"/>
  <c r="H452" i="1"/>
  <c r="H456" i="1"/>
  <c r="H462" i="1"/>
  <c r="H466" i="1"/>
  <c r="H470" i="1"/>
  <c r="H473" i="1"/>
  <c r="H477" i="1"/>
  <c r="H484" i="1"/>
  <c r="H486" i="1"/>
  <c r="H491" i="1"/>
  <c r="H495" i="1"/>
  <c r="H499" i="1"/>
  <c r="H503" i="1"/>
  <c r="H507" i="1"/>
  <c r="H511" i="1"/>
  <c r="H515" i="1"/>
  <c r="H519" i="1"/>
  <c r="H523" i="1"/>
  <c r="H137" i="1"/>
  <c r="H166" i="1"/>
  <c r="H1296" i="1"/>
  <c r="H220" i="1"/>
  <c r="H225" i="1"/>
  <c r="H241" i="1"/>
  <c r="H257" i="1"/>
  <c r="H259" i="1"/>
  <c r="H264" i="1"/>
  <c r="H272" i="1"/>
  <c r="H283" i="1"/>
  <c r="H291" i="1"/>
  <c r="H299" i="1"/>
  <c r="H307" i="1"/>
  <c r="H315" i="1"/>
  <c r="H325" i="1"/>
  <c r="H335" i="1"/>
  <c r="H348" i="1"/>
  <c r="H356" i="1"/>
  <c r="H364" i="1"/>
  <c r="H372" i="1"/>
  <c r="H382" i="1"/>
  <c r="H390" i="1"/>
  <c r="H398" i="1"/>
  <c r="H409" i="1"/>
  <c r="H417" i="1"/>
  <c r="H423" i="1"/>
  <c r="H426" i="1"/>
  <c r="H430" i="1"/>
  <c r="H460" i="1"/>
  <c r="H434" i="1"/>
  <c r="H438" i="1"/>
  <c r="H444" i="1"/>
  <c r="H450" i="1"/>
  <c r="H454" i="1"/>
  <c r="H459" i="1"/>
  <c r="H464" i="1"/>
  <c r="H468" i="1"/>
  <c r="H472" i="1"/>
  <c r="H475" i="1"/>
  <c r="H481" i="1"/>
  <c r="H483" i="1"/>
  <c r="H488" i="1"/>
  <c r="H493" i="1"/>
  <c r="H497" i="1"/>
  <c r="H501" i="1"/>
  <c r="H505" i="1"/>
  <c r="H509" i="1"/>
  <c r="H513" i="1"/>
  <c r="H517" i="1"/>
  <c r="H521" i="1"/>
  <c r="H525" i="1"/>
  <c r="H175" i="1"/>
  <c r="H245" i="1"/>
  <c r="H266" i="1"/>
  <c r="H285" i="1"/>
  <c r="H301" i="1"/>
  <c r="H318" i="1"/>
  <c r="H327" i="1"/>
  <c r="H350" i="1"/>
  <c r="H366" i="1"/>
  <c r="H384" i="1"/>
  <c r="H401" i="1"/>
  <c r="H419" i="1"/>
  <c r="H431" i="1"/>
  <c r="H435" i="1"/>
  <c r="H445" i="1"/>
  <c r="H455" i="1"/>
  <c r="H465" i="1"/>
  <c r="H687" i="1"/>
  <c r="H482" i="1"/>
  <c r="H490" i="1"/>
  <c r="H498" i="1"/>
  <c r="H506" i="1"/>
  <c r="H514" i="1"/>
  <c r="H522" i="1"/>
  <c r="H524" i="1"/>
  <c r="H157" i="1"/>
  <c r="H237" i="1"/>
  <c r="H278" i="1"/>
  <c r="H297" i="1"/>
  <c r="H313" i="1"/>
  <c r="H323" i="1"/>
  <c r="H341" i="1"/>
  <c r="H362" i="1"/>
  <c r="H378" i="1"/>
  <c r="H396" i="1"/>
  <c r="H415" i="1"/>
  <c r="H429" i="1"/>
  <c r="H441" i="1"/>
  <c r="H443" i="1"/>
  <c r="H453" i="1"/>
  <c r="H463" i="1"/>
  <c r="H471" i="1"/>
  <c r="H480" i="1"/>
  <c r="H487" i="1"/>
  <c r="H496" i="1"/>
  <c r="H504" i="1"/>
  <c r="H512" i="1"/>
  <c r="H520" i="1"/>
  <c r="H229" i="1"/>
  <c r="H293" i="1"/>
  <c r="H358" i="1"/>
  <c r="H392" i="1"/>
  <c r="H422" i="1"/>
  <c r="H427" i="1"/>
  <c r="H439" i="1"/>
  <c r="H458" i="1"/>
  <c r="H476" i="1"/>
  <c r="H494" i="1"/>
  <c r="H510" i="1"/>
  <c r="H531" i="1"/>
  <c r="H534" i="1"/>
  <c r="H541" i="1"/>
  <c r="H545" i="1"/>
  <c r="H549" i="1"/>
  <c r="H556" i="1"/>
  <c r="H558" i="1"/>
  <c r="H562" i="1"/>
  <c r="H566" i="1"/>
  <c r="H570" i="1"/>
  <c r="H574" i="1"/>
  <c r="H578" i="1"/>
  <c r="H581" i="1"/>
  <c r="H586" i="1"/>
  <c r="H590" i="1"/>
  <c r="H594" i="1"/>
  <c r="H598" i="1"/>
  <c r="H602" i="1"/>
  <c r="H606" i="1"/>
  <c r="H610" i="1"/>
  <c r="H614" i="1"/>
  <c r="H618" i="1"/>
  <c r="H621" i="1"/>
  <c r="H625" i="1"/>
  <c r="H629" i="1"/>
  <c r="H633" i="1"/>
  <c r="H636" i="1"/>
  <c r="H640" i="1"/>
  <c r="H644" i="1"/>
  <c r="H648" i="1"/>
  <c r="H653" i="1"/>
  <c r="H656" i="1"/>
  <c r="H660" i="1"/>
  <c r="H662" i="1"/>
  <c r="H668" i="1"/>
  <c r="H672" i="1"/>
  <c r="H676" i="1"/>
  <c r="H191" i="1"/>
  <c r="H289" i="1"/>
  <c r="H354" i="1"/>
  <c r="H388" i="1"/>
  <c r="H425" i="1"/>
  <c r="H437" i="1"/>
  <c r="H457" i="1"/>
  <c r="H474" i="1"/>
  <c r="H492" i="1"/>
  <c r="H508" i="1"/>
  <c r="H526" i="1"/>
  <c r="H530" i="1"/>
  <c r="H533" i="1"/>
  <c r="H536" i="1"/>
  <c r="H538" i="1"/>
  <c r="H544" i="1"/>
  <c r="H548" i="1"/>
  <c r="H553" i="1"/>
  <c r="H561" i="1"/>
  <c r="H565" i="1"/>
  <c r="H569" i="1"/>
  <c r="H573" i="1"/>
  <c r="H577" i="1"/>
  <c r="H580" i="1"/>
  <c r="H585" i="1"/>
  <c r="H589" i="1"/>
  <c r="H593" i="1"/>
  <c r="H597" i="1"/>
  <c r="H601" i="1"/>
  <c r="H605" i="1"/>
  <c r="H609" i="1"/>
  <c r="H613" i="1"/>
  <c r="H617" i="1"/>
  <c r="H1173" i="1"/>
  <c r="H624" i="1"/>
  <c r="H628" i="1"/>
  <c r="H632" i="1"/>
  <c r="H635" i="1"/>
  <c r="H639" i="1"/>
  <c r="H643" i="1"/>
  <c r="H647" i="1"/>
  <c r="H652" i="1"/>
  <c r="H655" i="1"/>
  <c r="H659" i="1"/>
  <c r="H665" i="1"/>
  <c r="H671" i="1"/>
  <c r="H675" i="1"/>
  <c r="H309" i="1"/>
  <c r="H374" i="1"/>
  <c r="H451" i="1"/>
  <c r="H485" i="1"/>
  <c r="H518" i="1"/>
  <c r="H529" i="1"/>
  <c r="H543" i="1"/>
  <c r="H552" i="1"/>
  <c r="H560" i="1"/>
  <c r="H568" i="1"/>
  <c r="H576" i="1"/>
  <c r="H584" i="1"/>
  <c r="H592" i="1"/>
  <c r="H600" i="1"/>
  <c r="H608" i="1"/>
  <c r="H616" i="1"/>
  <c r="H623" i="1"/>
  <c r="H631" i="1"/>
  <c r="H638" i="1"/>
  <c r="H646" i="1"/>
  <c r="H654" i="1"/>
  <c r="H663" i="1"/>
  <c r="H670" i="1"/>
  <c r="H681" i="1"/>
  <c r="H685" i="1"/>
  <c r="H689" i="1"/>
  <c r="H693" i="1"/>
  <c r="H698" i="1"/>
  <c r="H701" i="1"/>
  <c r="H705" i="1"/>
  <c r="H710" i="1"/>
  <c r="H713" i="1"/>
  <c r="H716" i="1"/>
  <c r="H130" i="1"/>
  <c r="H723" i="1"/>
  <c r="H727" i="1"/>
  <c r="H731" i="1"/>
  <c r="H736" i="1"/>
  <c r="H740" i="1"/>
  <c r="H744" i="1"/>
  <c r="H749" i="1"/>
  <c r="H753" i="1"/>
  <c r="H757" i="1"/>
  <c r="H761" i="1"/>
  <c r="H771" i="1"/>
  <c r="H765" i="1"/>
  <c r="H767" i="1"/>
  <c r="H773" i="1"/>
  <c r="H776" i="1"/>
  <c r="H779" i="1"/>
  <c r="H781" i="1"/>
  <c r="H785" i="1"/>
  <c r="H904" i="1"/>
  <c r="H906" i="1"/>
  <c r="H792" i="1"/>
  <c r="H797" i="1"/>
  <c r="H801" i="1"/>
  <c r="H809" i="1"/>
  <c r="H5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5" i="1"/>
  <c r="H876" i="1"/>
  <c r="H880" i="1"/>
  <c r="H884" i="1"/>
  <c r="H888" i="1"/>
  <c r="H893" i="1"/>
  <c r="H897" i="1"/>
  <c r="H901" i="1"/>
  <c r="H912" i="1"/>
  <c r="H915" i="1"/>
  <c r="H919" i="1"/>
  <c r="H924" i="1"/>
  <c r="H928" i="1"/>
  <c r="H932" i="1"/>
  <c r="H936" i="1"/>
  <c r="H940" i="1"/>
  <c r="H944" i="1"/>
  <c r="H948" i="1"/>
  <c r="H952" i="1"/>
  <c r="H961" i="1"/>
  <c r="H965" i="1"/>
  <c r="H969" i="1"/>
  <c r="H973" i="1"/>
  <c r="H977" i="1"/>
  <c r="H982" i="1"/>
  <c r="H987" i="1"/>
  <c r="H748" i="1"/>
  <c r="H337" i="1"/>
  <c r="H411" i="1"/>
  <c r="H461" i="1"/>
  <c r="H469" i="1"/>
  <c r="H502" i="1"/>
  <c r="H527" i="1"/>
  <c r="H547" i="1"/>
  <c r="H564" i="1"/>
  <c r="H572" i="1"/>
  <c r="H579" i="1"/>
  <c r="H588" i="1"/>
  <c r="H596" i="1"/>
  <c r="H604" i="1"/>
  <c r="H612" i="1"/>
  <c r="H620" i="1"/>
  <c r="H627" i="1"/>
  <c r="H642" i="1"/>
  <c r="H651" i="1"/>
  <c r="H658" i="1"/>
  <c r="H666" i="1"/>
  <c r="H674" i="1"/>
  <c r="H679" i="1"/>
  <c r="H683" i="1"/>
  <c r="H408" i="1"/>
  <c r="H691" i="1"/>
  <c r="H695" i="1"/>
  <c r="H697" i="1"/>
  <c r="H703" i="1"/>
  <c r="H708" i="1"/>
  <c r="H711" i="1"/>
  <c r="H718" i="1"/>
  <c r="H721" i="1"/>
  <c r="H725" i="1"/>
  <c r="H729" i="1"/>
  <c r="H733" i="1"/>
  <c r="H738" i="1"/>
  <c r="H742" i="1"/>
  <c r="H746" i="1"/>
  <c r="H751" i="1"/>
  <c r="H755" i="1"/>
  <c r="H759" i="1"/>
  <c r="H769" i="1"/>
  <c r="H764" i="1"/>
  <c r="H766" i="1"/>
  <c r="H772" i="1"/>
  <c r="H774" i="1"/>
  <c r="H777" i="1"/>
  <c r="H554" i="1"/>
  <c r="H783" i="1"/>
  <c r="H787" i="1"/>
  <c r="H789" i="1"/>
  <c r="H907" i="1"/>
  <c r="H795" i="1"/>
  <c r="H799" i="1"/>
  <c r="H807" i="1"/>
  <c r="H811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4" i="1"/>
  <c r="H868" i="1"/>
  <c r="H874" i="1"/>
  <c r="H878" i="1"/>
  <c r="H882" i="1"/>
  <c r="H886" i="1"/>
  <c r="H890" i="1"/>
  <c r="H895" i="1"/>
  <c r="H899" i="1"/>
  <c r="H159" i="1"/>
  <c r="H917" i="1"/>
  <c r="H921" i="1"/>
  <c r="H926" i="1"/>
  <c r="H930" i="1"/>
  <c r="H934" i="1"/>
  <c r="H938" i="1"/>
  <c r="H942" i="1"/>
  <c r="H946" i="1"/>
  <c r="H950" i="1"/>
  <c r="H959" i="1"/>
  <c r="H963" i="1"/>
  <c r="H967" i="1"/>
  <c r="H971" i="1"/>
  <c r="H975" i="1"/>
  <c r="H980" i="1"/>
  <c r="H984" i="1"/>
  <c r="H989" i="1"/>
  <c r="H120" i="1"/>
  <c r="H270" i="1"/>
  <c r="H333" i="1"/>
  <c r="H467" i="1"/>
  <c r="H551" i="1"/>
  <c r="H567" i="1"/>
  <c r="H591" i="1"/>
  <c r="H607" i="1"/>
  <c r="H622" i="1"/>
  <c r="H645" i="1"/>
  <c r="H661" i="1"/>
  <c r="H677" i="1"/>
  <c r="H684" i="1"/>
  <c r="H692" i="1"/>
  <c r="H700" i="1"/>
  <c r="H706" i="1"/>
  <c r="H715" i="1"/>
  <c r="H722" i="1"/>
  <c r="H730" i="1"/>
  <c r="H739" i="1"/>
  <c r="H747" i="1"/>
  <c r="H756" i="1"/>
  <c r="H770" i="1"/>
  <c r="H1330" i="1"/>
  <c r="H788" i="1"/>
  <c r="H908" i="1"/>
  <c r="H796" i="1"/>
  <c r="H808" i="1"/>
  <c r="H814" i="1"/>
  <c r="H822" i="1"/>
  <c r="H830" i="1"/>
  <c r="H838" i="1"/>
  <c r="H846" i="1"/>
  <c r="H854" i="1"/>
  <c r="H862" i="1"/>
  <c r="H869" i="1"/>
  <c r="H879" i="1"/>
  <c r="H887" i="1"/>
  <c r="H896" i="1"/>
  <c r="H918" i="1"/>
  <c r="H927" i="1"/>
  <c r="H935" i="1"/>
  <c r="H943" i="1"/>
  <c r="H951" i="1"/>
  <c r="H964" i="1"/>
  <c r="H972" i="1"/>
  <c r="H981" i="1"/>
  <c r="H990" i="1"/>
  <c r="H992" i="1"/>
  <c r="H996" i="1"/>
  <c r="H1000" i="1"/>
  <c r="H1005" i="1"/>
  <c r="H1009" i="1"/>
  <c r="H1013" i="1"/>
  <c r="H1017" i="1"/>
  <c r="H1021" i="1"/>
  <c r="H1025" i="1"/>
  <c r="H1030" i="1"/>
  <c r="H1033" i="1"/>
  <c r="H1037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3" i="1"/>
  <c r="H1147" i="1"/>
  <c r="H1151" i="1"/>
  <c r="H1156" i="1"/>
  <c r="H1160" i="1"/>
  <c r="H1164" i="1"/>
  <c r="H1168" i="1"/>
  <c r="H1172" i="1"/>
  <c r="H1177" i="1"/>
  <c r="H1181" i="1"/>
  <c r="H1185" i="1"/>
  <c r="H1189" i="1"/>
  <c r="H1193" i="1"/>
  <c r="H261" i="1"/>
  <c r="H405" i="1"/>
  <c r="H433" i="1"/>
  <c r="H500" i="1"/>
  <c r="H528" i="1"/>
  <c r="H535" i="1"/>
  <c r="H542" i="1"/>
  <c r="H559" i="1"/>
  <c r="H575" i="1"/>
  <c r="H583" i="1"/>
  <c r="H599" i="1"/>
  <c r="H615" i="1"/>
  <c r="H630" i="1"/>
  <c r="H637" i="1"/>
  <c r="H406" i="1"/>
  <c r="H669" i="1"/>
  <c r="H680" i="1"/>
  <c r="H688" i="1"/>
  <c r="H696" i="1"/>
  <c r="H704" i="1"/>
  <c r="H712" i="1"/>
  <c r="H719" i="1"/>
  <c r="H726" i="1"/>
  <c r="H735" i="1"/>
  <c r="H743" i="1"/>
  <c r="H752" i="1"/>
  <c r="H760" i="1"/>
  <c r="H778" i="1"/>
  <c r="H784" i="1"/>
  <c r="H902" i="1"/>
  <c r="H800" i="1"/>
  <c r="H812" i="1"/>
  <c r="H818" i="1"/>
  <c r="H826" i="1"/>
  <c r="H834" i="1"/>
  <c r="H842" i="1"/>
  <c r="H850" i="1"/>
  <c r="H858" i="1"/>
  <c r="H867" i="1"/>
  <c r="H875" i="1"/>
  <c r="H883" i="1"/>
  <c r="H892" i="1"/>
  <c r="H900" i="1"/>
  <c r="H914" i="1"/>
  <c r="H923" i="1"/>
  <c r="H931" i="1"/>
  <c r="H939" i="1"/>
  <c r="H947" i="1"/>
  <c r="H960" i="1"/>
  <c r="H968" i="1"/>
  <c r="H976" i="1"/>
  <c r="H985" i="1"/>
  <c r="H994" i="1"/>
  <c r="H998" i="1"/>
  <c r="H1003" i="1"/>
  <c r="H1007" i="1"/>
  <c r="H1011" i="1"/>
  <c r="H1015" i="1"/>
  <c r="H1019" i="1"/>
  <c r="H1023" i="1"/>
  <c r="H1027" i="1"/>
  <c r="H1029" i="1"/>
  <c r="H1035" i="1"/>
  <c r="H1039" i="1"/>
  <c r="H1047" i="1"/>
  <c r="H1050" i="1"/>
  <c r="H1055" i="1"/>
  <c r="H38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41" i="1"/>
  <c r="H1145" i="1"/>
  <c r="H1149" i="1"/>
  <c r="H1154" i="1"/>
  <c r="H1158" i="1"/>
  <c r="H1162" i="1"/>
  <c r="H1166" i="1"/>
  <c r="H1170" i="1"/>
  <c r="H1175" i="1"/>
  <c r="H1179" i="1"/>
  <c r="H1183" i="1"/>
  <c r="H1187" i="1"/>
  <c r="H1191" i="1"/>
  <c r="H253" i="1"/>
  <c r="H516" i="1"/>
  <c r="H532" i="1"/>
  <c r="H537" i="1"/>
  <c r="H603" i="1"/>
  <c r="H634" i="1"/>
  <c r="H657" i="1"/>
  <c r="H690" i="1"/>
  <c r="H707" i="1"/>
  <c r="H728" i="1"/>
  <c r="H745" i="1"/>
  <c r="H768" i="1"/>
  <c r="H786" i="1"/>
  <c r="H793" i="1"/>
  <c r="H449" i="1"/>
  <c r="H828" i="1"/>
  <c r="H844" i="1"/>
  <c r="H860" i="1"/>
  <c r="H866" i="1"/>
  <c r="H877" i="1"/>
  <c r="H894" i="1"/>
  <c r="H916" i="1"/>
  <c r="H933" i="1"/>
  <c r="H949" i="1"/>
  <c r="H970" i="1"/>
  <c r="H988" i="1"/>
  <c r="H995" i="1"/>
  <c r="H1004" i="1"/>
  <c r="H1012" i="1"/>
  <c r="H1020" i="1"/>
  <c r="H1028" i="1"/>
  <c r="H1036" i="1"/>
  <c r="H1048" i="1"/>
  <c r="H1060" i="1"/>
  <c r="H1068" i="1"/>
  <c r="H1076" i="1"/>
  <c r="H1084" i="1"/>
  <c r="H1092" i="1"/>
  <c r="H1100" i="1"/>
  <c r="H1108" i="1"/>
  <c r="H1116" i="1"/>
  <c r="H1124" i="1"/>
  <c r="H1132" i="1"/>
  <c r="H1142" i="1"/>
  <c r="H1150" i="1"/>
  <c r="H1159" i="1"/>
  <c r="H1167" i="1"/>
  <c r="H1176" i="1"/>
  <c r="H1184" i="1"/>
  <c r="H1192" i="1"/>
  <c r="H1195" i="1"/>
  <c r="H1199" i="1"/>
  <c r="H1203" i="1"/>
  <c r="H1207" i="1"/>
  <c r="H216" i="1"/>
  <c r="H448" i="1"/>
  <c r="H546" i="1"/>
  <c r="H563" i="1"/>
  <c r="H587" i="1"/>
  <c r="H619" i="1"/>
  <c r="H641" i="1"/>
  <c r="H673" i="1"/>
  <c r="H682" i="1"/>
  <c r="H699" i="1"/>
  <c r="H714" i="1"/>
  <c r="H720" i="1"/>
  <c r="H737" i="1"/>
  <c r="H754" i="1"/>
  <c r="H780" i="1"/>
  <c r="H905" i="1"/>
  <c r="H806" i="1"/>
  <c r="H820" i="1"/>
  <c r="H836" i="1"/>
  <c r="H852" i="1"/>
  <c r="H885" i="1"/>
  <c r="H909" i="1"/>
  <c r="H925" i="1"/>
  <c r="H941" i="1"/>
  <c r="H962" i="1"/>
  <c r="H978" i="1"/>
  <c r="H991" i="1"/>
  <c r="H999" i="1"/>
  <c r="H1008" i="1"/>
  <c r="H1016" i="1"/>
  <c r="H1024" i="1"/>
  <c r="H1032" i="1"/>
  <c r="H1040" i="1"/>
  <c r="H1051" i="1"/>
  <c r="H922" i="1"/>
  <c r="H1064" i="1"/>
  <c r="H1072" i="1"/>
  <c r="H1080" i="1"/>
  <c r="H1088" i="1"/>
  <c r="H1096" i="1"/>
  <c r="H1104" i="1"/>
  <c r="H1112" i="1"/>
  <c r="H1120" i="1"/>
  <c r="H1128" i="1"/>
  <c r="H1136" i="1"/>
  <c r="H1146" i="1"/>
  <c r="H1155" i="1"/>
  <c r="H1163" i="1"/>
  <c r="H1171" i="1"/>
  <c r="H1180" i="1"/>
  <c r="H1188" i="1"/>
  <c r="H1469" i="1"/>
  <c r="H1197" i="1"/>
  <c r="H1201" i="1"/>
  <c r="H1205" i="1"/>
  <c r="H1209" i="1"/>
  <c r="H1213" i="1"/>
  <c r="H1218" i="1"/>
  <c r="H1222" i="1"/>
  <c r="H1226" i="1"/>
  <c r="H370" i="1"/>
  <c r="H611" i="1"/>
  <c r="H664" i="1"/>
  <c r="H678" i="1"/>
  <c r="H694" i="1"/>
  <c r="H709" i="1"/>
  <c r="H717" i="1"/>
  <c r="H732" i="1"/>
  <c r="H750" i="1"/>
  <c r="H775" i="1"/>
  <c r="H489" i="1"/>
  <c r="H557" i="1"/>
  <c r="H595" i="1"/>
  <c r="H649" i="1"/>
  <c r="H816" i="1"/>
  <c r="H848" i="1"/>
  <c r="H898" i="1"/>
  <c r="H920" i="1"/>
  <c r="H958" i="1"/>
  <c r="H1006" i="1"/>
  <c r="H1022" i="1"/>
  <c r="H1038" i="1"/>
  <c r="H1062" i="1"/>
  <c r="H1078" i="1"/>
  <c r="H1094" i="1"/>
  <c r="H1110" i="1"/>
  <c r="H1126" i="1"/>
  <c r="H1144" i="1"/>
  <c r="H1161" i="1"/>
  <c r="H1178" i="1"/>
  <c r="H1468" i="1"/>
  <c r="H1200" i="1"/>
  <c r="H1208" i="1"/>
  <c r="H1211" i="1"/>
  <c r="H1215" i="1"/>
  <c r="H1225" i="1"/>
  <c r="H1228" i="1"/>
  <c r="H1232" i="1"/>
  <c r="H1237" i="1"/>
  <c r="H1239" i="1"/>
  <c r="H1243" i="1"/>
  <c r="H1247" i="1"/>
  <c r="H1251" i="1"/>
  <c r="H1255" i="1"/>
  <c r="H1259" i="1"/>
  <c r="H1263" i="1"/>
  <c r="H1267" i="1"/>
  <c r="H1275" i="1"/>
  <c r="H1280" i="1"/>
  <c r="H1284" i="1"/>
  <c r="H1290" i="1"/>
  <c r="H1294" i="1"/>
  <c r="H1300" i="1"/>
  <c r="H1304" i="1"/>
  <c r="H1308" i="1"/>
  <c r="H1312" i="1"/>
  <c r="H1316" i="1"/>
  <c r="H1320" i="1"/>
  <c r="H1324" i="1"/>
  <c r="H1327" i="1"/>
  <c r="H1329" i="1"/>
  <c r="H1333" i="1"/>
  <c r="H1337" i="1"/>
  <c r="H1341" i="1"/>
  <c r="H1345" i="1"/>
  <c r="H1349" i="1"/>
  <c r="H1353" i="1"/>
  <c r="H1357" i="1"/>
  <c r="H540" i="1"/>
  <c r="H1363" i="1"/>
  <c r="H1367" i="1"/>
  <c r="H1052" i="1"/>
  <c r="H1373" i="1"/>
  <c r="H1377" i="1"/>
  <c r="H1381" i="1"/>
  <c r="H1385" i="1"/>
  <c r="H1389" i="1"/>
  <c r="H1393" i="1"/>
  <c r="H1397" i="1"/>
  <c r="H1401" i="1"/>
  <c r="H1405" i="1"/>
  <c r="H1410" i="1"/>
  <c r="H1414" i="1"/>
  <c r="H1418" i="1"/>
  <c r="H1422" i="1"/>
  <c r="H1426" i="1"/>
  <c r="H1430" i="1"/>
  <c r="H1434" i="1"/>
  <c r="H1438" i="1"/>
  <c r="H1442" i="1"/>
  <c r="H1446" i="1"/>
  <c r="H1450" i="1"/>
  <c r="H1534" i="1"/>
  <c r="H1458" i="1"/>
  <c r="H1462" i="1"/>
  <c r="H1466" i="1"/>
  <c r="H702" i="1"/>
  <c r="H758" i="1"/>
  <c r="H782" i="1"/>
  <c r="H790" i="1"/>
  <c r="H810" i="1"/>
  <c r="H840" i="1"/>
  <c r="H863" i="1"/>
  <c r="H889" i="1"/>
  <c r="H913" i="1"/>
  <c r="H945" i="1"/>
  <c r="H983" i="1"/>
  <c r="H1001" i="1"/>
  <c r="H1018" i="1"/>
  <c r="H1034" i="1"/>
  <c r="H1058" i="1"/>
  <c r="H1074" i="1"/>
  <c r="H1090" i="1"/>
  <c r="H1106" i="1"/>
  <c r="H1122" i="1"/>
  <c r="H1138" i="1"/>
  <c r="H1157" i="1"/>
  <c r="H1174" i="1"/>
  <c r="H1190" i="1"/>
  <c r="H1198" i="1"/>
  <c r="H1206" i="1"/>
  <c r="H1212" i="1"/>
  <c r="H1216" i="1"/>
  <c r="H1219" i="1"/>
  <c r="H1231" i="1"/>
  <c r="H1235" i="1"/>
  <c r="H112" i="1"/>
  <c r="H1242" i="1"/>
  <c r="H1246" i="1"/>
  <c r="H1250" i="1"/>
  <c r="H1254" i="1"/>
  <c r="H1258" i="1"/>
  <c r="H1262" i="1"/>
  <c r="H1266" i="1"/>
  <c r="H1269" i="1"/>
  <c r="H1271" i="1"/>
  <c r="H1274" i="1"/>
  <c r="H1278" i="1"/>
  <c r="H1283" i="1"/>
  <c r="H1287" i="1"/>
  <c r="H1293" i="1"/>
  <c r="H1299" i="1"/>
  <c r="H1303" i="1"/>
  <c r="H1307" i="1"/>
  <c r="H1311" i="1"/>
  <c r="H1315" i="1"/>
  <c r="H1319" i="1"/>
  <c r="H1323" i="1"/>
  <c r="H1332" i="1"/>
  <c r="H1336" i="1"/>
  <c r="H1340" i="1"/>
  <c r="H1344" i="1"/>
  <c r="H1348" i="1"/>
  <c r="H1352" i="1"/>
  <c r="H1356" i="1"/>
  <c r="H539" i="1"/>
  <c r="H1362" i="1"/>
  <c r="H1366" i="1"/>
  <c r="H447" i="1"/>
  <c r="H1372" i="1"/>
  <c r="H1376" i="1"/>
  <c r="H1380" i="1"/>
  <c r="H1384" i="1"/>
  <c r="H1388" i="1"/>
  <c r="H1392" i="1"/>
  <c r="H1396" i="1"/>
  <c r="H1400" i="1"/>
  <c r="H1404" i="1"/>
  <c r="H1408" i="1"/>
  <c r="H1413" i="1"/>
  <c r="H1417" i="1"/>
  <c r="H1421" i="1"/>
  <c r="H1425" i="1"/>
  <c r="H1429" i="1"/>
  <c r="H1433" i="1"/>
  <c r="H1437" i="1"/>
  <c r="H1441" i="1"/>
  <c r="H1445" i="1"/>
  <c r="H1449" i="1"/>
  <c r="H1454" i="1"/>
  <c r="H1457" i="1"/>
  <c r="H1461" i="1"/>
  <c r="H1465" i="1"/>
  <c r="H1471" i="1"/>
  <c r="H1475" i="1"/>
  <c r="H305" i="1"/>
  <c r="H686" i="1"/>
  <c r="H741" i="1"/>
  <c r="H798" i="1"/>
  <c r="H832" i="1"/>
  <c r="H881" i="1"/>
  <c r="H937" i="1"/>
  <c r="H974" i="1"/>
  <c r="H997" i="1"/>
  <c r="H1014" i="1"/>
  <c r="H1031" i="1"/>
  <c r="H1056" i="1"/>
  <c r="H1070" i="1"/>
  <c r="H1086" i="1"/>
  <c r="H1102" i="1"/>
  <c r="H1118" i="1"/>
  <c r="H1134" i="1"/>
  <c r="H1153" i="1"/>
  <c r="H1169" i="1"/>
  <c r="H1186" i="1"/>
  <c r="H1196" i="1"/>
  <c r="H1204" i="1"/>
  <c r="H1217" i="1"/>
  <c r="H1220" i="1"/>
  <c r="H1223" i="1"/>
  <c r="H1230" i="1"/>
  <c r="H1234" i="1"/>
  <c r="H1238" i="1"/>
  <c r="H1241" i="1"/>
  <c r="H1245" i="1"/>
  <c r="H1249" i="1"/>
  <c r="H1253" i="1"/>
  <c r="H1257" i="1"/>
  <c r="H1261" i="1"/>
  <c r="H1265" i="1"/>
  <c r="H1273" i="1"/>
  <c r="H1277" i="1"/>
  <c r="H1282" i="1"/>
  <c r="H1286" i="1"/>
  <c r="H1292" i="1"/>
  <c r="H1298" i="1"/>
  <c r="H1302" i="1"/>
  <c r="H1306" i="1"/>
  <c r="H1310" i="1"/>
  <c r="H1314" i="1"/>
  <c r="H1318" i="1"/>
  <c r="H1322" i="1"/>
  <c r="H1326" i="1"/>
  <c r="H1328" i="1"/>
  <c r="H1331" i="1"/>
  <c r="H1335" i="1"/>
  <c r="H1339" i="1"/>
  <c r="H1343" i="1"/>
  <c r="H1347" i="1"/>
  <c r="H1351" i="1"/>
  <c r="H1355" i="1"/>
  <c r="H1359" i="1"/>
  <c r="H1361" i="1"/>
  <c r="H1365" i="1"/>
  <c r="H1369" i="1"/>
  <c r="H1371" i="1"/>
  <c r="H1375" i="1"/>
  <c r="H1379" i="1"/>
  <c r="H1383" i="1"/>
  <c r="H1387" i="1"/>
  <c r="H1391" i="1"/>
  <c r="H1395" i="1"/>
  <c r="H1399" i="1"/>
  <c r="H1403" i="1"/>
  <c r="H1407" i="1"/>
  <c r="H1412" i="1"/>
  <c r="H1416" i="1"/>
  <c r="H1420" i="1"/>
  <c r="H1424" i="1"/>
  <c r="H1428" i="1"/>
  <c r="H1432" i="1"/>
  <c r="H1436" i="1"/>
  <c r="H1440" i="1"/>
  <c r="H1444" i="1"/>
  <c r="H1448" i="1"/>
  <c r="H1453" i="1"/>
  <c r="H1456" i="1"/>
  <c r="H1460" i="1"/>
  <c r="H1464" i="1"/>
  <c r="H1470" i="1"/>
  <c r="H1474" i="1"/>
  <c r="H1478" i="1"/>
  <c r="H1481" i="1"/>
  <c r="H343" i="1"/>
  <c r="H347" i="1"/>
  <c r="H1488" i="1"/>
  <c r="H1492" i="1"/>
  <c r="H1498" i="1"/>
  <c r="H1502" i="1"/>
  <c r="H1506" i="1"/>
  <c r="H1512" i="1"/>
  <c r="H1508" i="1"/>
  <c r="H1518" i="1"/>
  <c r="H1522" i="1"/>
  <c r="H1526" i="1"/>
  <c r="H1530" i="1"/>
  <c r="H1535" i="1"/>
  <c r="H1140" i="1"/>
  <c r="H1541" i="1"/>
  <c r="H1545" i="1"/>
  <c r="H1549" i="1"/>
  <c r="H4" i="1"/>
  <c r="H9" i="1"/>
  <c r="H13" i="1"/>
  <c r="H18" i="1"/>
  <c r="H22" i="1"/>
  <c r="H29" i="1"/>
  <c r="H571" i="1"/>
  <c r="H993" i="1"/>
  <c r="H1054" i="1"/>
  <c r="H1098" i="1"/>
  <c r="H1165" i="1"/>
  <c r="H1210" i="1"/>
  <c r="H1229" i="1"/>
  <c r="H1244" i="1"/>
  <c r="H1260" i="1"/>
  <c r="H1272" i="1"/>
  <c r="H1291" i="1"/>
  <c r="H1309" i="1"/>
  <c r="H1325" i="1"/>
  <c r="H1338" i="1"/>
  <c r="H1354" i="1"/>
  <c r="H1368" i="1"/>
  <c r="H1382" i="1"/>
  <c r="H1398" i="1"/>
  <c r="H1415" i="1"/>
  <c r="H1431" i="1"/>
  <c r="H1447" i="1"/>
  <c r="H1463" i="1"/>
  <c r="H1473" i="1"/>
  <c r="H1479" i="1"/>
  <c r="H346" i="1"/>
  <c r="H1486" i="1"/>
  <c r="H1489" i="1"/>
  <c r="H1501" i="1"/>
  <c r="H1504" i="1"/>
  <c r="H1507" i="1"/>
  <c r="H1515" i="1"/>
  <c r="H1520" i="1"/>
  <c r="H1523" i="1"/>
  <c r="H1533" i="1"/>
  <c r="H1537" i="1"/>
  <c r="H1139" i="1"/>
  <c r="H1548" i="1"/>
  <c r="H12" i="1"/>
  <c r="H15" i="1"/>
  <c r="H19" i="1"/>
  <c r="H873" i="1"/>
  <c r="H1046" i="1"/>
  <c r="H1082" i="1"/>
  <c r="H1148" i="1"/>
  <c r="H1202" i="1"/>
  <c r="H1221" i="1"/>
  <c r="H1224" i="1"/>
  <c r="H1227" i="1"/>
  <c r="H1240" i="1"/>
  <c r="H1256" i="1"/>
  <c r="H1270" i="1"/>
  <c r="H1285" i="1"/>
  <c r="H1305" i="1"/>
  <c r="H1321" i="1"/>
  <c r="H1334" i="1"/>
  <c r="H1350" i="1"/>
  <c r="H1364" i="1"/>
  <c r="H1378" i="1"/>
  <c r="H1394" i="1"/>
  <c r="H1411" i="1"/>
  <c r="H1427" i="1"/>
  <c r="H1443" i="1"/>
  <c r="H1459" i="1"/>
  <c r="H1472" i="1"/>
  <c r="H794" i="1"/>
  <c r="H1482" i="1"/>
  <c r="H1487" i="1"/>
  <c r="H1490" i="1"/>
  <c r="H1494" i="1"/>
  <c r="H1505" i="1"/>
  <c r="H1510" i="1"/>
  <c r="H1513" i="1"/>
  <c r="H1521" i="1"/>
  <c r="H1524" i="1"/>
  <c r="H1527" i="1"/>
  <c r="H1538" i="1"/>
  <c r="H1539" i="1"/>
  <c r="H1542" i="1"/>
  <c r="H6" i="1"/>
  <c r="H16" i="1"/>
  <c r="H20" i="1"/>
  <c r="H23" i="1"/>
  <c r="H856" i="1"/>
  <c r="H966" i="1"/>
  <c r="H1026" i="1"/>
  <c r="H1066" i="1"/>
  <c r="H1130" i="1"/>
  <c r="H1194" i="1"/>
  <c r="H1236" i="1"/>
  <c r="H1252" i="1"/>
  <c r="H1268" i="1"/>
  <c r="H1281" i="1"/>
  <c r="H1301" i="1"/>
  <c r="H1317" i="1"/>
  <c r="H1346" i="1"/>
  <c r="H1360" i="1"/>
  <c r="H1374" i="1"/>
  <c r="H1390" i="1"/>
  <c r="H1406" i="1"/>
  <c r="H1423" i="1"/>
  <c r="H1439" i="1"/>
  <c r="H1455" i="1"/>
  <c r="H1476" i="1"/>
  <c r="H1480" i="1"/>
  <c r="H1483" i="1"/>
  <c r="H344" i="1"/>
  <c r="H1491" i="1"/>
  <c r="H1496" i="1"/>
  <c r="H1499" i="1"/>
  <c r="H1511" i="1"/>
  <c r="H1516" i="1"/>
  <c r="H1509" i="1"/>
  <c r="H1525" i="1"/>
  <c r="H1528" i="1"/>
  <c r="H1531" i="1"/>
  <c r="H1540" i="1"/>
  <c r="H1543" i="1"/>
  <c r="H1546" i="1"/>
  <c r="H7" i="1"/>
  <c r="H10" i="1"/>
  <c r="H21" i="1"/>
  <c r="H24" i="1"/>
  <c r="H30" i="1"/>
  <c r="H929" i="1"/>
  <c r="H1114" i="1"/>
  <c r="H1233" i="1"/>
  <c r="H1358" i="1"/>
  <c r="H1419" i="1"/>
  <c r="H1517" i="1"/>
  <c r="H1514" i="1"/>
  <c r="H1519" i="1"/>
  <c r="H3" i="1"/>
  <c r="H626" i="1"/>
  <c r="H1010" i="1"/>
  <c r="H1313" i="1"/>
  <c r="H1342" i="1"/>
  <c r="H1402" i="1"/>
  <c r="H1467" i="1"/>
  <c r="H1529" i="1"/>
  <c r="H1532" i="1"/>
  <c r="H1536" i="1"/>
  <c r="H8" i="1"/>
  <c r="H11" i="1"/>
  <c r="H14" i="1"/>
  <c r="H1264" i="1"/>
  <c r="H1295" i="1"/>
  <c r="H1386" i="1"/>
  <c r="H1452" i="1"/>
  <c r="H1484" i="1"/>
  <c r="H345" i="1"/>
  <c r="H1485" i="1"/>
  <c r="H1544" i="1"/>
  <c r="H1547" i="1"/>
  <c r="H1550" i="1"/>
  <c r="H25" i="1"/>
  <c r="H31" i="1"/>
  <c r="H724" i="1"/>
  <c r="H824" i="1"/>
  <c r="H1182" i="1"/>
  <c r="H1248" i="1"/>
  <c r="H1276" i="1"/>
  <c r="H1370" i="1"/>
  <c r="H1435" i="1"/>
  <c r="H1477" i="1"/>
  <c r="H1497" i="1"/>
  <c r="H1500" i="1"/>
  <c r="H1503" i="1"/>
  <c r="I1" i="1"/>
  <c r="I667" i="1" l="1"/>
  <c r="I802" i="1"/>
  <c r="I804" i="1"/>
  <c r="I803" i="1"/>
  <c r="I805" i="1"/>
  <c r="I582" i="1"/>
  <c r="I206" i="1"/>
  <c r="I791" i="1"/>
  <c r="I555" i="1"/>
  <c r="I1044" i="1"/>
  <c r="I1042" i="1"/>
  <c r="I1043" i="1"/>
  <c r="I17" i="1"/>
  <c r="I321" i="1"/>
  <c r="I320" i="1"/>
  <c r="I316" i="1"/>
  <c r="I200" i="1"/>
  <c r="I203" i="1"/>
  <c r="I199" i="1"/>
  <c r="I201" i="1"/>
  <c r="I202" i="1"/>
  <c r="I910" i="1"/>
  <c r="I911" i="1"/>
  <c r="I650" i="1"/>
  <c r="I734" i="1"/>
  <c r="I28" i="1"/>
  <c r="I169" i="1"/>
  <c r="I282" i="1"/>
  <c r="I479" i="1"/>
  <c r="I957" i="1"/>
  <c r="I1493" i="1"/>
  <c r="I381" i="1"/>
  <c r="I1279" i="1"/>
  <c r="I26" i="1"/>
  <c r="I277" i="1"/>
  <c r="I380" i="1"/>
  <c r="I550" i="1"/>
  <c r="I1002" i="1"/>
  <c r="I953" i="1"/>
  <c r="I871" i="1"/>
  <c r="I478" i="1"/>
  <c r="I1409" i="1"/>
  <c r="I330" i="1"/>
  <c r="I955" i="1"/>
  <c r="I1288" i="1"/>
  <c r="I956" i="1"/>
  <c r="I1451" i="1"/>
  <c r="I40" i="1"/>
  <c r="I280" i="1"/>
  <c r="I763" i="1"/>
  <c r="I331" i="1"/>
  <c r="I1289" i="1"/>
  <c r="I27" i="1"/>
  <c r="I281" i="1"/>
  <c r="I1214" i="1"/>
  <c r="I954" i="1"/>
  <c r="I762" i="1"/>
  <c r="I870" i="1"/>
  <c r="I1495" i="1"/>
  <c r="I399" i="1"/>
  <c r="I1152" i="1"/>
  <c r="I986" i="1"/>
  <c r="I1041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296" i="1"/>
  <c r="I207" i="1"/>
  <c r="I61" i="1"/>
  <c r="I903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57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55" i="1"/>
  <c r="I259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61" i="1"/>
  <c r="I266" i="1"/>
  <c r="I270" i="1"/>
  <c r="I748" i="1"/>
  <c r="I278" i="1"/>
  <c r="I285" i="1"/>
  <c r="I289" i="1"/>
  <c r="I293" i="1"/>
  <c r="I297" i="1"/>
  <c r="I301" i="1"/>
  <c r="I305" i="1"/>
  <c r="I309" i="1"/>
  <c r="I313" i="1"/>
  <c r="I318" i="1"/>
  <c r="I323" i="1"/>
  <c r="I327" i="1"/>
  <c r="I333" i="1"/>
  <c r="I337" i="1"/>
  <c r="I341" i="1"/>
  <c r="I350" i="1"/>
  <c r="I354" i="1"/>
  <c r="I358" i="1"/>
  <c r="I362" i="1"/>
  <c r="I366" i="1"/>
  <c r="I370" i="1"/>
  <c r="I374" i="1"/>
  <c r="I378" i="1"/>
  <c r="I384" i="1"/>
  <c r="I388" i="1"/>
  <c r="I392" i="1"/>
  <c r="I396" i="1"/>
  <c r="I401" i="1"/>
  <c r="I405" i="1"/>
  <c r="I411" i="1"/>
  <c r="I415" i="1"/>
  <c r="I419" i="1"/>
  <c r="I154" i="1"/>
  <c r="I172" i="1"/>
  <c r="I188" i="1"/>
  <c r="I208" i="1"/>
  <c r="I211" i="1"/>
  <c r="I219" i="1"/>
  <c r="I224" i="1"/>
  <c r="I232" i="1"/>
  <c r="I240" i="1"/>
  <c r="I248" i="1"/>
  <c r="I256" i="1"/>
  <c r="I262" i="1"/>
  <c r="I264" i="1"/>
  <c r="I268" i="1"/>
  <c r="I272" i="1"/>
  <c r="I275" i="1"/>
  <c r="I283" i="1"/>
  <c r="I287" i="1"/>
  <c r="I291" i="1"/>
  <c r="I295" i="1"/>
  <c r="I299" i="1"/>
  <c r="I303" i="1"/>
  <c r="I307" i="1"/>
  <c r="I311" i="1"/>
  <c r="I315" i="1"/>
  <c r="I319" i="1"/>
  <c r="I325" i="1"/>
  <c r="I329" i="1"/>
  <c r="I335" i="1"/>
  <c r="I339" i="1"/>
  <c r="I348" i="1"/>
  <c r="I352" i="1"/>
  <c r="I356" i="1"/>
  <c r="I360" i="1"/>
  <c r="I364" i="1"/>
  <c r="I368" i="1"/>
  <c r="I372" i="1"/>
  <c r="I376" i="1"/>
  <c r="I382" i="1"/>
  <c r="I386" i="1"/>
  <c r="I390" i="1"/>
  <c r="I394" i="1"/>
  <c r="I398" i="1"/>
  <c r="I403" i="1"/>
  <c r="I409" i="1"/>
  <c r="I413" i="1"/>
  <c r="I417" i="1"/>
  <c r="I421" i="1"/>
  <c r="I113" i="1"/>
  <c r="I128" i="1"/>
  <c r="I158" i="1"/>
  <c r="I192" i="1"/>
  <c r="I221" i="1"/>
  <c r="I226" i="1"/>
  <c r="I242" i="1"/>
  <c r="I258" i="1"/>
  <c r="I269" i="1"/>
  <c r="I276" i="1"/>
  <c r="I288" i="1"/>
  <c r="I296" i="1"/>
  <c r="I304" i="1"/>
  <c r="I312" i="1"/>
  <c r="I322" i="1"/>
  <c r="I332" i="1"/>
  <c r="I340" i="1"/>
  <c r="I353" i="1"/>
  <c r="I361" i="1"/>
  <c r="I369" i="1"/>
  <c r="I377" i="1"/>
  <c r="I387" i="1"/>
  <c r="I395" i="1"/>
  <c r="I404" i="1"/>
  <c r="I414" i="1"/>
  <c r="I425" i="1"/>
  <c r="I429" i="1"/>
  <c r="I433" i="1"/>
  <c r="I441" i="1"/>
  <c r="I437" i="1"/>
  <c r="I443" i="1"/>
  <c r="I448" i="1"/>
  <c r="I453" i="1"/>
  <c r="I457" i="1"/>
  <c r="I463" i="1"/>
  <c r="I467" i="1"/>
  <c r="I471" i="1"/>
  <c r="I474" i="1"/>
  <c r="I480" i="1"/>
  <c r="I489" i="1"/>
  <c r="I487" i="1"/>
  <c r="I492" i="1"/>
  <c r="I496" i="1"/>
  <c r="I500" i="1"/>
  <c r="I504" i="1"/>
  <c r="I508" i="1"/>
  <c r="I512" i="1"/>
  <c r="I516" i="1"/>
  <c r="I520" i="1"/>
  <c r="I91" i="1"/>
  <c r="I125" i="1"/>
  <c r="I132" i="1"/>
  <c r="I176" i="1"/>
  <c r="I213" i="1"/>
  <c r="I234" i="1"/>
  <c r="I250" i="1"/>
  <c r="I265" i="1"/>
  <c r="I273" i="1"/>
  <c r="I284" i="1"/>
  <c r="I292" i="1"/>
  <c r="I300" i="1"/>
  <c r="I308" i="1"/>
  <c r="I317" i="1"/>
  <c r="I326" i="1"/>
  <c r="I336" i="1"/>
  <c r="I349" i="1"/>
  <c r="I357" i="1"/>
  <c r="I365" i="1"/>
  <c r="I373" i="1"/>
  <c r="I383" i="1"/>
  <c r="I391" i="1"/>
  <c r="I400" i="1"/>
  <c r="I410" i="1"/>
  <c r="I418" i="1"/>
  <c r="I422" i="1"/>
  <c r="I427" i="1"/>
  <c r="I431" i="1"/>
  <c r="I461" i="1"/>
  <c r="I435" i="1"/>
  <c r="I439" i="1"/>
  <c r="I445" i="1"/>
  <c r="I451" i="1"/>
  <c r="I458" i="1"/>
  <c r="I465" i="1"/>
  <c r="I469" i="1"/>
  <c r="I687" i="1"/>
  <c r="I476" i="1"/>
  <c r="I482" i="1"/>
  <c r="I485" i="1"/>
  <c r="I490" i="1"/>
  <c r="I494" i="1"/>
  <c r="I498" i="1"/>
  <c r="I502" i="1"/>
  <c r="I506" i="1"/>
  <c r="I510" i="1"/>
  <c r="I514" i="1"/>
  <c r="I518" i="1"/>
  <c r="I522" i="1"/>
  <c r="I526" i="1"/>
  <c r="I51" i="1"/>
  <c r="I184" i="1"/>
  <c r="I217" i="1"/>
  <c r="I254" i="1"/>
  <c r="I274" i="1"/>
  <c r="I294" i="1"/>
  <c r="I310" i="1"/>
  <c r="I338" i="1"/>
  <c r="I359" i="1"/>
  <c r="I375" i="1"/>
  <c r="I393" i="1"/>
  <c r="I412" i="1"/>
  <c r="I424" i="1"/>
  <c r="I432" i="1"/>
  <c r="I436" i="1"/>
  <c r="I446" i="1"/>
  <c r="I456" i="1"/>
  <c r="I466" i="1"/>
  <c r="I473" i="1"/>
  <c r="I484" i="1"/>
  <c r="I491" i="1"/>
  <c r="I499" i="1"/>
  <c r="I507" i="1"/>
  <c r="I515" i="1"/>
  <c r="I523" i="1"/>
  <c r="I138" i="1"/>
  <c r="I167" i="1"/>
  <c r="I223" i="1"/>
  <c r="I246" i="1"/>
  <c r="I271" i="1"/>
  <c r="I290" i="1"/>
  <c r="I306" i="1"/>
  <c r="I334" i="1"/>
  <c r="I355" i="1"/>
  <c r="I371" i="1"/>
  <c r="I389" i="1"/>
  <c r="I407" i="1"/>
  <c r="I423" i="1"/>
  <c r="I430" i="1"/>
  <c r="I434" i="1"/>
  <c r="I444" i="1"/>
  <c r="I454" i="1"/>
  <c r="I464" i="1"/>
  <c r="I472" i="1"/>
  <c r="I481" i="1"/>
  <c r="I488" i="1"/>
  <c r="I497" i="1"/>
  <c r="I505" i="1"/>
  <c r="I513" i="1"/>
  <c r="I521" i="1"/>
  <c r="I150" i="1"/>
  <c r="I238" i="1"/>
  <c r="I267" i="1"/>
  <c r="I302" i="1"/>
  <c r="I328" i="1"/>
  <c r="I367" i="1"/>
  <c r="I402" i="1"/>
  <c r="I442" i="1"/>
  <c r="I452" i="1"/>
  <c r="I470" i="1"/>
  <c r="I486" i="1"/>
  <c r="I503" i="1"/>
  <c r="I519" i="1"/>
  <c r="I525" i="1"/>
  <c r="I528" i="1"/>
  <c r="I532" i="1"/>
  <c r="I535" i="1"/>
  <c r="I537" i="1"/>
  <c r="I542" i="1"/>
  <c r="I546" i="1"/>
  <c r="I551" i="1"/>
  <c r="I557" i="1"/>
  <c r="I559" i="1"/>
  <c r="I563" i="1"/>
  <c r="I567" i="1"/>
  <c r="I571" i="1"/>
  <c r="I575" i="1"/>
  <c r="I583" i="1"/>
  <c r="I587" i="1"/>
  <c r="I591" i="1"/>
  <c r="I595" i="1"/>
  <c r="I599" i="1"/>
  <c r="I603" i="1"/>
  <c r="I607" i="1"/>
  <c r="I611" i="1"/>
  <c r="I615" i="1"/>
  <c r="I619" i="1"/>
  <c r="I622" i="1"/>
  <c r="I626" i="1"/>
  <c r="I630" i="1"/>
  <c r="I634" i="1"/>
  <c r="I637" i="1"/>
  <c r="I641" i="1"/>
  <c r="I645" i="1"/>
  <c r="I649" i="1"/>
  <c r="I406" i="1"/>
  <c r="I657" i="1"/>
  <c r="I661" i="1"/>
  <c r="I664" i="1"/>
  <c r="I669" i="1"/>
  <c r="I673" i="1"/>
  <c r="I677" i="1"/>
  <c r="I230" i="1"/>
  <c r="I263" i="1"/>
  <c r="I298" i="1"/>
  <c r="I324" i="1"/>
  <c r="I363" i="1"/>
  <c r="I397" i="1"/>
  <c r="I460" i="1"/>
  <c r="I450" i="1"/>
  <c r="I468" i="1"/>
  <c r="I483" i="1"/>
  <c r="I501" i="1"/>
  <c r="I517" i="1"/>
  <c r="I531" i="1"/>
  <c r="I534" i="1"/>
  <c r="I541" i="1"/>
  <c r="I545" i="1"/>
  <c r="I549" i="1"/>
  <c r="I556" i="1"/>
  <c r="I558" i="1"/>
  <c r="I562" i="1"/>
  <c r="I566" i="1"/>
  <c r="I570" i="1"/>
  <c r="I574" i="1"/>
  <c r="I578" i="1"/>
  <c r="I581" i="1"/>
  <c r="I586" i="1"/>
  <c r="I590" i="1"/>
  <c r="I594" i="1"/>
  <c r="I598" i="1"/>
  <c r="I602" i="1"/>
  <c r="I606" i="1"/>
  <c r="I610" i="1"/>
  <c r="I614" i="1"/>
  <c r="I618" i="1"/>
  <c r="I621" i="1"/>
  <c r="I625" i="1"/>
  <c r="I629" i="1"/>
  <c r="I633" i="1"/>
  <c r="I636" i="1"/>
  <c r="I640" i="1"/>
  <c r="I644" i="1"/>
  <c r="I648" i="1"/>
  <c r="I653" i="1"/>
  <c r="I656" i="1"/>
  <c r="I660" i="1"/>
  <c r="I662" i="1"/>
  <c r="I668" i="1"/>
  <c r="I672" i="1"/>
  <c r="I676" i="1"/>
  <c r="I260" i="1"/>
  <c r="I385" i="1"/>
  <c r="I428" i="1"/>
  <c r="I462" i="1"/>
  <c r="I495" i="1"/>
  <c r="I530" i="1"/>
  <c r="I536" i="1"/>
  <c r="I544" i="1"/>
  <c r="I553" i="1"/>
  <c r="I561" i="1"/>
  <c r="I569" i="1"/>
  <c r="I577" i="1"/>
  <c r="I585" i="1"/>
  <c r="I593" i="1"/>
  <c r="I601" i="1"/>
  <c r="I609" i="1"/>
  <c r="I617" i="1"/>
  <c r="I624" i="1"/>
  <c r="I632" i="1"/>
  <c r="I639" i="1"/>
  <c r="I647" i="1"/>
  <c r="I655" i="1"/>
  <c r="I665" i="1"/>
  <c r="I671" i="1"/>
  <c r="I678" i="1"/>
  <c r="I682" i="1"/>
  <c r="I686" i="1"/>
  <c r="I690" i="1"/>
  <c r="I694" i="1"/>
  <c r="I699" i="1"/>
  <c r="I702" i="1"/>
  <c r="I707" i="1"/>
  <c r="I709" i="1"/>
  <c r="I714" i="1"/>
  <c r="I717" i="1"/>
  <c r="I720" i="1"/>
  <c r="I724" i="1"/>
  <c r="I728" i="1"/>
  <c r="I732" i="1"/>
  <c r="I737" i="1"/>
  <c r="I741" i="1"/>
  <c r="I745" i="1"/>
  <c r="I750" i="1"/>
  <c r="I754" i="1"/>
  <c r="I758" i="1"/>
  <c r="I768" i="1"/>
  <c r="I775" i="1"/>
  <c r="I780" i="1"/>
  <c r="I782" i="1"/>
  <c r="I786" i="1"/>
  <c r="I905" i="1"/>
  <c r="I790" i="1"/>
  <c r="I793" i="1"/>
  <c r="I798" i="1"/>
  <c r="I806" i="1"/>
  <c r="I810" i="1"/>
  <c r="I449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3" i="1"/>
  <c r="I866" i="1"/>
  <c r="I873" i="1"/>
  <c r="I877" i="1"/>
  <c r="I881" i="1"/>
  <c r="I885" i="1"/>
  <c r="I889" i="1"/>
  <c r="I894" i="1"/>
  <c r="I898" i="1"/>
  <c r="I909" i="1"/>
  <c r="I913" i="1"/>
  <c r="I916" i="1"/>
  <c r="I920" i="1"/>
  <c r="I925" i="1"/>
  <c r="I929" i="1"/>
  <c r="I933" i="1"/>
  <c r="I937" i="1"/>
  <c r="I941" i="1"/>
  <c r="I945" i="1"/>
  <c r="I949" i="1"/>
  <c r="I958" i="1"/>
  <c r="I962" i="1"/>
  <c r="I966" i="1"/>
  <c r="I970" i="1"/>
  <c r="I974" i="1"/>
  <c r="I978" i="1"/>
  <c r="I983" i="1"/>
  <c r="I988" i="1"/>
  <c r="I286" i="1"/>
  <c r="I351" i="1"/>
  <c r="I420" i="1"/>
  <c r="I440" i="1"/>
  <c r="I477" i="1"/>
  <c r="I511" i="1"/>
  <c r="I533" i="1"/>
  <c r="I538" i="1"/>
  <c r="I548" i="1"/>
  <c r="I565" i="1"/>
  <c r="I573" i="1"/>
  <c r="I580" i="1"/>
  <c r="I589" i="1"/>
  <c r="I597" i="1"/>
  <c r="I605" i="1"/>
  <c r="I613" i="1"/>
  <c r="I1173" i="1"/>
  <c r="I628" i="1"/>
  <c r="I635" i="1"/>
  <c r="I643" i="1"/>
  <c r="I652" i="1"/>
  <c r="I659" i="1"/>
  <c r="I675" i="1"/>
  <c r="I680" i="1"/>
  <c r="I684" i="1"/>
  <c r="I688" i="1"/>
  <c r="I692" i="1"/>
  <c r="I696" i="1"/>
  <c r="I700" i="1"/>
  <c r="I704" i="1"/>
  <c r="I706" i="1"/>
  <c r="I712" i="1"/>
  <c r="I715" i="1"/>
  <c r="I719" i="1"/>
  <c r="I722" i="1"/>
  <c r="I726" i="1"/>
  <c r="I730" i="1"/>
  <c r="I735" i="1"/>
  <c r="I739" i="1"/>
  <c r="I743" i="1"/>
  <c r="I747" i="1"/>
  <c r="I752" i="1"/>
  <c r="I756" i="1"/>
  <c r="I760" i="1"/>
  <c r="I770" i="1"/>
  <c r="I778" i="1"/>
  <c r="I1330" i="1"/>
  <c r="I784" i="1"/>
  <c r="I788" i="1"/>
  <c r="I902" i="1"/>
  <c r="I908" i="1"/>
  <c r="I796" i="1"/>
  <c r="I800" i="1"/>
  <c r="I808" i="1"/>
  <c r="I812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7" i="1"/>
  <c r="I875" i="1"/>
  <c r="I879" i="1"/>
  <c r="I883" i="1"/>
  <c r="I887" i="1"/>
  <c r="I896" i="1"/>
  <c r="I900" i="1"/>
  <c r="I914" i="1"/>
  <c r="I918" i="1"/>
  <c r="I923" i="1"/>
  <c r="I927" i="1"/>
  <c r="I931" i="1"/>
  <c r="I935" i="1"/>
  <c r="I939" i="1"/>
  <c r="I943" i="1"/>
  <c r="I947" i="1"/>
  <c r="I951" i="1"/>
  <c r="I960" i="1"/>
  <c r="I964" i="1"/>
  <c r="I968" i="1"/>
  <c r="I972" i="1"/>
  <c r="I976" i="1"/>
  <c r="I981" i="1"/>
  <c r="I985" i="1"/>
  <c r="I990" i="1"/>
  <c r="I1297" i="1"/>
  <c r="I416" i="1"/>
  <c r="I475" i="1"/>
  <c r="I529" i="1"/>
  <c r="I543" i="1"/>
  <c r="I560" i="1"/>
  <c r="I576" i="1"/>
  <c r="I584" i="1"/>
  <c r="I600" i="1"/>
  <c r="I616" i="1"/>
  <c r="I631" i="1"/>
  <c r="I638" i="1"/>
  <c r="I654" i="1"/>
  <c r="I670" i="1"/>
  <c r="I685" i="1"/>
  <c r="I693" i="1"/>
  <c r="I701" i="1"/>
  <c r="I710" i="1"/>
  <c r="I716" i="1"/>
  <c r="I723" i="1"/>
  <c r="I731" i="1"/>
  <c r="I740" i="1"/>
  <c r="I749" i="1"/>
  <c r="I757" i="1"/>
  <c r="I771" i="1"/>
  <c r="I767" i="1"/>
  <c r="I776" i="1"/>
  <c r="I781" i="1"/>
  <c r="I906" i="1"/>
  <c r="I797" i="1"/>
  <c r="I809" i="1"/>
  <c r="I815" i="1"/>
  <c r="I823" i="1"/>
  <c r="I831" i="1"/>
  <c r="I839" i="1"/>
  <c r="I847" i="1"/>
  <c r="I855" i="1"/>
  <c r="I880" i="1"/>
  <c r="I888" i="1"/>
  <c r="I897" i="1"/>
  <c r="I912" i="1"/>
  <c r="I919" i="1"/>
  <c r="I928" i="1"/>
  <c r="I936" i="1"/>
  <c r="I944" i="1"/>
  <c r="I952" i="1"/>
  <c r="I965" i="1"/>
  <c r="I973" i="1"/>
  <c r="I982" i="1"/>
  <c r="I993" i="1"/>
  <c r="I997" i="1"/>
  <c r="I1001" i="1"/>
  <c r="I1006" i="1"/>
  <c r="I1010" i="1"/>
  <c r="I1014" i="1"/>
  <c r="I1018" i="1"/>
  <c r="I1022" i="1"/>
  <c r="I1026" i="1"/>
  <c r="I1031" i="1"/>
  <c r="I1034" i="1"/>
  <c r="I1038" i="1"/>
  <c r="I1054" i="1"/>
  <c r="I1056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4" i="1"/>
  <c r="I1148" i="1"/>
  <c r="I1153" i="1"/>
  <c r="I1157" i="1"/>
  <c r="I1161" i="1"/>
  <c r="I1165" i="1"/>
  <c r="I1169" i="1"/>
  <c r="I1174" i="1"/>
  <c r="I1178" i="1"/>
  <c r="I1182" i="1"/>
  <c r="I1186" i="1"/>
  <c r="I1190" i="1"/>
  <c r="I279" i="1"/>
  <c r="I342" i="1"/>
  <c r="I438" i="1"/>
  <c r="I509" i="1"/>
  <c r="I552" i="1"/>
  <c r="I568" i="1"/>
  <c r="I592" i="1"/>
  <c r="I608" i="1"/>
  <c r="I623" i="1"/>
  <c r="I646" i="1"/>
  <c r="I663" i="1"/>
  <c r="I681" i="1"/>
  <c r="I689" i="1"/>
  <c r="I698" i="1"/>
  <c r="I705" i="1"/>
  <c r="I713" i="1"/>
  <c r="I130" i="1"/>
  <c r="I727" i="1"/>
  <c r="I736" i="1"/>
  <c r="I744" i="1"/>
  <c r="I753" i="1"/>
  <c r="I761" i="1"/>
  <c r="I765" i="1"/>
  <c r="I773" i="1"/>
  <c r="I779" i="1"/>
  <c r="I785" i="1"/>
  <c r="I904" i="1"/>
  <c r="I792" i="1"/>
  <c r="I801" i="1"/>
  <c r="I5" i="1"/>
  <c r="I819" i="1"/>
  <c r="I827" i="1"/>
  <c r="I835" i="1"/>
  <c r="I843" i="1"/>
  <c r="I851" i="1"/>
  <c r="I859" i="1"/>
  <c r="I865" i="1"/>
  <c r="I876" i="1"/>
  <c r="I884" i="1"/>
  <c r="I893" i="1"/>
  <c r="I901" i="1"/>
  <c r="I915" i="1"/>
  <c r="I924" i="1"/>
  <c r="I932" i="1"/>
  <c r="I940" i="1"/>
  <c r="I948" i="1"/>
  <c r="I961" i="1"/>
  <c r="I969" i="1"/>
  <c r="I977" i="1"/>
  <c r="I987" i="1"/>
  <c r="I991" i="1"/>
  <c r="I995" i="1"/>
  <c r="I999" i="1"/>
  <c r="I1004" i="1"/>
  <c r="I1008" i="1"/>
  <c r="I1012" i="1"/>
  <c r="I1016" i="1"/>
  <c r="I1020" i="1"/>
  <c r="I1024" i="1"/>
  <c r="I1028" i="1"/>
  <c r="I1032" i="1"/>
  <c r="I1036" i="1"/>
  <c r="I1040" i="1"/>
  <c r="I1048" i="1"/>
  <c r="I1051" i="1"/>
  <c r="I922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2" i="1"/>
  <c r="I1146" i="1"/>
  <c r="I1150" i="1"/>
  <c r="I1155" i="1"/>
  <c r="I1159" i="1"/>
  <c r="I1163" i="1"/>
  <c r="I1167" i="1"/>
  <c r="I1171" i="1"/>
  <c r="I1176" i="1"/>
  <c r="I1180" i="1"/>
  <c r="I1184" i="1"/>
  <c r="I1188" i="1"/>
  <c r="I1192" i="1"/>
  <c r="I379" i="1"/>
  <c r="I459" i="1"/>
  <c r="I527" i="1"/>
  <c r="I579" i="1"/>
  <c r="I612" i="1"/>
  <c r="I666" i="1"/>
  <c r="I683" i="1"/>
  <c r="I697" i="1"/>
  <c r="I721" i="1"/>
  <c r="I738" i="1"/>
  <c r="I755" i="1"/>
  <c r="I766" i="1"/>
  <c r="I554" i="1"/>
  <c r="I907" i="1"/>
  <c r="I807" i="1"/>
  <c r="I821" i="1"/>
  <c r="I837" i="1"/>
  <c r="I853" i="1"/>
  <c r="I886" i="1"/>
  <c r="I926" i="1"/>
  <c r="I942" i="1"/>
  <c r="I963" i="1"/>
  <c r="I980" i="1"/>
  <c r="I996" i="1"/>
  <c r="I1005" i="1"/>
  <c r="I1013" i="1"/>
  <c r="I1021" i="1"/>
  <c r="I1030" i="1"/>
  <c r="I1037" i="1"/>
  <c r="I1061" i="1"/>
  <c r="I1069" i="1"/>
  <c r="I1077" i="1"/>
  <c r="I1085" i="1"/>
  <c r="I1093" i="1"/>
  <c r="I1101" i="1"/>
  <c r="I1109" i="1"/>
  <c r="I1117" i="1"/>
  <c r="I1125" i="1"/>
  <c r="I1133" i="1"/>
  <c r="I1143" i="1"/>
  <c r="I1151" i="1"/>
  <c r="I1160" i="1"/>
  <c r="I1168" i="1"/>
  <c r="I1177" i="1"/>
  <c r="I1185" i="1"/>
  <c r="I1193" i="1"/>
  <c r="I1468" i="1"/>
  <c r="I1196" i="1"/>
  <c r="I1200" i="1"/>
  <c r="I1204" i="1"/>
  <c r="I1208" i="1"/>
  <c r="I314" i="1"/>
  <c r="I524" i="1"/>
  <c r="I572" i="1"/>
  <c r="I596" i="1"/>
  <c r="I627" i="1"/>
  <c r="I651" i="1"/>
  <c r="I691" i="1"/>
  <c r="I708" i="1"/>
  <c r="I729" i="1"/>
  <c r="I746" i="1"/>
  <c r="I769" i="1"/>
  <c r="I774" i="1"/>
  <c r="I787" i="1"/>
  <c r="I795" i="1"/>
  <c r="I813" i="1"/>
  <c r="I829" i="1"/>
  <c r="I845" i="1"/>
  <c r="I861" i="1"/>
  <c r="I868" i="1"/>
  <c r="I878" i="1"/>
  <c r="I895" i="1"/>
  <c r="I917" i="1"/>
  <c r="I934" i="1"/>
  <c r="I950" i="1"/>
  <c r="I971" i="1"/>
  <c r="I989" i="1"/>
  <c r="I992" i="1"/>
  <c r="I1000" i="1"/>
  <c r="I1009" i="1"/>
  <c r="I1017" i="1"/>
  <c r="I1025" i="1"/>
  <c r="I1033" i="1"/>
  <c r="I1045" i="1"/>
  <c r="I1053" i="1"/>
  <c r="I1057" i="1"/>
  <c r="I1065" i="1"/>
  <c r="I1073" i="1"/>
  <c r="I1081" i="1"/>
  <c r="I1089" i="1"/>
  <c r="I1097" i="1"/>
  <c r="I1105" i="1"/>
  <c r="I1113" i="1"/>
  <c r="I1121" i="1"/>
  <c r="I1129" i="1"/>
  <c r="I1137" i="1"/>
  <c r="I1147" i="1"/>
  <c r="I1156" i="1"/>
  <c r="I1164" i="1"/>
  <c r="I1172" i="1"/>
  <c r="I1181" i="1"/>
  <c r="I1189" i="1"/>
  <c r="I1194" i="1"/>
  <c r="I1198" i="1"/>
  <c r="I1202" i="1"/>
  <c r="I1206" i="1"/>
  <c r="I1210" i="1"/>
  <c r="I1215" i="1"/>
  <c r="I1219" i="1"/>
  <c r="I1223" i="1"/>
  <c r="I1227" i="1"/>
  <c r="I493" i="1"/>
  <c r="I547" i="1"/>
  <c r="I564" i="1"/>
  <c r="I588" i="1"/>
  <c r="I620" i="1"/>
  <c r="I642" i="1"/>
  <c r="I674" i="1"/>
  <c r="I408" i="1"/>
  <c r="I703" i="1"/>
  <c r="I725" i="1"/>
  <c r="I742" i="1"/>
  <c r="I759" i="1"/>
  <c r="I772" i="1"/>
  <c r="I718" i="1"/>
  <c r="I777" i="1"/>
  <c r="I825" i="1"/>
  <c r="I857" i="1"/>
  <c r="I874" i="1"/>
  <c r="I930" i="1"/>
  <c r="I967" i="1"/>
  <c r="I998" i="1"/>
  <c r="I1015" i="1"/>
  <c r="I1029" i="1"/>
  <c r="I38" i="1"/>
  <c r="I1071" i="1"/>
  <c r="I1087" i="1"/>
  <c r="I1103" i="1"/>
  <c r="I1119" i="1"/>
  <c r="I1135" i="1"/>
  <c r="I1154" i="1"/>
  <c r="I1170" i="1"/>
  <c r="I1187" i="1"/>
  <c r="I1469" i="1"/>
  <c r="I1201" i="1"/>
  <c r="I1209" i="1"/>
  <c r="I1218" i="1"/>
  <c r="I1221" i="1"/>
  <c r="I1224" i="1"/>
  <c r="I1229" i="1"/>
  <c r="I1233" i="1"/>
  <c r="I1236" i="1"/>
  <c r="I1240" i="1"/>
  <c r="I1244" i="1"/>
  <c r="I1248" i="1"/>
  <c r="I1252" i="1"/>
  <c r="I1256" i="1"/>
  <c r="I1260" i="1"/>
  <c r="I1264" i="1"/>
  <c r="I1268" i="1"/>
  <c r="I1270" i="1"/>
  <c r="I1272" i="1"/>
  <c r="I1276" i="1"/>
  <c r="I1281" i="1"/>
  <c r="I1285" i="1"/>
  <c r="I1291" i="1"/>
  <c r="I1295" i="1"/>
  <c r="I1301" i="1"/>
  <c r="I1305" i="1"/>
  <c r="I1309" i="1"/>
  <c r="I1313" i="1"/>
  <c r="I1317" i="1"/>
  <c r="I1321" i="1"/>
  <c r="I1325" i="1"/>
  <c r="I1334" i="1"/>
  <c r="I1338" i="1"/>
  <c r="I1342" i="1"/>
  <c r="I1346" i="1"/>
  <c r="I1350" i="1"/>
  <c r="I1354" i="1"/>
  <c r="I1358" i="1"/>
  <c r="I1360" i="1"/>
  <c r="I1364" i="1"/>
  <c r="I1368" i="1"/>
  <c r="I1370" i="1"/>
  <c r="I1374" i="1"/>
  <c r="I1378" i="1"/>
  <c r="I1382" i="1"/>
  <c r="I1386" i="1"/>
  <c r="I1390" i="1"/>
  <c r="I1394" i="1"/>
  <c r="I1398" i="1"/>
  <c r="I1402" i="1"/>
  <c r="I1406" i="1"/>
  <c r="I1411" i="1"/>
  <c r="I1415" i="1"/>
  <c r="I1419" i="1"/>
  <c r="I1423" i="1"/>
  <c r="I1427" i="1"/>
  <c r="I1431" i="1"/>
  <c r="I1435" i="1"/>
  <c r="I1439" i="1"/>
  <c r="I1443" i="1"/>
  <c r="I1447" i="1"/>
  <c r="I1452" i="1"/>
  <c r="I1455" i="1"/>
  <c r="I1459" i="1"/>
  <c r="I1463" i="1"/>
  <c r="I1467" i="1"/>
  <c r="I426" i="1"/>
  <c r="I711" i="1"/>
  <c r="I764" i="1"/>
  <c r="I817" i="1"/>
  <c r="I849" i="1"/>
  <c r="I899" i="1"/>
  <c r="I921" i="1"/>
  <c r="I959" i="1"/>
  <c r="I994" i="1"/>
  <c r="I1011" i="1"/>
  <c r="I1027" i="1"/>
  <c r="I1047" i="1"/>
  <c r="I1055" i="1"/>
  <c r="I1067" i="1"/>
  <c r="I1083" i="1"/>
  <c r="I1099" i="1"/>
  <c r="I1115" i="1"/>
  <c r="I1131" i="1"/>
  <c r="I1149" i="1"/>
  <c r="I1166" i="1"/>
  <c r="I1183" i="1"/>
  <c r="I1199" i="1"/>
  <c r="I1207" i="1"/>
  <c r="I1211" i="1"/>
  <c r="I1222" i="1"/>
  <c r="I1225" i="1"/>
  <c r="I1228" i="1"/>
  <c r="I1232" i="1"/>
  <c r="I1237" i="1"/>
  <c r="I1239" i="1"/>
  <c r="I1243" i="1"/>
  <c r="I1247" i="1"/>
  <c r="I1251" i="1"/>
  <c r="I1255" i="1"/>
  <c r="I1259" i="1"/>
  <c r="I1263" i="1"/>
  <c r="I1267" i="1"/>
  <c r="I1275" i="1"/>
  <c r="I1280" i="1"/>
  <c r="I1284" i="1"/>
  <c r="I1290" i="1"/>
  <c r="I1294" i="1"/>
  <c r="I1300" i="1"/>
  <c r="I1304" i="1"/>
  <c r="I1308" i="1"/>
  <c r="I1312" i="1"/>
  <c r="I1316" i="1"/>
  <c r="I1320" i="1"/>
  <c r="I1324" i="1"/>
  <c r="I1327" i="1"/>
  <c r="I1329" i="1"/>
  <c r="I1333" i="1"/>
  <c r="I1337" i="1"/>
  <c r="I1341" i="1"/>
  <c r="I1345" i="1"/>
  <c r="I1349" i="1"/>
  <c r="I1353" i="1"/>
  <c r="I1357" i="1"/>
  <c r="I540" i="1"/>
  <c r="I1363" i="1"/>
  <c r="I1367" i="1"/>
  <c r="I1052" i="1"/>
  <c r="I1373" i="1"/>
  <c r="I1377" i="1"/>
  <c r="I1381" i="1"/>
  <c r="I1385" i="1"/>
  <c r="I1389" i="1"/>
  <c r="I1393" i="1"/>
  <c r="I1397" i="1"/>
  <c r="I1401" i="1"/>
  <c r="I1405" i="1"/>
  <c r="I1410" i="1"/>
  <c r="I1414" i="1"/>
  <c r="I1418" i="1"/>
  <c r="I1422" i="1"/>
  <c r="I1426" i="1"/>
  <c r="I1430" i="1"/>
  <c r="I1434" i="1"/>
  <c r="I1438" i="1"/>
  <c r="I1442" i="1"/>
  <c r="I1446" i="1"/>
  <c r="I1450" i="1"/>
  <c r="I1534" i="1"/>
  <c r="I1458" i="1"/>
  <c r="I1462" i="1"/>
  <c r="I1466" i="1"/>
  <c r="I1472" i="1"/>
  <c r="I1477" i="1"/>
  <c r="I604" i="1"/>
  <c r="I658" i="1"/>
  <c r="I695" i="1"/>
  <c r="I751" i="1"/>
  <c r="I783" i="1"/>
  <c r="I811" i="1"/>
  <c r="I841" i="1"/>
  <c r="I864" i="1"/>
  <c r="I890" i="1"/>
  <c r="I159" i="1"/>
  <c r="I946" i="1"/>
  <c r="I984" i="1"/>
  <c r="I1007" i="1"/>
  <c r="I1023" i="1"/>
  <c r="I1039" i="1"/>
  <c r="I1050" i="1"/>
  <c r="I1063" i="1"/>
  <c r="I1079" i="1"/>
  <c r="I1095" i="1"/>
  <c r="I1111" i="1"/>
  <c r="I1127" i="1"/>
  <c r="I1145" i="1"/>
  <c r="I1162" i="1"/>
  <c r="I1179" i="1"/>
  <c r="I1197" i="1"/>
  <c r="I1205" i="1"/>
  <c r="I1212" i="1"/>
  <c r="I1216" i="1"/>
  <c r="I1226" i="1"/>
  <c r="I1231" i="1"/>
  <c r="I1235" i="1"/>
  <c r="I112" i="1"/>
  <c r="I1242" i="1"/>
  <c r="I1246" i="1"/>
  <c r="I1250" i="1"/>
  <c r="I1254" i="1"/>
  <c r="I1258" i="1"/>
  <c r="I1262" i="1"/>
  <c r="I1266" i="1"/>
  <c r="I1269" i="1"/>
  <c r="I1271" i="1"/>
  <c r="I1274" i="1"/>
  <c r="I1278" i="1"/>
  <c r="I1283" i="1"/>
  <c r="I1287" i="1"/>
  <c r="I1293" i="1"/>
  <c r="I1299" i="1"/>
  <c r="I1303" i="1"/>
  <c r="I1307" i="1"/>
  <c r="I1311" i="1"/>
  <c r="I1315" i="1"/>
  <c r="I1319" i="1"/>
  <c r="I1323" i="1"/>
  <c r="I1332" i="1"/>
  <c r="I1336" i="1"/>
  <c r="I1340" i="1"/>
  <c r="I1344" i="1"/>
  <c r="I1348" i="1"/>
  <c r="I1352" i="1"/>
  <c r="I1356" i="1"/>
  <c r="I539" i="1"/>
  <c r="I1362" i="1"/>
  <c r="I1366" i="1"/>
  <c r="I447" i="1"/>
  <c r="I1372" i="1"/>
  <c r="I1376" i="1"/>
  <c r="I1380" i="1"/>
  <c r="I1384" i="1"/>
  <c r="I1388" i="1"/>
  <c r="I1392" i="1"/>
  <c r="I1396" i="1"/>
  <c r="I1400" i="1"/>
  <c r="I1404" i="1"/>
  <c r="I1408" i="1"/>
  <c r="I1413" i="1"/>
  <c r="I1417" i="1"/>
  <c r="I1421" i="1"/>
  <c r="I1425" i="1"/>
  <c r="I1429" i="1"/>
  <c r="I1433" i="1"/>
  <c r="I1437" i="1"/>
  <c r="I1441" i="1"/>
  <c r="I1445" i="1"/>
  <c r="I1449" i="1"/>
  <c r="I1454" i="1"/>
  <c r="I1457" i="1"/>
  <c r="I1461" i="1"/>
  <c r="I1465" i="1"/>
  <c r="I1471" i="1"/>
  <c r="I1475" i="1"/>
  <c r="I1479" i="1"/>
  <c r="I1482" i="1"/>
  <c r="I344" i="1"/>
  <c r="I1485" i="1"/>
  <c r="I1489" i="1"/>
  <c r="I1494" i="1"/>
  <c r="I1499" i="1"/>
  <c r="I1503" i="1"/>
  <c r="I1507" i="1"/>
  <c r="I1513" i="1"/>
  <c r="I1509" i="1"/>
  <c r="I1519" i="1"/>
  <c r="I1523" i="1"/>
  <c r="I1527" i="1"/>
  <c r="I1531" i="1"/>
  <c r="I1536" i="1"/>
  <c r="I1139" i="1"/>
  <c r="I1542" i="1"/>
  <c r="I1546" i="1"/>
  <c r="I1550" i="1"/>
  <c r="I6" i="1"/>
  <c r="I10" i="1"/>
  <c r="I14" i="1"/>
  <c r="I19" i="1"/>
  <c r="I23" i="1"/>
  <c r="I30" i="1"/>
  <c r="I733" i="1"/>
  <c r="I975" i="1"/>
  <c r="I1003" i="1"/>
  <c r="I1107" i="1"/>
  <c r="I1175" i="1"/>
  <c r="I1213" i="1"/>
  <c r="I1217" i="1"/>
  <c r="I1220" i="1"/>
  <c r="I1238" i="1"/>
  <c r="I1253" i="1"/>
  <c r="I1282" i="1"/>
  <c r="I1302" i="1"/>
  <c r="I1318" i="1"/>
  <c r="I1331" i="1"/>
  <c r="I1347" i="1"/>
  <c r="I1361" i="1"/>
  <c r="I1375" i="1"/>
  <c r="I1391" i="1"/>
  <c r="I1407" i="1"/>
  <c r="I1424" i="1"/>
  <c r="I1440" i="1"/>
  <c r="I1456" i="1"/>
  <c r="I1474" i="1"/>
  <c r="I1481" i="1"/>
  <c r="I1484" i="1"/>
  <c r="I345" i="1"/>
  <c r="I1492" i="1"/>
  <c r="I1497" i="1"/>
  <c r="I1500" i="1"/>
  <c r="I1512" i="1"/>
  <c r="I1517" i="1"/>
  <c r="I1514" i="1"/>
  <c r="I1526" i="1"/>
  <c r="I1529" i="1"/>
  <c r="I1532" i="1"/>
  <c r="I1541" i="1"/>
  <c r="I1544" i="1"/>
  <c r="I1547" i="1"/>
  <c r="I31" i="1"/>
  <c r="I4" i="1"/>
  <c r="I8" i="1"/>
  <c r="I11" i="1"/>
  <c r="I22" i="1"/>
  <c r="I25" i="1"/>
  <c r="I833" i="1"/>
  <c r="I938" i="1"/>
  <c r="I1091" i="1"/>
  <c r="I1158" i="1"/>
  <c r="I1234" i="1"/>
  <c r="I1249" i="1"/>
  <c r="I1265" i="1"/>
  <c r="I1277" i="1"/>
  <c r="I1298" i="1"/>
  <c r="I1314" i="1"/>
  <c r="I1328" i="1"/>
  <c r="I1343" i="1"/>
  <c r="I1359" i="1"/>
  <c r="I1371" i="1"/>
  <c r="I1387" i="1"/>
  <c r="I1403" i="1"/>
  <c r="I1420" i="1"/>
  <c r="I1436" i="1"/>
  <c r="I1453" i="1"/>
  <c r="I1473" i="1"/>
  <c r="I343" i="1"/>
  <c r="I346" i="1"/>
  <c r="I1486" i="1"/>
  <c r="I1498" i="1"/>
  <c r="I1501" i="1"/>
  <c r="I1504" i="1"/>
  <c r="I1508" i="1"/>
  <c r="I1515" i="1"/>
  <c r="I1520" i="1"/>
  <c r="I1530" i="1"/>
  <c r="I1533" i="1"/>
  <c r="I1537" i="1"/>
  <c r="I1545" i="1"/>
  <c r="I1548" i="1"/>
  <c r="I9" i="1"/>
  <c r="I12" i="1"/>
  <c r="I15" i="1"/>
  <c r="I29" i="1"/>
  <c r="I679" i="1"/>
  <c r="I799" i="1"/>
  <c r="I1035" i="1"/>
  <c r="I1075" i="1"/>
  <c r="I1141" i="1"/>
  <c r="I1203" i="1"/>
  <c r="I1230" i="1"/>
  <c r="I1245" i="1"/>
  <c r="I1261" i="1"/>
  <c r="I1273" i="1"/>
  <c r="I1292" i="1"/>
  <c r="I1310" i="1"/>
  <c r="I1326" i="1"/>
  <c r="I1339" i="1"/>
  <c r="I1355" i="1"/>
  <c r="I1369" i="1"/>
  <c r="I1383" i="1"/>
  <c r="I1399" i="1"/>
  <c r="I1416" i="1"/>
  <c r="I1432" i="1"/>
  <c r="I1448" i="1"/>
  <c r="I1464" i="1"/>
  <c r="I1470" i="1"/>
  <c r="I794" i="1"/>
  <c r="I347" i="1"/>
  <c r="I1487" i="1"/>
  <c r="I1490" i="1"/>
  <c r="I1502" i="1"/>
  <c r="I1505" i="1"/>
  <c r="I1510" i="1"/>
  <c r="I1518" i="1"/>
  <c r="I1521" i="1"/>
  <c r="I1524" i="1"/>
  <c r="I1535" i="1"/>
  <c r="I1538" i="1"/>
  <c r="I1539" i="1"/>
  <c r="I1549" i="1"/>
  <c r="I13" i="1"/>
  <c r="I16" i="1"/>
  <c r="I20" i="1"/>
  <c r="I1191" i="1"/>
  <c r="I1241" i="1"/>
  <c r="I1365" i="1"/>
  <c r="I1428" i="1"/>
  <c r="I1476" i="1"/>
  <c r="I1522" i="1"/>
  <c r="I1525" i="1"/>
  <c r="I1528" i="1"/>
  <c r="I7" i="1"/>
  <c r="I3" i="1"/>
  <c r="I789" i="1"/>
  <c r="I1123" i="1"/>
  <c r="I1195" i="1"/>
  <c r="I1322" i="1"/>
  <c r="I1351" i="1"/>
  <c r="I1412" i="1"/>
  <c r="I1478" i="1"/>
  <c r="I1480" i="1"/>
  <c r="I1483" i="1"/>
  <c r="I1140" i="1"/>
  <c r="I1540" i="1"/>
  <c r="I1543" i="1"/>
  <c r="I18" i="1"/>
  <c r="I21" i="1"/>
  <c r="I24" i="1"/>
  <c r="I882" i="1"/>
  <c r="I1019" i="1"/>
  <c r="I1059" i="1"/>
  <c r="I1306" i="1"/>
  <c r="I1335" i="1"/>
  <c r="I1395" i="1"/>
  <c r="I1460" i="1"/>
  <c r="I1488" i="1"/>
  <c r="I1491" i="1"/>
  <c r="I1496" i="1"/>
  <c r="I1257" i="1"/>
  <c r="I1286" i="1"/>
  <c r="I1379" i="1"/>
  <c r="I1444" i="1"/>
  <c r="I1506" i="1"/>
  <c r="I1511" i="1"/>
  <c r="I1516" i="1"/>
  <c r="J1" i="1"/>
  <c r="O907" i="1"/>
  <c r="O122" i="1"/>
  <c r="O1353" i="1"/>
  <c r="O1317" i="1"/>
  <c r="O1329" i="1"/>
  <c r="O564" i="1"/>
  <c r="O525" i="1"/>
  <c r="O1117" i="1"/>
  <c r="O1197" i="1"/>
  <c r="O1375" i="1"/>
  <c r="O1065" i="1"/>
  <c r="O461" i="1"/>
  <c r="O76" i="1"/>
  <c r="O1057" i="1"/>
  <c r="O643" i="1"/>
  <c r="O1093" i="1"/>
  <c r="O816" i="1"/>
  <c r="O893" i="1"/>
  <c r="O932" i="1"/>
  <c r="O506" i="1"/>
  <c r="O325" i="1"/>
  <c r="O1417" i="1"/>
  <c r="O1247" i="1"/>
  <c r="O644" i="1"/>
  <c r="O162" i="1"/>
  <c r="O785" i="1"/>
  <c r="O876" i="1"/>
  <c r="O496" i="1"/>
  <c r="O1207" i="1"/>
  <c r="O254" i="1"/>
  <c r="O1300" i="1"/>
  <c r="O576" i="1"/>
  <c r="O376" i="1"/>
  <c r="O983" i="1"/>
  <c r="O794" i="1"/>
  <c r="O662" i="1"/>
  <c r="O1342" i="1"/>
  <c r="O927" i="1"/>
  <c r="O1346" i="1"/>
  <c r="O411" i="1"/>
  <c r="O1537" i="1"/>
  <c r="O1514" i="1"/>
  <c r="O1465" i="1"/>
  <c r="O1038" i="1"/>
  <c r="O599" i="1"/>
  <c r="O412" i="1"/>
  <c r="O1114" i="1"/>
  <c r="O234" i="1"/>
  <c r="O1201" i="1"/>
  <c r="O163" i="1"/>
  <c r="O1356" i="1"/>
  <c r="O166" i="1"/>
  <c r="O185" i="1"/>
  <c r="O847" i="1"/>
  <c r="O1242" i="1"/>
  <c r="O333" i="1"/>
  <c r="O592" i="1"/>
  <c r="O267" i="1"/>
  <c r="O1416" i="1"/>
  <c r="O315" i="1"/>
  <c r="O579" i="1"/>
  <c r="O547" i="1"/>
  <c r="O597" i="1"/>
  <c r="O213" i="1"/>
  <c r="O1076" i="1"/>
  <c r="O1309" i="1"/>
  <c r="O980" i="1"/>
  <c r="O165" i="1"/>
  <c r="O538" i="1"/>
  <c r="O896" i="1"/>
  <c r="O1127" i="1"/>
  <c r="O635" i="1"/>
  <c r="O865" i="1"/>
  <c r="O219" i="1"/>
  <c r="O153" i="1"/>
  <c r="O1539" i="1"/>
  <c r="O952" i="1"/>
  <c r="O420" i="1"/>
  <c r="O1131" i="1"/>
  <c r="O1282" i="1"/>
  <c r="O754" i="1"/>
  <c r="O171" i="1"/>
  <c r="O586" i="1"/>
  <c r="O1206" i="1"/>
  <c r="O328" i="1"/>
  <c r="O1260" i="1"/>
  <c r="O573" i="1"/>
  <c r="O1332" i="1"/>
  <c r="O1218" i="1"/>
  <c r="O1430" i="1"/>
  <c r="O652" i="1"/>
  <c r="O95" i="1"/>
  <c r="O535" i="1"/>
  <c r="O1098" i="1"/>
  <c r="O426" i="1"/>
  <c r="O1299" i="1"/>
  <c r="O419" i="1"/>
  <c r="O119" i="1"/>
  <c r="O324" i="1"/>
  <c r="O795" i="1"/>
  <c r="O231" i="1"/>
  <c r="O792" i="1"/>
  <c r="O1414" i="1"/>
  <c r="O976" i="1"/>
  <c r="O889" i="1"/>
  <c r="O236" i="1"/>
  <c r="O75" i="1"/>
  <c r="O918" i="1"/>
  <c r="O930" i="1"/>
  <c r="O208" i="1"/>
  <c r="O377" i="1"/>
  <c r="O694" i="1"/>
  <c r="O770" i="1"/>
  <c r="O888" i="1"/>
  <c r="O822" i="1"/>
  <c r="O238" i="1"/>
  <c r="O1071" i="1"/>
  <c r="O433" i="1"/>
  <c r="O57" i="1"/>
  <c r="O1263" i="1"/>
  <c r="O621" i="1"/>
  <c r="O784" i="1"/>
  <c r="O758" i="1"/>
  <c r="O124" i="1"/>
  <c r="O229" i="1"/>
  <c r="O1318" i="1"/>
  <c r="O1122" i="1"/>
  <c r="O551" i="1"/>
  <c r="O829" i="1"/>
  <c r="O247" i="1"/>
  <c r="O472" i="1"/>
  <c r="O517" i="1"/>
  <c r="O427" i="1"/>
  <c r="O742" i="1"/>
  <c r="O1101" i="1"/>
  <c r="O1261" i="1"/>
  <c r="O1295" i="1"/>
  <c r="O548" i="1"/>
  <c r="O251" i="1"/>
  <c r="O1350" i="1"/>
  <c r="O622" i="1"/>
  <c r="O1433" i="1"/>
  <c r="O68" i="1"/>
  <c r="O1060" i="1"/>
  <c r="O94" i="1"/>
  <c r="O515" i="1"/>
  <c r="O1518" i="1"/>
  <c r="O1253" i="1"/>
  <c r="O1080" i="1"/>
  <c r="O1323" i="1"/>
  <c r="O1286" i="1"/>
  <c r="O606" i="1"/>
  <c r="O385" i="1"/>
  <c r="O1437" i="1"/>
  <c r="O16" i="1"/>
  <c r="O158" i="1"/>
  <c r="O1506" i="1"/>
  <c r="O44" i="1"/>
  <c r="O1100" i="1"/>
  <c r="O1428" i="1"/>
  <c r="O30" i="1"/>
  <c r="O1322" i="1"/>
  <c r="O591" i="1"/>
  <c r="O266" i="1"/>
  <c r="O543" i="1"/>
  <c r="O1157" i="1"/>
  <c r="O370" i="1"/>
  <c r="O1347" i="1"/>
  <c r="O755" i="1"/>
  <c r="O757" i="1"/>
  <c r="O883" i="1"/>
  <c r="O1110" i="1"/>
  <c r="O128" i="1"/>
  <c r="O62" i="1"/>
  <c r="O745" i="1"/>
  <c r="O1446" i="1"/>
  <c r="O687" i="1"/>
  <c r="O1510" i="1"/>
  <c r="O1198" i="1"/>
  <c r="O1140" i="1"/>
  <c r="O1335" i="1"/>
  <c r="O1003" i="1"/>
  <c r="O702" i="1"/>
  <c r="O1488" i="1"/>
  <c r="O788" i="1"/>
  <c r="O177" i="1"/>
  <c r="O15" i="1"/>
  <c r="O1034" i="1"/>
  <c r="O1223" i="1"/>
  <c r="O605" i="1"/>
  <c r="O885" i="1"/>
  <c r="O741" i="1"/>
  <c r="O1369" i="1"/>
  <c r="O22" i="1"/>
  <c r="O989" i="1"/>
  <c r="O1192" i="1"/>
  <c r="O383" i="1"/>
  <c r="O1502" i="1"/>
  <c r="O295" i="1"/>
  <c r="O834" i="1"/>
  <c r="O1030" i="1"/>
  <c r="O899" i="1"/>
  <c r="O107" i="1"/>
  <c r="O116" i="1"/>
  <c r="O1270" i="1"/>
  <c r="O440" i="1"/>
  <c r="O290" i="1"/>
  <c r="O246" i="1"/>
  <c r="O1210" i="1"/>
  <c r="O241" i="1"/>
  <c r="O1337" i="1"/>
  <c r="O230" i="1"/>
  <c r="O421" i="1"/>
  <c r="O855" i="1"/>
  <c r="O1094" i="1"/>
  <c r="O1445" i="1"/>
  <c r="O916" i="1"/>
  <c r="O1485" i="1"/>
  <c r="O523" i="1"/>
  <c r="O688" i="1"/>
  <c r="O1079" i="1"/>
  <c r="O776" i="1"/>
  <c r="O1549" i="1"/>
  <c r="O146" i="1"/>
  <c r="O159" i="1"/>
  <c r="O1276" i="1"/>
  <c r="O33" i="1"/>
  <c r="O691" i="1"/>
  <c r="O439" i="1"/>
  <c r="O1217" i="1"/>
  <c r="O1381" i="1"/>
  <c r="O764" i="1"/>
  <c r="O181" i="1"/>
  <c r="O1254" i="1"/>
  <c r="O409" i="1"/>
  <c r="O908" i="1"/>
  <c r="O594" i="1"/>
  <c r="O90" i="1"/>
  <c r="O1121" i="1"/>
  <c r="O1442" i="1"/>
  <c r="O946" i="1"/>
  <c r="O490" i="1"/>
  <c r="O80" i="1"/>
  <c r="O1305" i="1"/>
  <c r="O1272" i="1"/>
  <c r="O263" i="1"/>
  <c r="O884" i="1"/>
  <c r="O740" i="1"/>
  <c r="O1455" i="1"/>
  <c r="O443" i="1"/>
  <c r="O1150" i="1"/>
  <c r="O756" i="1"/>
  <c r="O91" i="1"/>
  <c r="O1226" i="1"/>
  <c r="O1022" i="1"/>
  <c r="O397" i="1"/>
  <c r="O1001" i="1"/>
  <c r="O1479" i="1"/>
  <c r="O13" i="1"/>
  <c r="O283" i="1"/>
  <c r="O765" i="1"/>
  <c r="O1104" i="1"/>
  <c r="O610" i="1"/>
  <c r="O1021" i="1"/>
  <c r="O935" i="1"/>
  <c r="O1341" i="1"/>
  <c r="O1251" i="1"/>
  <c r="O1426" i="1"/>
  <c r="O1172" i="1"/>
  <c r="O1542" i="1"/>
  <c r="O817" i="1"/>
  <c r="O808" i="1"/>
  <c r="O1379" i="1"/>
  <c r="O669" i="1"/>
  <c r="O194" i="1"/>
  <c r="O752" i="1"/>
  <c r="O697" i="1"/>
  <c r="O225" i="1"/>
  <c r="O400" i="1"/>
  <c r="O877" i="1"/>
  <c r="O1541" i="1"/>
  <c r="O1540" i="1"/>
  <c r="O1170" i="1"/>
  <c r="O531" i="1"/>
  <c r="O314" i="1"/>
  <c r="O232" i="1"/>
  <c r="O393" i="1"/>
  <c r="O553" i="1"/>
  <c r="O1411" i="1"/>
  <c r="O666" i="1"/>
  <c r="O92" i="1"/>
  <c r="O296" i="1"/>
  <c r="O749" i="1"/>
  <c r="O751" i="1"/>
  <c r="O102" i="1"/>
  <c r="O1045" i="1"/>
  <c r="O197" i="1"/>
  <c r="O671" i="1"/>
  <c r="O286" i="1"/>
  <c r="O1383" i="1"/>
  <c r="O392" i="1"/>
  <c r="O1134" i="1"/>
  <c r="O451" i="1"/>
  <c r="O634" i="1"/>
  <c r="O1412" i="1"/>
  <c r="O1237" i="1"/>
  <c r="O64" i="1"/>
  <c r="O1327" i="1"/>
  <c r="O716" i="1"/>
  <c r="O867" i="1"/>
  <c r="O428" i="1"/>
  <c r="O167" i="1"/>
  <c r="O678" i="1"/>
  <c r="O684" i="1"/>
  <c r="O575" i="1"/>
  <c r="O394" i="1"/>
  <c r="O262" i="1"/>
  <c r="O1107" i="1"/>
  <c r="O779" i="1"/>
  <c r="O1314" i="1"/>
  <c r="O747" i="1"/>
  <c r="O811" i="1"/>
  <c r="O969" i="1"/>
  <c r="O1505" i="1"/>
  <c r="O628" i="1"/>
  <c r="O1054" i="1"/>
  <c r="O680" i="1"/>
  <c r="O413" i="1"/>
  <c r="O1013" i="1"/>
  <c r="O1083" i="1"/>
  <c r="O338" i="1"/>
  <c r="O465" i="1"/>
  <c r="O725" i="1"/>
  <c r="O386" i="1"/>
  <c r="O37" i="1"/>
  <c r="O1219" i="1"/>
  <c r="O1349" i="1"/>
  <c r="O366" i="1"/>
  <c r="O1440" i="1"/>
  <c r="O103" i="1"/>
  <c r="O1340" i="1"/>
  <c r="O256" i="1"/>
  <c r="O1029" i="1"/>
  <c r="O350" i="1"/>
  <c r="O483" i="1"/>
  <c r="O964" i="1"/>
  <c r="O130" i="1"/>
  <c r="O287" i="1"/>
  <c r="O681" i="1"/>
  <c r="O1454" i="1"/>
  <c r="O981" i="1"/>
  <c r="O395" i="1"/>
  <c r="O1095" i="1"/>
  <c r="O189" i="1"/>
  <c r="O571" i="1"/>
  <c r="O244" i="1"/>
  <c r="O318" i="1"/>
  <c r="O444" i="1"/>
  <c r="O445" i="1"/>
  <c r="O1460" i="1"/>
  <c r="O746" i="1"/>
  <c r="O519" i="1"/>
  <c r="O1408" i="1"/>
  <c r="O1392" i="1"/>
  <c r="O131" i="1"/>
  <c r="O618" i="1"/>
  <c r="O404" i="1"/>
  <c r="O1294" i="1"/>
  <c r="O105" i="1"/>
  <c r="O339" i="1"/>
  <c r="O703" i="1"/>
  <c r="O1355" i="1"/>
  <c r="O1077" i="1"/>
  <c r="O18" i="1"/>
  <c r="O1138" i="1"/>
  <c r="O1072" i="1"/>
  <c r="O651" i="1"/>
  <c r="O273" i="1"/>
  <c r="O480" i="1"/>
  <c r="O1319" i="1"/>
  <c r="O168" i="1"/>
  <c r="O1203" i="1"/>
  <c r="O41" i="1"/>
  <c r="O1321" i="1"/>
  <c r="O862" i="1"/>
  <c r="O512" i="1"/>
  <c r="O539" i="1"/>
  <c r="O1052" i="1"/>
  <c r="O475" i="1"/>
  <c r="O1474" i="1"/>
  <c r="O66" i="1"/>
  <c r="O767" i="1"/>
  <c r="O114" i="1"/>
  <c r="O1248" i="1"/>
  <c r="O211" i="1"/>
  <c r="O1500" i="1"/>
  <c r="O1395" i="1"/>
  <c r="O1448" i="1"/>
  <c r="O89" i="1"/>
  <c r="O1092" i="1"/>
  <c r="O929" i="1"/>
  <c r="O1507" i="1"/>
  <c r="O761" i="1"/>
  <c r="O1016" i="1"/>
  <c r="O567" i="1"/>
  <c r="O120" i="1"/>
  <c r="O1259" i="1"/>
  <c r="O108" i="1"/>
  <c r="O1377" i="1"/>
  <c r="O1494" i="1"/>
  <c r="O1452" i="1"/>
  <c r="O1513" i="1"/>
  <c r="O898" i="1"/>
  <c r="O387" i="1"/>
  <c r="O830" i="1"/>
  <c r="O1376" i="1"/>
  <c r="O914" i="1"/>
  <c r="O1111" i="1"/>
  <c r="O1519" i="1"/>
  <c r="O446" i="1"/>
  <c r="O897" i="1"/>
  <c r="O689" i="1"/>
  <c r="O336" i="1"/>
  <c r="O1281" i="1"/>
  <c r="O1027" i="1"/>
  <c r="O5" i="1"/>
  <c r="O1367" i="1"/>
  <c r="O160" i="1"/>
  <c r="O1086" i="1"/>
  <c r="O1221" i="1"/>
  <c r="O1209" i="1"/>
  <c r="O1313" i="1"/>
  <c r="O306" i="1"/>
  <c r="O985" i="1"/>
  <c r="O1326" i="1"/>
  <c r="O1320" i="1"/>
  <c r="O510" i="1"/>
  <c r="O1301" i="1"/>
  <c r="O1529" i="1"/>
  <c r="O298" i="1"/>
  <c r="O1146" i="1"/>
  <c r="O887" i="1"/>
  <c r="O1224" i="1"/>
  <c r="O1486" i="1"/>
  <c r="O1345" i="1"/>
  <c r="O96" i="1"/>
  <c r="O382" i="1"/>
  <c r="O1354" i="1"/>
  <c r="O1234" i="1"/>
  <c r="O21" i="1"/>
  <c r="O481" i="1"/>
  <c r="O405" i="1"/>
  <c r="O583" i="1"/>
  <c r="O313" i="1"/>
  <c r="O710" i="1"/>
  <c r="O161" i="1"/>
  <c r="O1390" i="1"/>
  <c r="O1484" i="1"/>
  <c r="O1230" i="1"/>
  <c r="O1545" i="1"/>
  <c r="O1015" i="1"/>
  <c r="O1204" i="1"/>
  <c r="O347" i="1"/>
  <c r="O249" i="1"/>
  <c r="O1491" i="1"/>
  <c r="O973" i="1"/>
  <c r="O674" i="1"/>
  <c r="O959" i="1"/>
  <c r="O348" i="1"/>
  <c r="O534" i="1"/>
  <c r="O425" i="1"/>
  <c r="O1528" i="1"/>
  <c r="O441" i="1"/>
  <c r="O240" i="1"/>
  <c r="O1220" i="1"/>
  <c r="O1370" i="1"/>
  <c r="O940" i="1"/>
  <c r="O873" i="1"/>
  <c r="O630" i="1"/>
  <c r="O1444" i="1"/>
  <c r="O467" i="1"/>
  <c r="O1064" i="1"/>
  <c r="O99" i="1"/>
  <c r="O1073" i="1"/>
  <c r="O349" i="1"/>
  <c r="O1235" i="1"/>
  <c r="O1047" i="1"/>
  <c r="O214" i="1"/>
  <c r="O1290" i="1"/>
  <c r="O355" i="1"/>
  <c r="O991" i="1"/>
  <c r="O1380" i="1"/>
  <c r="O815" i="1"/>
  <c r="O493" i="1"/>
  <c r="O209" i="1"/>
  <c r="O858" i="1"/>
  <c r="O228" i="1"/>
  <c r="O1343" i="1"/>
  <c r="O853" i="1"/>
  <c r="O832" i="1"/>
  <c r="O541" i="1"/>
  <c r="O1018" i="1"/>
  <c r="O373" i="1"/>
  <c r="O1415" i="1"/>
  <c r="O1275" i="1"/>
  <c r="O1543" i="1"/>
  <c r="O736" i="1"/>
  <c r="O1213" i="1"/>
  <c r="O728" i="1"/>
  <c r="O1461" i="1"/>
  <c r="O1128" i="1"/>
  <c r="O73" i="1"/>
  <c r="O1049" i="1"/>
  <c r="O782" i="1"/>
  <c r="O590" i="1"/>
  <c r="O312" i="1"/>
  <c r="O272" i="1"/>
  <c r="O430" i="1"/>
  <c r="O462" i="1"/>
  <c r="O565" i="1"/>
  <c r="O1368" i="1"/>
  <c r="O11" i="1"/>
  <c r="O709" i="1"/>
  <c r="O172" i="1"/>
  <c r="O301" i="1"/>
  <c r="O737" i="1"/>
  <c r="O1439" i="1"/>
  <c r="O1256" i="1"/>
  <c r="O374" i="1"/>
  <c r="O1139" i="1"/>
  <c r="O488" i="1"/>
  <c r="O934" i="1"/>
  <c r="O1105" i="1"/>
  <c r="O1252" i="1"/>
  <c r="O1402" i="1"/>
  <c r="O1517" i="1"/>
  <c r="O1357" i="1"/>
  <c r="O1304" i="1"/>
  <c r="O442" i="1"/>
  <c r="O358" i="1"/>
  <c r="O686" i="1"/>
  <c r="O137" i="1"/>
  <c r="O1450" i="1"/>
  <c r="O38" i="1"/>
  <c r="O118" i="1"/>
  <c r="O967" i="1"/>
  <c r="O1499" i="1"/>
  <c r="O505" i="1"/>
  <c r="O322" i="1"/>
  <c r="O581" i="1"/>
  <c r="O1162" i="1"/>
  <c r="O288" i="1"/>
  <c r="O1302" i="1"/>
  <c r="O1531" i="1"/>
  <c r="O1196" i="1"/>
  <c r="O1142" i="1"/>
  <c r="O874" i="1"/>
  <c r="O601" i="1"/>
  <c r="O1403" i="1"/>
  <c r="O1407" i="1"/>
  <c r="O424" i="1"/>
  <c r="O196" i="1"/>
  <c r="O1427" i="1"/>
  <c r="O1544" i="1"/>
  <c r="O410" i="1"/>
  <c r="O139" i="1"/>
  <c r="O588" i="1"/>
  <c r="O250" i="1"/>
  <c r="O379" i="1"/>
  <c r="O1535" i="1"/>
  <c r="O920" i="1"/>
  <c r="O237" i="1"/>
  <c r="O1048" i="1"/>
  <c r="O1481" i="1"/>
  <c r="O1447" i="1"/>
  <c r="O1462" i="1"/>
  <c r="O960" i="1"/>
  <c r="O1019" i="1"/>
  <c r="O1384" i="1"/>
  <c r="O307" i="1"/>
  <c r="O854" i="1"/>
  <c r="O326" i="1"/>
  <c r="O186" i="1"/>
  <c r="O880" i="1"/>
  <c r="O511" i="1"/>
  <c r="O649" i="1"/>
  <c r="O1527" i="1"/>
  <c r="O841" i="1"/>
  <c r="O1229" i="1"/>
  <c r="O175" i="1"/>
  <c r="O1050" i="1"/>
  <c r="O384" i="1"/>
  <c r="O569" i="1"/>
  <c r="O654" i="1"/>
  <c r="O59" i="1"/>
  <c r="O787" i="1"/>
  <c r="O518" i="1"/>
  <c r="O1498" i="1"/>
  <c r="O222" i="1"/>
  <c r="O1471" i="1"/>
  <c r="O454" i="1"/>
  <c r="O868" i="1"/>
  <c r="O182" i="1"/>
  <c r="O1431" i="1"/>
  <c r="O1024" i="1"/>
  <c r="O1459" i="1"/>
  <c r="O939" i="1"/>
  <c r="O704" i="1"/>
  <c r="O335" i="1"/>
  <c r="O150" i="1"/>
  <c r="O352" i="1"/>
  <c r="O142" i="1"/>
  <c r="O23" i="1"/>
  <c r="O1144" i="1"/>
  <c r="O856" i="1"/>
  <c r="O275" i="1"/>
  <c r="O1293" i="1"/>
  <c r="O1160" i="1"/>
  <c r="O961" i="1"/>
  <c r="O1168" i="1"/>
  <c r="O101" i="1"/>
  <c r="O487" i="1"/>
  <c r="O938" i="1"/>
  <c r="O1088" i="1"/>
  <c r="O353" i="1"/>
  <c r="O1435" i="1"/>
  <c r="O719" i="1"/>
  <c r="O879" i="1"/>
  <c r="O126" i="1"/>
  <c r="O1177" i="1"/>
  <c r="O1303" i="1"/>
  <c r="O82" i="1"/>
  <c r="O1388" i="1"/>
  <c r="O1245" i="1"/>
  <c r="O396" i="1"/>
  <c r="O595" i="1"/>
  <c r="O894" i="1"/>
  <c r="O1126" i="1"/>
  <c r="O1004" i="1"/>
  <c r="O557" i="1"/>
  <c r="O485" i="1"/>
  <c r="O191" i="1"/>
  <c r="O589" i="1"/>
  <c r="O1401" i="1"/>
  <c r="O513" i="1"/>
  <c r="O995" i="1"/>
  <c r="O1008" i="1"/>
  <c r="O1361" i="1"/>
  <c r="O1159" i="1"/>
  <c r="O1268" i="1"/>
  <c r="O685" i="1"/>
  <c r="O1316" i="1"/>
  <c r="O1164" i="1"/>
  <c r="O846" i="1"/>
  <c r="O117" i="1"/>
  <c r="O1167" i="1"/>
  <c r="O1006" i="1"/>
  <c r="O1123" i="1"/>
  <c r="O1096" i="1"/>
  <c r="O727" i="1"/>
  <c r="O627" i="1"/>
  <c r="O992" i="1"/>
  <c r="O391" i="1"/>
  <c r="O1097" i="1"/>
  <c r="O1017" i="1"/>
  <c r="O615" i="1"/>
  <c r="O498" i="1"/>
  <c r="O664" i="1"/>
  <c r="O1136" i="1"/>
  <c r="O928" i="1"/>
  <c r="O895" i="1"/>
  <c r="O86" i="1"/>
  <c r="O1035" i="1"/>
  <c r="O1113" i="1"/>
  <c r="O844" i="1"/>
  <c r="O1148" i="1"/>
  <c r="O1366" i="1"/>
  <c r="O904" i="1"/>
  <c r="O1453" i="1"/>
  <c r="O1522" i="1"/>
  <c r="O93" i="1"/>
  <c r="O195" i="1"/>
  <c r="O529" i="1"/>
  <c r="O132" i="1"/>
  <c r="O912" i="1"/>
  <c r="O207" i="1"/>
  <c r="O521" i="1"/>
  <c r="O948" i="1"/>
  <c r="O663" i="1"/>
  <c r="O1236" i="1"/>
  <c r="O1129" i="1"/>
  <c r="O109" i="1"/>
  <c r="O190" i="1"/>
  <c r="O1278" i="1"/>
  <c r="O631" i="1"/>
  <c r="O707" i="1"/>
  <c r="O179" i="1"/>
  <c r="O468" i="1"/>
  <c r="O1244" i="1"/>
  <c r="O329" i="1"/>
  <c r="O786" i="1"/>
  <c r="O900" i="1"/>
  <c r="O1490" i="1"/>
  <c r="O812" i="1"/>
  <c r="O42" i="1"/>
  <c r="O724" i="1"/>
  <c r="O732" i="1"/>
  <c r="O864" i="1"/>
  <c r="O1298" i="1"/>
  <c r="O310" i="1"/>
  <c r="O1438" i="1"/>
  <c r="O1475" i="1"/>
  <c r="O434" i="1"/>
  <c r="O609" i="1"/>
  <c r="O706" i="1"/>
  <c r="O566" i="1"/>
  <c r="O1151" i="1"/>
  <c r="O133" i="1"/>
  <c r="O540" i="1"/>
  <c r="O34" i="1"/>
  <c r="O463" i="1"/>
  <c r="O1115" i="1"/>
  <c r="O156" i="1"/>
  <c r="O7" i="1"/>
  <c r="O563" i="1"/>
  <c r="O526" i="1"/>
  <c r="O1339" i="1"/>
  <c r="O193" i="1"/>
  <c r="O1418" i="1"/>
  <c r="O9" i="1"/>
  <c r="O1066" i="1"/>
  <c r="O1496" i="1"/>
  <c r="O1200" i="1"/>
  <c r="O1331" i="1"/>
  <c r="O714" i="1"/>
  <c r="O1089" i="1"/>
  <c r="O1306" i="1"/>
  <c r="O1397" i="1"/>
  <c r="O626" i="1"/>
  <c r="O958" i="1"/>
  <c r="O235" i="1"/>
  <c r="O766" i="1"/>
  <c r="O1476" i="1"/>
  <c r="O344" i="1"/>
  <c r="O833" i="1"/>
  <c r="O1336" i="1"/>
  <c r="O407" i="1"/>
  <c r="O945" i="1"/>
  <c r="O354" i="1"/>
  <c r="O826" i="1"/>
  <c r="O902" i="1"/>
  <c r="O1166" i="1"/>
  <c r="O1525" i="1"/>
  <c r="O371" i="1"/>
  <c r="O1512" i="1"/>
  <c r="O1109" i="1"/>
  <c r="O658" i="1"/>
  <c r="O359" i="1"/>
  <c r="O516" i="1"/>
  <c r="O8" i="1"/>
  <c r="O67" i="1"/>
  <c r="O665" i="1"/>
  <c r="O436" i="1"/>
  <c r="O813" i="1"/>
  <c r="O537" i="1"/>
  <c r="O85" i="1"/>
  <c r="O984" i="1"/>
  <c r="O29" i="1"/>
  <c r="O323" i="1"/>
  <c r="O1413" i="1"/>
  <c r="O1195" i="1"/>
  <c r="O1267" i="1"/>
  <c r="O701" i="1"/>
  <c r="O660" i="1"/>
  <c r="O869" i="1"/>
  <c r="O1364" i="1"/>
  <c r="O341" i="1"/>
  <c r="O450" i="1"/>
  <c r="O695" i="1"/>
  <c r="O24" i="1"/>
  <c r="O389" i="1"/>
  <c r="O242" i="1"/>
  <c r="O611" i="1"/>
  <c r="O823" i="1"/>
  <c r="O1125" i="1"/>
  <c r="O1292" i="1"/>
  <c r="O494" i="1"/>
  <c r="O613" i="1"/>
  <c r="O738" i="1"/>
  <c r="O905" i="1"/>
  <c r="O423" i="1"/>
  <c r="O951" i="1"/>
  <c r="O1116" i="1"/>
  <c r="O645" i="1"/>
  <c r="O886" i="1"/>
  <c r="O580" i="1"/>
  <c r="O931" i="1"/>
  <c r="O1161" i="1"/>
  <c r="O54" i="1"/>
  <c r="O1243" i="1"/>
  <c r="O966" i="1"/>
  <c r="O990" i="1"/>
  <c r="O552" i="1"/>
  <c r="O431" i="1"/>
  <c r="O1423" i="1"/>
  <c r="O1399" i="1"/>
  <c r="O1154" i="1"/>
  <c r="O1404" i="1"/>
  <c r="O345" i="1"/>
  <c r="O1171" i="1"/>
  <c r="O39" i="1"/>
  <c r="O1241" i="1"/>
  <c r="O1324" i="1"/>
  <c r="O963" i="1"/>
  <c r="O134" i="1"/>
  <c r="O909" i="1"/>
  <c r="O768" i="1"/>
  <c r="O217" i="1"/>
  <c r="O164" i="1"/>
  <c r="O157" i="1"/>
  <c r="O632" i="1"/>
  <c r="O138" i="1"/>
  <c r="O110" i="1"/>
  <c r="O1190" i="1"/>
  <c r="O1480" i="1"/>
  <c r="O831" i="1"/>
  <c r="O999" i="1"/>
  <c r="O800" i="1"/>
  <c r="O1258" i="1"/>
  <c r="O993" i="1"/>
  <c r="O258" i="1"/>
  <c r="O502" i="1"/>
  <c r="O1165" i="1"/>
  <c r="O760" i="1"/>
  <c r="O1424" i="1"/>
  <c r="O81" i="1"/>
  <c r="O672" i="1"/>
  <c r="O205" i="1"/>
  <c r="O1422" i="1"/>
  <c r="O1147" i="1"/>
  <c r="O25" i="1"/>
  <c r="O636" i="1"/>
  <c r="O675" i="1"/>
  <c r="O546" i="1"/>
  <c r="O1082" i="1"/>
  <c r="O797" i="1"/>
  <c r="O1441" i="1"/>
  <c r="O838" i="1"/>
  <c r="O536" i="1"/>
  <c r="O637" i="1"/>
  <c r="O233" i="1"/>
  <c r="O437" i="1"/>
  <c r="O1070" i="1"/>
  <c r="O327" i="1"/>
  <c r="O340" i="1"/>
  <c r="O720" i="1"/>
  <c r="O187" i="1"/>
  <c r="O640" i="1"/>
  <c r="O925" i="1"/>
  <c r="O1227" i="1"/>
  <c r="O1405" i="1"/>
  <c r="O1273" i="1"/>
  <c r="O466" i="1"/>
  <c r="O1532" i="1"/>
  <c r="O356" i="1"/>
  <c r="O936" i="1"/>
  <c r="O1526" i="1"/>
  <c r="O243" i="1"/>
  <c r="O1199" i="1"/>
  <c r="O471" i="1"/>
  <c r="O474" i="1"/>
  <c r="O1132" i="1"/>
  <c r="O87" i="1"/>
  <c r="O1472" i="1"/>
  <c r="O1075" i="1"/>
  <c r="O549" i="1"/>
  <c r="O617" i="1"/>
  <c r="O1501" i="1"/>
  <c r="O1239" i="1"/>
  <c r="O491" i="1"/>
  <c r="O653" i="1"/>
  <c r="O1240" i="1"/>
  <c r="O711" i="1"/>
  <c r="O183" i="1"/>
  <c r="O143" i="1"/>
  <c r="O717" i="1"/>
  <c r="O729" i="1"/>
  <c r="O452" i="1"/>
  <c r="O1032" i="1"/>
  <c r="O1174" i="1"/>
  <c r="O1031" i="1"/>
  <c r="O357" i="1"/>
  <c r="O1130" i="1"/>
  <c r="O278" i="1"/>
  <c r="O1456" i="1"/>
  <c r="O814" i="1"/>
  <c r="O793" i="1"/>
  <c r="O4" i="1"/>
  <c r="O1149" i="1"/>
  <c r="O726" i="1"/>
  <c r="O351" i="1"/>
  <c r="O1040" i="1"/>
  <c r="O1215" i="1"/>
  <c r="O501" i="1"/>
  <c r="O300" i="1"/>
  <c r="O1069" i="1"/>
  <c r="O646" i="1"/>
  <c r="O1482" i="1"/>
  <c r="O1352" i="1"/>
  <c r="O1020" i="1"/>
  <c r="O1284" i="1"/>
  <c r="O304" i="1"/>
  <c r="O1463" i="1"/>
  <c r="O906" i="1"/>
  <c r="O129" i="1"/>
  <c r="O305" i="1"/>
  <c r="O1025" i="1"/>
  <c r="O723" i="1"/>
  <c r="O875" i="1"/>
  <c r="O74" i="1"/>
  <c r="O1238" i="1"/>
  <c r="O721" i="1"/>
  <c r="O1271" i="1"/>
  <c r="O1521" i="1"/>
  <c r="O574" i="1"/>
  <c r="O824" i="1"/>
  <c r="O1108" i="1"/>
  <c r="O464" i="1"/>
  <c r="O641" i="1"/>
  <c r="O302" i="1"/>
  <c r="O584" i="1"/>
  <c r="O1037" i="1"/>
  <c r="O497" i="1"/>
  <c r="O216" i="1"/>
  <c r="O750" i="1"/>
  <c r="O693" i="1"/>
  <c r="O614" i="1"/>
  <c r="O809" i="1"/>
  <c r="O1386" i="1"/>
  <c r="O608" i="1"/>
  <c r="O1436" i="1"/>
  <c r="O408" i="1"/>
  <c r="O378" i="1"/>
  <c r="O556" i="1"/>
  <c r="O1055" i="1"/>
  <c r="O1233" i="1"/>
  <c r="O1202" i="1"/>
  <c r="O806" i="1"/>
  <c r="O625" i="1"/>
  <c r="O1406" i="1"/>
  <c r="O810" i="1"/>
  <c r="O264" i="1"/>
  <c r="O921" i="1"/>
  <c r="O100" i="1"/>
  <c r="O744" i="1"/>
  <c r="O1112" i="1"/>
  <c r="O1344" i="1"/>
  <c r="O508" i="1"/>
  <c r="O390" i="1"/>
  <c r="O825" i="1"/>
  <c r="O20" i="1"/>
  <c r="O123" i="1"/>
  <c r="O198" i="1"/>
  <c r="O1091" i="1"/>
  <c r="O933" i="1"/>
  <c r="O1133" i="1"/>
  <c r="O223" i="1"/>
  <c r="O184" i="1"/>
  <c r="O1508" i="1"/>
  <c r="O859" i="1"/>
  <c r="O1434" i="1"/>
  <c r="O1033" i="1"/>
  <c r="O679" i="1"/>
  <c r="O1000" i="1"/>
  <c r="O1548" i="1"/>
  <c r="O226" i="1"/>
  <c r="O364" i="1"/>
  <c r="O699" i="1"/>
  <c r="O1026" i="1"/>
  <c r="O279" i="1"/>
  <c r="O772" i="1"/>
  <c r="O31" i="1"/>
  <c r="O731" i="1"/>
  <c r="O495" i="1"/>
  <c r="O1232" i="1"/>
  <c r="O210" i="1"/>
  <c r="O261" i="1"/>
  <c r="O807" i="1"/>
  <c r="O783" i="1"/>
  <c r="O47" i="1"/>
  <c r="O78" i="1"/>
  <c r="O367" i="1"/>
  <c r="O218" i="1"/>
  <c r="O1046" i="1"/>
  <c r="O1010" i="1"/>
  <c r="O154" i="1"/>
  <c r="O360" i="1"/>
  <c r="O1143" i="1"/>
  <c r="O1393" i="1"/>
  <c r="O503" i="1"/>
  <c r="O12" i="1"/>
  <c r="O343" i="1"/>
  <c r="O1068" i="1"/>
  <c r="O55" i="1"/>
  <c r="O477" i="1"/>
  <c r="O1363" i="1"/>
  <c r="O482" i="1"/>
  <c r="O1009" i="1"/>
  <c r="O140" i="1"/>
  <c r="O1468" i="1"/>
  <c r="O866" i="1"/>
  <c r="O375" i="1"/>
  <c r="O1173" i="1"/>
  <c r="O1477" i="1"/>
  <c r="O438" i="1"/>
  <c r="O45" i="1"/>
  <c r="O435" i="1"/>
  <c r="O1546" i="1"/>
  <c r="O836" i="1"/>
  <c r="O1169" i="1"/>
  <c r="O221" i="1"/>
  <c r="O174" i="1"/>
  <c r="O106" i="1"/>
  <c r="O530" i="1"/>
  <c r="O965" i="1"/>
  <c r="O509" i="1"/>
  <c r="O1265" i="1"/>
  <c r="O578" i="1"/>
  <c r="O522" i="1"/>
  <c r="O215" i="1"/>
  <c r="O903" i="1"/>
  <c r="O1360" i="1"/>
  <c r="O708" i="1"/>
  <c r="O1059" i="1"/>
  <c r="O276" i="1"/>
  <c r="O997" i="1"/>
  <c r="O1087" i="1"/>
  <c r="O10" i="1"/>
  <c r="O655" i="1"/>
  <c r="O790" i="1"/>
  <c r="O1124" i="1"/>
  <c r="O1387" i="1"/>
  <c r="O71" i="1"/>
  <c r="O1163" i="1"/>
  <c r="O1466" i="1"/>
  <c r="O265" i="1"/>
  <c r="O155" i="1"/>
  <c r="O418" i="1"/>
  <c r="O500" i="1"/>
  <c r="O1520" i="1"/>
  <c r="O470" i="1"/>
  <c r="O51" i="1"/>
  <c r="O1432" i="1"/>
  <c r="O1458" i="1"/>
  <c r="O346" i="1"/>
  <c r="O1398" i="1"/>
  <c r="O1053" i="1"/>
  <c r="O1310" i="1"/>
  <c r="O978" i="1"/>
  <c r="O492" i="1"/>
  <c r="O857" i="1"/>
  <c r="O204" i="1"/>
  <c r="O780" i="1"/>
  <c r="O850" i="1"/>
  <c r="O942" i="1"/>
  <c r="O937" i="1"/>
  <c r="O457" i="1"/>
  <c r="O148" i="1"/>
  <c r="O1212" i="1"/>
  <c r="O988" i="1"/>
  <c r="O733" i="1"/>
  <c r="O69" i="1"/>
  <c r="O1231" i="1"/>
  <c r="O735" i="1"/>
  <c r="O268" i="1"/>
  <c r="O259" i="1"/>
  <c r="O849" i="1"/>
  <c r="O112" i="1"/>
  <c r="O835" i="1"/>
  <c r="O777" i="1"/>
  <c r="O943" i="1"/>
  <c r="O473" i="1"/>
  <c r="O1099" i="1"/>
  <c r="O1511" i="1"/>
  <c r="O144" i="1"/>
  <c r="O1120" i="1"/>
  <c r="O248" i="1"/>
  <c r="O271" i="1"/>
  <c r="O673" i="1"/>
  <c r="O1308" i="1"/>
  <c r="O311" i="1"/>
  <c r="O1330" i="1"/>
  <c r="O527" i="1"/>
  <c r="O368" i="1"/>
  <c r="O180" i="1"/>
  <c r="O603" i="1"/>
  <c r="O176" i="1"/>
  <c r="O544" i="1"/>
  <c r="O1216" i="1"/>
  <c r="O572" i="1"/>
  <c r="O362" i="1"/>
  <c r="O151" i="1"/>
  <c r="O975" i="1"/>
  <c r="O1078" i="1"/>
  <c r="O1005" i="1"/>
  <c r="O1509" i="1"/>
  <c r="O1191" i="1"/>
  <c r="O299" i="1"/>
  <c r="O1036" i="1"/>
  <c r="O598" i="1"/>
  <c r="O524" i="1"/>
  <c r="O974" i="1"/>
  <c r="O1058" i="1"/>
  <c r="O83" i="1"/>
  <c r="O798" i="1"/>
  <c r="O839" i="1"/>
  <c r="O289" i="1"/>
  <c r="O748" i="1"/>
  <c r="O1039" i="1"/>
  <c r="O520" i="1"/>
  <c r="O363" i="1"/>
  <c r="O401" i="1"/>
  <c r="O1516" i="1"/>
  <c r="O947" i="1"/>
  <c r="O455" i="1"/>
  <c r="O1118" i="1"/>
  <c r="O476" i="1"/>
  <c r="O416" i="1"/>
  <c r="O968" i="1"/>
  <c r="O1063" i="1"/>
  <c r="O1280" i="1"/>
  <c r="O459" i="1"/>
  <c r="O892" i="1"/>
  <c r="O1328" i="1"/>
  <c r="O337" i="1"/>
  <c r="O739" i="1"/>
  <c r="O923" i="1"/>
  <c r="O332" i="1"/>
  <c r="O771" i="1"/>
  <c r="O274" i="1"/>
  <c r="O821" i="1"/>
  <c r="O901" i="1"/>
  <c r="O1264" i="1"/>
  <c r="O1396" i="1"/>
  <c r="O1145" i="1"/>
  <c r="O1359" i="1"/>
  <c r="O924" i="1"/>
  <c r="O676" i="1"/>
  <c r="O456" i="1"/>
  <c r="O843" i="1"/>
  <c r="O1503" i="1"/>
  <c r="O484" i="1"/>
  <c r="O486" i="1"/>
  <c r="O998" i="1"/>
  <c r="O507" i="1"/>
  <c r="O35" i="1"/>
  <c r="O639" i="1"/>
  <c r="O514" i="1"/>
  <c r="O1338" i="1"/>
  <c r="O1074" i="1"/>
  <c r="O1283" i="1"/>
  <c r="O585" i="1"/>
  <c r="O1194" i="1"/>
  <c r="O192" i="1"/>
  <c r="O1028" i="1"/>
  <c r="O252" i="1"/>
  <c r="O1497" i="1"/>
  <c r="O257" i="1"/>
  <c r="O612" i="1"/>
  <c r="O559" i="1"/>
  <c r="O1291" i="1"/>
  <c r="O342" i="1"/>
  <c r="O796" i="1"/>
  <c r="O982" i="1"/>
  <c r="O447" i="1"/>
  <c r="O63" i="1"/>
  <c r="O429" i="1"/>
  <c r="O1274" i="1"/>
  <c r="O562" i="1"/>
  <c r="O705" i="1"/>
  <c r="O1250" i="1"/>
  <c r="O619" i="1"/>
  <c r="O926" i="1"/>
  <c r="O1137" i="1"/>
  <c r="O56" i="1"/>
  <c r="O309" i="1"/>
  <c r="O1348" i="1"/>
  <c r="O616" i="1"/>
  <c r="O1103" i="1"/>
  <c r="O789" i="1"/>
  <c r="O253" i="1"/>
  <c r="O753" i="1"/>
  <c r="O1311" i="1"/>
  <c r="O1176" i="1"/>
  <c r="O778" i="1"/>
  <c r="O188" i="1"/>
  <c r="O715" i="1"/>
  <c r="O53" i="1"/>
  <c r="O49" i="1"/>
  <c r="O1410" i="1"/>
  <c r="O14" i="1"/>
  <c r="O285" i="1"/>
  <c r="O36" i="1"/>
  <c r="O1425" i="1"/>
  <c r="O147" i="1"/>
  <c r="O1492" i="1"/>
  <c r="O43" i="1"/>
  <c r="O1547" i="1"/>
  <c r="O1533" i="1"/>
  <c r="O882" i="1"/>
  <c r="O1515" i="1"/>
  <c r="O260" i="1"/>
  <c r="O317" i="1"/>
  <c r="O1362" i="1"/>
  <c r="O269" i="1"/>
  <c r="O1315" i="1"/>
  <c r="O913" i="1"/>
  <c r="O1193" i="1"/>
  <c r="O759" i="1"/>
  <c r="O718" i="1"/>
  <c r="O293" i="1"/>
  <c r="O818" i="1"/>
  <c r="O1365" i="1"/>
  <c r="O1228" i="1"/>
  <c r="O453" i="1"/>
  <c r="O1085" i="1"/>
  <c r="O1287" i="1"/>
  <c r="O602" i="1"/>
  <c r="O801" i="1"/>
  <c r="O861" i="1"/>
  <c r="O170" i="1"/>
  <c r="O1051" i="1"/>
  <c r="O1334" i="1"/>
  <c r="O917" i="1"/>
  <c r="O460" i="1"/>
  <c r="O84" i="1"/>
  <c r="O1067" i="1"/>
  <c r="O1483" i="1"/>
  <c r="O220" i="1"/>
  <c r="O319" i="1"/>
  <c r="O600" i="1"/>
  <c r="O713" i="1"/>
  <c r="O587" i="1"/>
  <c r="O828" i="1"/>
  <c r="O677" i="1"/>
  <c r="O1358" i="1"/>
  <c r="O1222" i="1"/>
  <c r="O607" i="1"/>
  <c r="O1464" i="1"/>
  <c r="O361" i="1"/>
  <c r="O657" i="1"/>
  <c r="O270" i="1"/>
  <c r="O1158" i="1"/>
  <c r="O769" i="1"/>
  <c r="O1469" i="1"/>
  <c r="O369" i="1"/>
  <c r="O1394" i="1"/>
  <c r="O136" i="1"/>
  <c r="O499" i="1"/>
  <c r="O629" i="1"/>
  <c r="O623" i="1"/>
  <c r="O1312" i="1"/>
  <c r="O532" i="1"/>
  <c r="O1333" i="1"/>
  <c r="O915" i="1"/>
  <c r="O922" i="1"/>
  <c r="O554" i="1"/>
  <c r="O994" i="1"/>
  <c r="O648" i="1"/>
  <c r="O1061" i="1"/>
  <c r="O774" i="1"/>
  <c r="O113" i="1"/>
  <c r="O570" i="1"/>
  <c r="O1266" i="1"/>
  <c r="O1062" i="1"/>
  <c r="O1538" i="1"/>
  <c r="O878" i="1"/>
  <c r="O1487" i="1"/>
  <c r="O1211" i="1"/>
  <c r="O291" i="1"/>
  <c r="O308" i="1"/>
  <c r="O1550" i="1"/>
  <c r="O670" i="1"/>
  <c r="O820" i="1"/>
  <c r="O152" i="1"/>
  <c r="O227" i="1"/>
  <c r="O414" i="1"/>
  <c r="O872" i="1"/>
  <c r="O659" i="1"/>
  <c r="O88" i="1"/>
  <c r="O1374" i="1"/>
  <c r="O1084" i="1"/>
  <c r="O638" i="1"/>
  <c r="O98" i="1"/>
  <c r="O1429" i="1"/>
  <c r="O890" i="1"/>
  <c r="O255" i="1"/>
  <c r="O1443" i="1"/>
  <c r="O417" i="1"/>
  <c r="O863" i="1"/>
  <c r="O6" i="1"/>
  <c r="O1373" i="1"/>
  <c r="O722" i="1"/>
  <c r="O700" i="1"/>
  <c r="O577" i="1"/>
  <c r="O303" i="1"/>
  <c r="O842" i="1"/>
  <c r="O596" i="1"/>
  <c r="O1090" i="1"/>
  <c r="O1007" i="1"/>
  <c r="O432" i="1"/>
  <c r="O1119" i="1"/>
  <c r="O698" i="1"/>
  <c r="O1536" i="1"/>
  <c r="O79" i="1"/>
  <c r="O799" i="1"/>
  <c r="O1378" i="1"/>
  <c r="O449" i="1"/>
  <c r="O489" i="1"/>
  <c r="O1156" i="1"/>
  <c r="O1205" i="1"/>
  <c r="O65" i="1"/>
  <c r="O881" i="1"/>
  <c r="O97" i="1"/>
  <c r="O1277" i="1"/>
  <c r="O284" i="1"/>
  <c r="O1208" i="1"/>
  <c r="O58" i="1"/>
  <c r="O448" i="1"/>
  <c r="O860" i="1"/>
  <c r="O1141" i="1"/>
  <c r="O1389" i="1"/>
  <c r="O1524" i="1"/>
  <c r="O1023" i="1"/>
  <c r="O962" i="1"/>
  <c r="O1473" i="1"/>
  <c r="O1175" i="1"/>
  <c r="O1297" i="1"/>
  <c r="O245" i="1"/>
  <c r="O403" i="1"/>
  <c r="O61" i="1"/>
  <c r="O178" i="1"/>
  <c r="O845" i="1"/>
  <c r="O1449" i="1"/>
  <c r="O919" i="1"/>
  <c r="O533" i="1"/>
  <c r="O141" i="1"/>
  <c r="O661" i="1"/>
  <c r="O1420" i="1"/>
  <c r="O558" i="1"/>
  <c r="O1102" i="1"/>
  <c r="O415" i="1"/>
  <c r="O1372" i="1"/>
  <c r="O542" i="1"/>
  <c r="O1249" i="1"/>
  <c r="O561" i="1"/>
  <c r="O1470" i="1"/>
  <c r="O970" i="1"/>
  <c r="O851" i="1"/>
  <c r="O135" i="1"/>
  <c r="O334" i="1"/>
  <c r="O1391" i="1"/>
  <c r="O1296" i="1"/>
  <c r="O127" i="1"/>
  <c r="O458" i="1"/>
  <c r="O950" i="1"/>
  <c r="O504" i="1"/>
  <c r="O1106" i="1"/>
  <c r="O469" i="1"/>
  <c r="O212" i="1"/>
  <c r="O647" i="1"/>
  <c r="O388" i="1"/>
  <c r="O1012" i="1"/>
  <c r="O77" i="1"/>
  <c r="O633" i="1"/>
  <c r="O294" i="1"/>
  <c r="O949" i="1"/>
  <c r="O1269" i="1"/>
  <c r="O1534" i="1"/>
  <c r="O730" i="1"/>
  <c r="O1489" i="1"/>
  <c r="O1400" i="1"/>
  <c r="O560" i="1"/>
  <c r="O568" i="1"/>
  <c r="O32" i="1"/>
  <c r="O402" i="1"/>
  <c r="O406" i="1"/>
  <c r="O365" i="1"/>
  <c r="O1523" i="1"/>
  <c r="O19" i="1"/>
  <c r="O111" i="1"/>
  <c r="O46" i="1"/>
  <c r="O1056" i="1"/>
  <c r="O121" i="1"/>
  <c r="O977" i="1"/>
  <c r="O1467" i="1"/>
  <c r="O70" i="1"/>
  <c r="O712" i="1"/>
  <c r="O692" i="1"/>
  <c r="O819" i="1"/>
  <c r="O743" i="1"/>
  <c r="O1478" i="1"/>
  <c r="O972" i="1"/>
  <c r="O1351" i="1"/>
  <c r="O1155" i="1"/>
  <c r="O1382" i="1"/>
  <c r="O422" i="1"/>
  <c r="O1371" i="1"/>
  <c r="O1246" i="1"/>
  <c r="O696" i="1"/>
  <c r="O115" i="1"/>
  <c r="O545" i="1"/>
  <c r="O1421" i="1"/>
  <c r="O1325" i="1"/>
  <c r="O104" i="1"/>
  <c r="O1530" i="1"/>
  <c r="O1011" i="1"/>
  <c r="O941" i="1"/>
  <c r="O848" i="1"/>
  <c r="O60" i="1"/>
  <c r="O1385" i="1"/>
  <c r="O1504" i="1"/>
  <c r="O620" i="1"/>
  <c r="O372" i="1"/>
  <c r="O668" i="1"/>
  <c r="O837" i="1"/>
  <c r="O1285" i="1"/>
  <c r="O1135" i="1"/>
  <c r="O145" i="1"/>
  <c r="O1262" i="1"/>
  <c r="O971" i="1"/>
  <c r="O944" i="1"/>
  <c r="O398" i="1"/>
  <c r="O604" i="1"/>
  <c r="O72" i="1"/>
  <c r="O840" i="1"/>
  <c r="O292" i="1"/>
  <c r="O528" i="1"/>
  <c r="O48" i="1"/>
  <c r="O773" i="1"/>
  <c r="O1307" i="1"/>
  <c r="O297" i="1"/>
  <c r="O1153" i="1"/>
  <c r="O173" i="1"/>
  <c r="O1081" i="1"/>
  <c r="O1225" i="1"/>
  <c r="O3" i="1"/>
  <c r="O1255" i="1"/>
  <c r="O775" i="1"/>
  <c r="O624" i="1"/>
  <c r="O642" i="1"/>
  <c r="O239" i="1"/>
  <c r="O1457" i="1"/>
  <c r="O1257" i="1"/>
  <c r="O1014" i="1"/>
  <c r="O149" i="1"/>
  <c r="O125" i="1"/>
  <c r="O987" i="1"/>
  <c r="O690" i="1"/>
  <c r="O593" i="1"/>
  <c r="O852" i="1"/>
  <c r="O827" i="1"/>
  <c r="O656" i="1"/>
  <c r="O224" i="1"/>
  <c r="O781" i="1"/>
  <c r="O996" i="1"/>
  <c r="O1419" i="1"/>
  <c r="J667" i="1" l="1"/>
  <c r="J803" i="1"/>
  <c r="J582" i="1"/>
  <c r="J804" i="1"/>
  <c r="J802" i="1"/>
  <c r="J805" i="1"/>
  <c r="J791" i="1"/>
  <c r="J206" i="1"/>
  <c r="J555" i="1"/>
  <c r="J320" i="1"/>
  <c r="J1043" i="1"/>
  <c r="J321" i="1"/>
  <c r="J1042" i="1"/>
  <c r="J1044" i="1"/>
  <c r="J17" i="1"/>
  <c r="J316" i="1"/>
  <c r="J199" i="1"/>
  <c r="J200" i="1"/>
  <c r="J203" i="1"/>
  <c r="J202" i="1"/>
  <c r="J201" i="1"/>
  <c r="J911" i="1"/>
  <c r="J910" i="1"/>
  <c r="J650" i="1"/>
  <c r="J734" i="1"/>
  <c r="J26" i="1"/>
  <c r="J277" i="1"/>
  <c r="J380" i="1"/>
  <c r="J550" i="1"/>
  <c r="J1002" i="1"/>
  <c r="J953" i="1"/>
  <c r="J870" i="1"/>
  <c r="J280" i="1"/>
  <c r="J762" i="1"/>
  <c r="J763" i="1"/>
  <c r="J1214" i="1"/>
  <c r="J331" i="1"/>
  <c r="J954" i="1"/>
  <c r="J28" i="1"/>
  <c r="J282" i="1"/>
  <c r="J957" i="1"/>
  <c r="J1493" i="1"/>
  <c r="J381" i="1"/>
  <c r="J1495" i="1"/>
  <c r="J479" i="1"/>
  <c r="J1279" i="1"/>
  <c r="J1289" i="1"/>
  <c r="J871" i="1"/>
  <c r="J478" i="1"/>
  <c r="J1409" i="1"/>
  <c r="J330" i="1"/>
  <c r="J955" i="1"/>
  <c r="J1288" i="1"/>
  <c r="J169" i="1"/>
  <c r="J27" i="1"/>
  <c r="J1451" i="1"/>
  <c r="J956" i="1"/>
  <c r="J40" i="1"/>
  <c r="J281" i="1"/>
  <c r="J399" i="1"/>
  <c r="J1152" i="1"/>
  <c r="J986" i="1"/>
  <c r="J1041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03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297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296" i="1"/>
  <c r="J213" i="1"/>
  <c r="J217" i="1"/>
  <c r="J221" i="1"/>
  <c r="J223" i="1"/>
  <c r="J226" i="1"/>
  <c r="J230" i="1"/>
  <c r="J234" i="1"/>
  <c r="J238" i="1"/>
  <c r="J242" i="1"/>
  <c r="J246" i="1"/>
  <c r="J250" i="1"/>
  <c r="J254" i="1"/>
  <c r="J258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56" i="1"/>
  <c r="J260" i="1"/>
  <c r="J262" i="1"/>
  <c r="J124" i="1"/>
  <c r="J155" i="1"/>
  <c r="J173" i="1"/>
  <c r="J189" i="1"/>
  <c r="J209" i="1"/>
  <c r="J216" i="1"/>
  <c r="J229" i="1"/>
  <c r="J237" i="1"/>
  <c r="J245" i="1"/>
  <c r="J253" i="1"/>
  <c r="J263" i="1"/>
  <c r="J267" i="1"/>
  <c r="J271" i="1"/>
  <c r="J274" i="1"/>
  <c r="J279" i="1"/>
  <c r="J286" i="1"/>
  <c r="J290" i="1"/>
  <c r="J294" i="1"/>
  <c r="J298" i="1"/>
  <c r="J302" i="1"/>
  <c r="J306" i="1"/>
  <c r="J310" i="1"/>
  <c r="J314" i="1"/>
  <c r="J324" i="1"/>
  <c r="J328" i="1"/>
  <c r="J334" i="1"/>
  <c r="J338" i="1"/>
  <c r="J342" i="1"/>
  <c r="J351" i="1"/>
  <c r="J355" i="1"/>
  <c r="J359" i="1"/>
  <c r="J363" i="1"/>
  <c r="J367" i="1"/>
  <c r="J371" i="1"/>
  <c r="J375" i="1"/>
  <c r="J379" i="1"/>
  <c r="J385" i="1"/>
  <c r="J389" i="1"/>
  <c r="J393" i="1"/>
  <c r="J397" i="1"/>
  <c r="J402" i="1"/>
  <c r="J407" i="1"/>
  <c r="J412" i="1"/>
  <c r="J416" i="1"/>
  <c r="J420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57" i="1"/>
  <c r="J259" i="1"/>
  <c r="J265" i="1"/>
  <c r="J269" i="1"/>
  <c r="J273" i="1"/>
  <c r="J276" i="1"/>
  <c r="J284" i="1"/>
  <c r="J288" i="1"/>
  <c r="J292" i="1"/>
  <c r="J296" i="1"/>
  <c r="J300" i="1"/>
  <c r="J304" i="1"/>
  <c r="J308" i="1"/>
  <c r="J312" i="1"/>
  <c r="J317" i="1"/>
  <c r="J322" i="1"/>
  <c r="J326" i="1"/>
  <c r="J332" i="1"/>
  <c r="J336" i="1"/>
  <c r="J340" i="1"/>
  <c r="J349" i="1"/>
  <c r="J353" i="1"/>
  <c r="J357" i="1"/>
  <c r="J361" i="1"/>
  <c r="J365" i="1"/>
  <c r="J369" i="1"/>
  <c r="J373" i="1"/>
  <c r="J377" i="1"/>
  <c r="J383" i="1"/>
  <c r="J387" i="1"/>
  <c r="J391" i="1"/>
  <c r="J395" i="1"/>
  <c r="J400" i="1"/>
  <c r="J404" i="1"/>
  <c r="J410" i="1"/>
  <c r="J414" i="1"/>
  <c r="J418" i="1"/>
  <c r="J422" i="1"/>
  <c r="J99" i="1"/>
  <c r="J139" i="1"/>
  <c r="J168" i="1"/>
  <c r="J205" i="1"/>
  <c r="J214" i="1"/>
  <c r="J235" i="1"/>
  <c r="J251" i="1"/>
  <c r="J261" i="1"/>
  <c r="J270" i="1"/>
  <c r="J278" i="1"/>
  <c r="J289" i="1"/>
  <c r="J297" i="1"/>
  <c r="J305" i="1"/>
  <c r="J313" i="1"/>
  <c r="J323" i="1"/>
  <c r="J333" i="1"/>
  <c r="J341" i="1"/>
  <c r="J354" i="1"/>
  <c r="J362" i="1"/>
  <c r="J370" i="1"/>
  <c r="J378" i="1"/>
  <c r="J388" i="1"/>
  <c r="J396" i="1"/>
  <c r="J405" i="1"/>
  <c r="J415" i="1"/>
  <c r="J423" i="1"/>
  <c r="J426" i="1"/>
  <c r="J430" i="1"/>
  <c r="J460" i="1"/>
  <c r="J434" i="1"/>
  <c r="J438" i="1"/>
  <c r="J444" i="1"/>
  <c r="J450" i="1"/>
  <c r="J454" i="1"/>
  <c r="J459" i="1"/>
  <c r="J464" i="1"/>
  <c r="J468" i="1"/>
  <c r="J472" i="1"/>
  <c r="J475" i="1"/>
  <c r="J481" i="1"/>
  <c r="J483" i="1"/>
  <c r="J488" i="1"/>
  <c r="J493" i="1"/>
  <c r="J497" i="1"/>
  <c r="J501" i="1"/>
  <c r="J505" i="1"/>
  <c r="J509" i="1"/>
  <c r="J513" i="1"/>
  <c r="J517" i="1"/>
  <c r="J521" i="1"/>
  <c r="J62" i="1"/>
  <c r="J151" i="1"/>
  <c r="J185" i="1"/>
  <c r="J227" i="1"/>
  <c r="J243" i="1"/>
  <c r="J872" i="1"/>
  <c r="J266" i="1"/>
  <c r="J748" i="1"/>
  <c r="J285" i="1"/>
  <c r="J293" i="1"/>
  <c r="J301" i="1"/>
  <c r="J309" i="1"/>
  <c r="J318" i="1"/>
  <c r="J327" i="1"/>
  <c r="J337" i="1"/>
  <c r="J350" i="1"/>
  <c r="J358" i="1"/>
  <c r="J366" i="1"/>
  <c r="J374" i="1"/>
  <c r="J384" i="1"/>
  <c r="J392" i="1"/>
  <c r="J401" i="1"/>
  <c r="J411" i="1"/>
  <c r="J419" i="1"/>
  <c r="J424" i="1"/>
  <c r="J428" i="1"/>
  <c r="J432" i="1"/>
  <c r="J442" i="1"/>
  <c r="J436" i="1"/>
  <c r="J440" i="1"/>
  <c r="J446" i="1"/>
  <c r="J452" i="1"/>
  <c r="J456" i="1"/>
  <c r="J462" i="1"/>
  <c r="J466" i="1"/>
  <c r="J470" i="1"/>
  <c r="J473" i="1"/>
  <c r="J477" i="1"/>
  <c r="J484" i="1"/>
  <c r="J486" i="1"/>
  <c r="J491" i="1"/>
  <c r="J495" i="1"/>
  <c r="J499" i="1"/>
  <c r="J503" i="1"/>
  <c r="J507" i="1"/>
  <c r="J511" i="1"/>
  <c r="J515" i="1"/>
  <c r="J519" i="1"/>
  <c r="J523" i="1"/>
  <c r="J527" i="1"/>
  <c r="J193" i="1"/>
  <c r="J231" i="1"/>
  <c r="J268" i="1"/>
  <c r="J287" i="1"/>
  <c r="J303" i="1"/>
  <c r="J329" i="1"/>
  <c r="J352" i="1"/>
  <c r="J368" i="1"/>
  <c r="J386" i="1"/>
  <c r="J403" i="1"/>
  <c r="J421" i="1"/>
  <c r="J425" i="1"/>
  <c r="J433" i="1"/>
  <c r="J437" i="1"/>
  <c r="J448" i="1"/>
  <c r="J457" i="1"/>
  <c r="J467" i="1"/>
  <c r="J474" i="1"/>
  <c r="J489" i="1"/>
  <c r="J492" i="1"/>
  <c r="J500" i="1"/>
  <c r="J508" i="1"/>
  <c r="J516" i="1"/>
  <c r="J177" i="1"/>
  <c r="J218" i="1"/>
  <c r="J255" i="1"/>
  <c r="J264" i="1"/>
  <c r="J283" i="1"/>
  <c r="J299" i="1"/>
  <c r="J315" i="1"/>
  <c r="J325" i="1"/>
  <c r="J348" i="1"/>
  <c r="J364" i="1"/>
  <c r="J382" i="1"/>
  <c r="J398" i="1"/>
  <c r="J417" i="1"/>
  <c r="J431" i="1"/>
  <c r="J435" i="1"/>
  <c r="J445" i="1"/>
  <c r="J455" i="1"/>
  <c r="J465" i="1"/>
  <c r="J687" i="1"/>
  <c r="J482" i="1"/>
  <c r="J490" i="1"/>
  <c r="J498" i="1"/>
  <c r="J506" i="1"/>
  <c r="J514" i="1"/>
  <c r="J522" i="1"/>
  <c r="J210" i="1"/>
  <c r="J247" i="1"/>
  <c r="J275" i="1"/>
  <c r="J311" i="1"/>
  <c r="J339" i="1"/>
  <c r="J376" i="1"/>
  <c r="J413" i="1"/>
  <c r="J429" i="1"/>
  <c r="J443" i="1"/>
  <c r="J463" i="1"/>
  <c r="J480" i="1"/>
  <c r="J496" i="1"/>
  <c r="J512" i="1"/>
  <c r="J524" i="1"/>
  <c r="J529" i="1"/>
  <c r="J543" i="1"/>
  <c r="J547" i="1"/>
  <c r="J552" i="1"/>
  <c r="J560" i="1"/>
  <c r="J564" i="1"/>
  <c r="J568" i="1"/>
  <c r="J572" i="1"/>
  <c r="J576" i="1"/>
  <c r="J579" i="1"/>
  <c r="J584" i="1"/>
  <c r="J588" i="1"/>
  <c r="J592" i="1"/>
  <c r="J596" i="1"/>
  <c r="J600" i="1"/>
  <c r="J604" i="1"/>
  <c r="J608" i="1"/>
  <c r="J612" i="1"/>
  <c r="J616" i="1"/>
  <c r="J620" i="1"/>
  <c r="J623" i="1"/>
  <c r="J627" i="1"/>
  <c r="J631" i="1"/>
  <c r="J638" i="1"/>
  <c r="J642" i="1"/>
  <c r="J646" i="1"/>
  <c r="J651" i="1"/>
  <c r="J654" i="1"/>
  <c r="J658" i="1"/>
  <c r="J663" i="1"/>
  <c r="J666" i="1"/>
  <c r="J670" i="1"/>
  <c r="J674" i="1"/>
  <c r="J239" i="1"/>
  <c r="J272" i="1"/>
  <c r="J307" i="1"/>
  <c r="J335" i="1"/>
  <c r="J372" i="1"/>
  <c r="J409" i="1"/>
  <c r="J427" i="1"/>
  <c r="J439" i="1"/>
  <c r="J458" i="1"/>
  <c r="J476" i="1"/>
  <c r="J494" i="1"/>
  <c r="J510" i="1"/>
  <c r="J525" i="1"/>
  <c r="J528" i="1"/>
  <c r="J532" i="1"/>
  <c r="J535" i="1"/>
  <c r="J537" i="1"/>
  <c r="J542" i="1"/>
  <c r="J546" i="1"/>
  <c r="J551" i="1"/>
  <c r="J557" i="1"/>
  <c r="J559" i="1"/>
  <c r="J563" i="1"/>
  <c r="J567" i="1"/>
  <c r="J571" i="1"/>
  <c r="J575" i="1"/>
  <c r="J583" i="1"/>
  <c r="J587" i="1"/>
  <c r="J591" i="1"/>
  <c r="J595" i="1"/>
  <c r="J599" i="1"/>
  <c r="J603" i="1"/>
  <c r="J607" i="1"/>
  <c r="J611" i="1"/>
  <c r="J615" i="1"/>
  <c r="J619" i="1"/>
  <c r="J622" i="1"/>
  <c r="J626" i="1"/>
  <c r="J630" i="1"/>
  <c r="J634" i="1"/>
  <c r="J637" i="1"/>
  <c r="J641" i="1"/>
  <c r="J645" i="1"/>
  <c r="J649" i="1"/>
  <c r="J406" i="1"/>
  <c r="J657" i="1"/>
  <c r="J661" i="1"/>
  <c r="J664" i="1"/>
  <c r="J669" i="1"/>
  <c r="J673" i="1"/>
  <c r="J160" i="1"/>
  <c r="J319" i="1"/>
  <c r="J394" i="1"/>
  <c r="J441" i="1"/>
  <c r="J471" i="1"/>
  <c r="J504" i="1"/>
  <c r="J526" i="1"/>
  <c r="J531" i="1"/>
  <c r="J545" i="1"/>
  <c r="J556" i="1"/>
  <c r="J562" i="1"/>
  <c r="J570" i="1"/>
  <c r="J578" i="1"/>
  <c r="J586" i="1"/>
  <c r="J594" i="1"/>
  <c r="J602" i="1"/>
  <c r="J610" i="1"/>
  <c r="J618" i="1"/>
  <c r="J625" i="1"/>
  <c r="J633" i="1"/>
  <c r="J640" i="1"/>
  <c r="J648" i="1"/>
  <c r="J656" i="1"/>
  <c r="J662" i="1"/>
  <c r="J672" i="1"/>
  <c r="J679" i="1"/>
  <c r="J683" i="1"/>
  <c r="J408" i="1"/>
  <c r="J691" i="1"/>
  <c r="J695" i="1"/>
  <c r="J697" i="1"/>
  <c r="J703" i="1"/>
  <c r="J708" i="1"/>
  <c r="J711" i="1"/>
  <c r="J718" i="1"/>
  <c r="J721" i="1"/>
  <c r="J725" i="1"/>
  <c r="J729" i="1"/>
  <c r="J733" i="1"/>
  <c r="J738" i="1"/>
  <c r="J742" i="1"/>
  <c r="J746" i="1"/>
  <c r="J751" i="1"/>
  <c r="J755" i="1"/>
  <c r="J759" i="1"/>
  <c r="J769" i="1"/>
  <c r="J764" i="1"/>
  <c r="J766" i="1"/>
  <c r="J772" i="1"/>
  <c r="J774" i="1"/>
  <c r="J777" i="1"/>
  <c r="J554" i="1"/>
  <c r="J783" i="1"/>
  <c r="J787" i="1"/>
  <c r="J789" i="1"/>
  <c r="J907" i="1"/>
  <c r="J795" i="1"/>
  <c r="J799" i="1"/>
  <c r="J807" i="1"/>
  <c r="J811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4" i="1"/>
  <c r="J868" i="1"/>
  <c r="J874" i="1"/>
  <c r="J878" i="1"/>
  <c r="J882" i="1"/>
  <c r="J886" i="1"/>
  <c r="J890" i="1"/>
  <c r="J895" i="1"/>
  <c r="J899" i="1"/>
  <c r="J159" i="1"/>
  <c r="J917" i="1"/>
  <c r="J921" i="1"/>
  <c r="J926" i="1"/>
  <c r="J930" i="1"/>
  <c r="J934" i="1"/>
  <c r="J938" i="1"/>
  <c r="J942" i="1"/>
  <c r="J946" i="1"/>
  <c r="J950" i="1"/>
  <c r="J959" i="1"/>
  <c r="J963" i="1"/>
  <c r="J967" i="1"/>
  <c r="J971" i="1"/>
  <c r="J975" i="1"/>
  <c r="J980" i="1"/>
  <c r="J984" i="1"/>
  <c r="J989" i="1"/>
  <c r="J295" i="1"/>
  <c r="J360" i="1"/>
  <c r="J453" i="1"/>
  <c r="J487" i="1"/>
  <c r="J520" i="1"/>
  <c r="J534" i="1"/>
  <c r="J541" i="1"/>
  <c r="J549" i="1"/>
  <c r="J558" i="1"/>
  <c r="J566" i="1"/>
  <c r="J574" i="1"/>
  <c r="J581" i="1"/>
  <c r="J590" i="1"/>
  <c r="J598" i="1"/>
  <c r="J606" i="1"/>
  <c r="J614" i="1"/>
  <c r="J621" i="1"/>
  <c r="J629" i="1"/>
  <c r="J636" i="1"/>
  <c r="J644" i="1"/>
  <c r="J653" i="1"/>
  <c r="J660" i="1"/>
  <c r="J668" i="1"/>
  <c r="J676" i="1"/>
  <c r="J677" i="1"/>
  <c r="J681" i="1"/>
  <c r="J685" i="1"/>
  <c r="J689" i="1"/>
  <c r="J693" i="1"/>
  <c r="J698" i="1"/>
  <c r="J701" i="1"/>
  <c r="J705" i="1"/>
  <c r="J710" i="1"/>
  <c r="J713" i="1"/>
  <c r="J716" i="1"/>
  <c r="J130" i="1"/>
  <c r="J723" i="1"/>
  <c r="J727" i="1"/>
  <c r="J731" i="1"/>
  <c r="J736" i="1"/>
  <c r="J740" i="1"/>
  <c r="J744" i="1"/>
  <c r="J749" i="1"/>
  <c r="J753" i="1"/>
  <c r="J757" i="1"/>
  <c r="J761" i="1"/>
  <c r="J771" i="1"/>
  <c r="J765" i="1"/>
  <c r="J767" i="1"/>
  <c r="J773" i="1"/>
  <c r="J776" i="1"/>
  <c r="J779" i="1"/>
  <c r="J781" i="1"/>
  <c r="J785" i="1"/>
  <c r="J904" i="1"/>
  <c r="J906" i="1"/>
  <c r="J792" i="1"/>
  <c r="J797" i="1"/>
  <c r="J801" i="1"/>
  <c r="J809" i="1"/>
  <c r="J5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2" i="1"/>
  <c r="J865" i="1"/>
  <c r="J869" i="1"/>
  <c r="J876" i="1"/>
  <c r="J880" i="1"/>
  <c r="J884" i="1"/>
  <c r="J888" i="1"/>
  <c r="J893" i="1"/>
  <c r="J897" i="1"/>
  <c r="J901" i="1"/>
  <c r="J912" i="1"/>
  <c r="J915" i="1"/>
  <c r="J919" i="1"/>
  <c r="J924" i="1"/>
  <c r="J928" i="1"/>
  <c r="J932" i="1"/>
  <c r="J936" i="1"/>
  <c r="J940" i="1"/>
  <c r="J944" i="1"/>
  <c r="J948" i="1"/>
  <c r="J952" i="1"/>
  <c r="J961" i="1"/>
  <c r="J965" i="1"/>
  <c r="J969" i="1"/>
  <c r="J973" i="1"/>
  <c r="J977" i="1"/>
  <c r="J982" i="1"/>
  <c r="J987" i="1"/>
  <c r="J291" i="1"/>
  <c r="J356" i="1"/>
  <c r="J485" i="1"/>
  <c r="J536" i="1"/>
  <c r="J553" i="1"/>
  <c r="J569" i="1"/>
  <c r="J593" i="1"/>
  <c r="J609" i="1"/>
  <c r="J624" i="1"/>
  <c r="J647" i="1"/>
  <c r="J665" i="1"/>
  <c r="J678" i="1"/>
  <c r="J686" i="1"/>
  <c r="J694" i="1"/>
  <c r="J702" i="1"/>
  <c r="J709" i="1"/>
  <c r="J717" i="1"/>
  <c r="J724" i="1"/>
  <c r="J732" i="1"/>
  <c r="J741" i="1"/>
  <c r="J750" i="1"/>
  <c r="J758" i="1"/>
  <c r="J775" i="1"/>
  <c r="J782" i="1"/>
  <c r="J790" i="1"/>
  <c r="J798" i="1"/>
  <c r="J810" i="1"/>
  <c r="J816" i="1"/>
  <c r="J824" i="1"/>
  <c r="J832" i="1"/>
  <c r="J840" i="1"/>
  <c r="J848" i="1"/>
  <c r="J856" i="1"/>
  <c r="J863" i="1"/>
  <c r="J873" i="1"/>
  <c r="J881" i="1"/>
  <c r="J889" i="1"/>
  <c r="J898" i="1"/>
  <c r="J913" i="1"/>
  <c r="J920" i="1"/>
  <c r="J929" i="1"/>
  <c r="J937" i="1"/>
  <c r="J945" i="1"/>
  <c r="J958" i="1"/>
  <c r="J966" i="1"/>
  <c r="J974" i="1"/>
  <c r="J983" i="1"/>
  <c r="J994" i="1"/>
  <c r="J998" i="1"/>
  <c r="J1003" i="1"/>
  <c r="J1007" i="1"/>
  <c r="J1011" i="1"/>
  <c r="J1015" i="1"/>
  <c r="J1019" i="1"/>
  <c r="J1023" i="1"/>
  <c r="J1027" i="1"/>
  <c r="J1029" i="1"/>
  <c r="J1035" i="1"/>
  <c r="J1039" i="1"/>
  <c r="J1047" i="1"/>
  <c r="J1050" i="1"/>
  <c r="J1055" i="1"/>
  <c r="J38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1123" i="1"/>
  <c r="J1127" i="1"/>
  <c r="J1131" i="1"/>
  <c r="J1135" i="1"/>
  <c r="J1141" i="1"/>
  <c r="J1145" i="1"/>
  <c r="J1149" i="1"/>
  <c r="J1154" i="1"/>
  <c r="J1158" i="1"/>
  <c r="J1162" i="1"/>
  <c r="J1166" i="1"/>
  <c r="J1170" i="1"/>
  <c r="J1175" i="1"/>
  <c r="J1179" i="1"/>
  <c r="J1183" i="1"/>
  <c r="J1187" i="1"/>
  <c r="J1191" i="1"/>
  <c r="J451" i="1"/>
  <c r="J518" i="1"/>
  <c r="J530" i="1"/>
  <c r="J544" i="1"/>
  <c r="J561" i="1"/>
  <c r="J577" i="1"/>
  <c r="J585" i="1"/>
  <c r="J601" i="1"/>
  <c r="J617" i="1"/>
  <c r="J632" i="1"/>
  <c r="J639" i="1"/>
  <c r="J655" i="1"/>
  <c r="J671" i="1"/>
  <c r="J682" i="1"/>
  <c r="J690" i="1"/>
  <c r="J699" i="1"/>
  <c r="J707" i="1"/>
  <c r="J714" i="1"/>
  <c r="J720" i="1"/>
  <c r="J728" i="1"/>
  <c r="J737" i="1"/>
  <c r="J745" i="1"/>
  <c r="J754" i="1"/>
  <c r="J768" i="1"/>
  <c r="J780" i="1"/>
  <c r="J786" i="1"/>
  <c r="J905" i="1"/>
  <c r="J793" i="1"/>
  <c r="J806" i="1"/>
  <c r="J449" i="1"/>
  <c r="J820" i="1"/>
  <c r="J828" i="1"/>
  <c r="J836" i="1"/>
  <c r="J844" i="1"/>
  <c r="J852" i="1"/>
  <c r="J860" i="1"/>
  <c r="J866" i="1"/>
  <c r="J877" i="1"/>
  <c r="J885" i="1"/>
  <c r="J894" i="1"/>
  <c r="J909" i="1"/>
  <c r="J916" i="1"/>
  <c r="J925" i="1"/>
  <c r="J933" i="1"/>
  <c r="J941" i="1"/>
  <c r="J949" i="1"/>
  <c r="J962" i="1"/>
  <c r="J970" i="1"/>
  <c r="J978" i="1"/>
  <c r="J988" i="1"/>
  <c r="J992" i="1"/>
  <c r="J996" i="1"/>
  <c r="J1000" i="1"/>
  <c r="J1005" i="1"/>
  <c r="J1009" i="1"/>
  <c r="J1013" i="1"/>
  <c r="J1017" i="1"/>
  <c r="J1021" i="1"/>
  <c r="J1025" i="1"/>
  <c r="J1030" i="1"/>
  <c r="J1033" i="1"/>
  <c r="J1037" i="1"/>
  <c r="J1045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3" i="1"/>
  <c r="J1137" i="1"/>
  <c r="J1143" i="1"/>
  <c r="J1147" i="1"/>
  <c r="J1151" i="1"/>
  <c r="J1156" i="1"/>
  <c r="J1160" i="1"/>
  <c r="J1164" i="1"/>
  <c r="J1168" i="1"/>
  <c r="J1172" i="1"/>
  <c r="J1177" i="1"/>
  <c r="J1181" i="1"/>
  <c r="J1185" i="1"/>
  <c r="J1189" i="1"/>
  <c r="J1193" i="1"/>
  <c r="J143" i="1"/>
  <c r="J548" i="1"/>
  <c r="J565" i="1"/>
  <c r="J589" i="1"/>
  <c r="J1173" i="1"/>
  <c r="J643" i="1"/>
  <c r="J675" i="1"/>
  <c r="J692" i="1"/>
  <c r="J706" i="1"/>
  <c r="J715" i="1"/>
  <c r="J730" i="1"/>
  <c r="J747" i="1"/>
  <c r="J770" i="1"/>
  <c r="J788" i="1"/>
  <c r="J796" i="1"/>
  <c r="J814" i="1"/>
  <c r="J830" i="1"/>
  <c r="J846" i="1"/>
  <c r="J879" i="1"/>
  <c r="J896" i="1"/>
  <c r="J918" i="1"/>
  <c r="J935" i="1"/>
  <c r="J951" i="1"/>
  <c r="J972" i="1"/>
  <c r="J990" i="1"/>
  <c r="J997" i="1"/>
  <c r="J1006" i="1"/>
  <c r="J1014" i="1"/>
  <c r="J1022" i="1"/>
  <c r="J1031" i="1"/>
  <c r="J1038" i="1"/>
  <c r="J1049" i="1"/>
  <c r="J1056" i="1"/>
  <c r="J1062" i="1"/>
  <c r="J1070" i="1"/>
  <c r="J1078" i="1"/>
  <c r="J1086" i="1"/>
  <c r="J1094" i="1"/>
  <c r="J1102" i="1"/>
  <c r="J1110" i="1"/>
  <c r="J1118" i="1"/>
  <c r="J1126" i="1"/>
  <c r="J1134" i="1"/>
  <c r="J1144" i="1"/>
  <c r="J1153" i="1"/>
  <c r="J1161" i="1"/>
  <c r="J1169" i="1"/>
  <c r="J1178" i="1"/>
  <c r="J1186" i="1"/>
  <c r="J1469" i="1"/>
  <c r="J1197" i="1"/>
  <c r="J1201" i="1"/>
  <c r="J1205" i="1"/>
  <c r="J1209" i="1"/>
  <c r="J469" i="1"/>
  <c r="J605" i="1"/>
  <c r="J659" i="1"/>
  <c r="J684" i="1"/>
  <c r="J700" i="1"/>
  <c r="J722" i="1"/>
  <c r="J739" i="1"/>
  <c r="J756" i="1"/>
  <c r="J1330" i="1"/>
  <c r="J908" i="1"/>
  <c r="J808" i="1"/>
  <c r="J822" i="1"/>
  <c r="J838" i="1"/>
  <c r="J854" i="1"/>
  <c r="J887" i="1"/>
  <c r="J927" i="1"/>
  <c r="J943" i="1"/>
  <c r="J964" i="1"/>
  <c r="J981" i="1"/>
  <c r="J993" i="1"/>
  <c r="J1001" i="1"/>
  <c r="J1010" i="1"/>
  <c r="J1018" i="1"/>
  <c r="J1026" i="1"/>
  <c r="J1034" i="1"/>
  <c r="J1046" i="1"/>
  <c r="J1054" i="1"/>
  <c r="J1058" i="1"/>
  <c r="J1066" i="1"/>
  <c r="J1074" i="1"/>
  <c r="J1082" i="1"/>
  <c r="J1090" i="1"/>
  <c r="J1098" i="1"/>
  <c r="J1106" i="1"/>
  <c r="J1114" i="1"/>
  <c r="J1122" i="1"/>
  <c r="J1130" i="1"/>
  <c r="J1138" i="1"/>
  <c r="J1148" i="1"/>
  <c r="J1157" i="1"/>
  <c r="J1165" i="1"/>
  <c r="J1174" i="1"/>
  <c r="J1182" i="1"/>
  <c r="J1190" i="1"/>
  <c r="J1195" i="1"/>
  <c r="J1199" i="1"/>
  <c r="J1203" i="1"/>
  <c r="J1207" i="1"/>
  <c r="J1211" i="1"/>
  <c r="J1216" i="1"/>
  <c r="J1220" i="1"/>
  <c r="J1224" i="1"/>
  <c r="J461" i="1"/>
  <c r="J573" i="1"/>
  <c r="J597" i="1"/>
  <c r="J628" i="1"/>
  <c r="J652" i="1"/>
  <c r="J680" i="1"/>
  <c r="J696" i="1"/>
  <c r="J712" i="1"/>
  <c r="J719" i="1"/>
  <c r="J735" i="1"/>
  <c r="J752" i="1"/>
  <c r="J778" i="1"/>
  <c r="J390" i="1"/>
  <c r="J533" i="1"/>
  <c r="J613" i="1"/>
  <c r="J726" i="1"/>
  <c r="J902" i="1"/>
  <c r="J800" i="1"/>
  <c r="J834" i="1"/>
  <c r="J883" i="1"/>
  <c r="J939" i="1"/>
  <c r="J976" i="1"/>
  <c r="J991" i="1"/>
  <c r="J1008" i="1"/>
  <c r="J1024" i="1"/>
  <c r="J1040" i="1"/>
  <c r="J1051" i="1"/>
  <c r="J1064" i="1"/>
  <c r="J1080" i="1"/>
  <c r="J1096" i="1"/>
  <c r="J1112" i="1"/>
  <c r="J1128" i="1"/>
  <c r="J1146" i="1"/>
  <c r="J1163" i="1"/>
  <c r="J1180" i="1"/>
  <c r="J1194" i="1"/>
  <c r="J1202" i="1"/>
  <c r="J1210" i="1"/>
  <c r="J1213" i="1"/>
  <c r="J1217" i="1"/>
  <c r="J1227" i="1"/>
  <c r="J1230" i="1"/>
  <c r="J1234" i="1"/>
  <c r="J1238" i="1"/>
  <c r="J1241" i="1"/>
  <c r="J1245" i="1"/>
  <c r="J1249" i="1"/>
  <c r="J1253" i="1"/>
  <c r="J1257" i="1"/>
  <c r="J1261" i="1"/>
  <c r="J1265" i="1"/>
  <c r="J1273" i="1"/>
  <c r="J1277" i="1"/>
  <c r="J1282" i="1"/>
  <c r="J1286" i="1"/>
  <c r="J1292" i="1"/>
  <c r="J1298" i="1"/>
  <c r="J1302" i="1"/>
  <c r="J1306" i="1"/>
  <c r="J1310" i="1"/>
  <c r="J1314" i="1"/>
  <c r="J1318" i="1"/>
  <c r="J1322" i="1"/>
  <c r="J1326" i="1"/>
  <c r="J1328" i="1"/>
  <c r="J1331" i="1"/>
  <c r="J1335" i="1"/>
  <c r="J1339" i="1"/>
  <c r="J1343" i="1"/>
  <c r="J1347" i="1"/>
  <c r="J1351" i="1"/>
  <c r="J1355" i="1"/>
  <c r="J1359" i="1"/>
  <c r="J1361" i="1"/>
  <c r="J1365" i="1"/>
  <c r="J1369" i="1"/>
  <c r="J1371" i="1"/>
  <c r="J1375" i="1"/>
  <c r="J1379" i="1"/>
  <c r="J1383" i="1"/>
  <c r="J1387" i="1"/>
  <c r="J1391" i="1"/>
  <c r="J1395" i="1"/>
  <c r="J1399" i="1"/>
  <c r="J1403" i="1"/>
  <c r="J1407" i="1"/>
  <c r="J1412" i="1"/>
  <c r="J1416" i="1"/>
  <c r="J1420" i="1"/>
  <c r="J1424" i="1"/>
  <c r="J1428" i="1"/>
  <c r="J1432" i="1"/>
  <c r="J1436" i="1"/>
  <c r="J1440" i="1"/>
  <c r="J1444" i="1"/>
  <c r="J1448" i="1"/>
  <c r="J1453" i="1"/>
  <c r="J1456" i="1"/>
  <c r="J1460" i="1"/>
  <c r="J1464" i="1"/>
  <c r="J502" i="1"/>
  <c r="J538" i="1"/>
  <c r="J580" i="1"/>
  <c r="J635" i="1"/>
  <c r="J826" i="1"/>
  <c r="J858" i="1"/>
  <c r="J875" i="1"/>
  <c r="J931" i="1"/>
  <c r="J968" i="1"/>
  <c r="J1004" i="1"/>
  <c r="J1020" i="1"/>
  <c r="J1036" i="1"/>
  <c r="J1060" i="1"/>
  <c r="J1076" i="1"/>
  <c r="J1092" i="1"/>
  <c r="J1108" i="1"/>
  <c r="J1124" i="1"/>
  <c r="J1142" i="1"/>
  <c r="J1159" i="1"/>
  <c r="J1176" i="1"/>
  <c r="J1192" i="1"/>
  <c r="J1468" i="1"/>
  <c r="J1200" i="1"/>
  <c r="J1208" i="1"/>
  <c r="J1215" i="1"/>
  <c r="J1218" i="1"/>
  <c r="J1221" i="1"/>
  <c r="J1229" i="1"/>
  <c r="J1233" i="1"/>
  <c r="J1236" i="1"/>
  <c r="J1240" i="1"/>
  <c r="J1244" i="1"/>
  <c r="J1248" i="1"/>
  <c r="J1252" i="1"/>
  <c r="J1256" i="1"/>
  <c r="J1260" i="1"/>
  <c r="J1264" i="1"/>
  <c r="J1268" i="1"/>
  <c r="J1270" i="1"/>
  <c r="J1272" i="1"/>
  <c r="J1276" i="1"/>
  <c r="J1281" i="1"/>
  <c r="J1285" i="1"/>
  <c r="J1291" i="1"/>
  <c r="J1295" i="1"/>
  <c r="J1301" i="1"/>
  <c r="J1305" i="1"/>
  <c r="J1309" i="1"/>
  <c r="J1313" i="1"/>
  <c r="J1317" i="1"/>
  <c r="J1321" i="1"/>
  <c r="J1325" i="1"/>
  <c r="J1334" i="1"/>
  <c r="J1338" i="1"/>
  <c r="J1342" i="1"/>
  <c r="J1346" i="1"/>
  <c r="J1350" i="1"/>
  <c r="J1354" i="1"/>
  <c r="J1358" i="1"/>
  <c r="J1360" i="1"/>
  <c r="J1364" i="1"/>
  <c r="J1368" i="1"/>
  <c r="J1370" i="1"/>
  <c r="J1374" i="1"/>
  <c r="J1378" i="1"/>
  <c r="J1382" i="1"/>
  <c r="J1386" i="1"/>
  <c r="J1390" i="1"/>
  <c r="J1394" i="1"/>
  <c r="J1398" i="1"/>
  <c r="J1402" i="1"/>
  <c r="J1406" i="1"/>
  <c r="J1411" i="1"/>
  <c r="J1415" i="1"/>
  <c r="J1419" i="1"/>
  <c r="J1423" i="1"/>
  <c r="J1427" i="1"/>
  <c r="J1431" i="1"/>
  <c r="J1435" i="1"/>
  <c r="J1439" i="1"/>
  <c r="J1443" i="1"/>
  <c r="J1447" i="1"/>
  <c r="J1452" i="1"/>
  <c r="J1455" i="1"/>
  <c r="J1459" i="1"/>
  <c r="J1463" i="1"/>
  <c r="J1467" i="1"/>
  <c r="J1473" i="1"/>
  <c r="J1476" i="1"/>
  <c r="J704" i="1"/>
  <c r="J760" i="1"/>
  <c r="J818" i="1"/>
  <c r="J850" i="1"/>
  <c r="J900" i="1"/>
  <c r="J923" i="1"/>
  <c r="J960" i="1"/>
  <c r="J999" i="1"/>
  <c r="J1016" i="1"/>
  <c r="J1032" i="1"/>
  <c r="J922" i="1"/>
  <c r="J1072" i="1"/>
  <c r="J1088" i="1"/>
  <c r="J1104" i="1"/>
  <c r="J1120" i="1"/>
  <c r="J1136" i="1"/>
  <c r="J1155" i="1"/>
  <c r="J1171" i="1"/>
  <c r="J1188" i="1"/>
  <c r="J1198" i="1"/>
  <c r="J1206" i="1"/>
  <c r="J1219" i="1"/>
  <c r="J1222" i="1"/>
  <c r="J1225" i="1"/>
  <c r="J1228" i="1"/>
  <c r="J1232" i="1"/>
  <c r="J1237" i="1"/>
  <c r="J1239" i="1"/>
  <c r="J1243" i="1"/>
  <c r="J1247" i="1"/>
  <c r="J1251" i="1"/>
  <c r="J1255" i="1"/>
  <c r="J1259" i="1"/>
  <c r="J1263" i="1"/>
  <c r="J1267" i="1"/>
  <c r="J1275" i="1"/>
  <c r="J1280" i="1"/>
  <c r="J1284" i="1"/>
  <c r="J1290" i="1"/>
  <c r="J1294" i="1"/>
  <c r="J1300" i="1"/>
  <c r="J1304" i="1"/>
  <c r="J1308" i="1"/>
  <c r="J1312" i="1"/>
  <c r="J1316" i="1"/>
  <c r="J1320" i="1"/>
  <c r="J1324" i="1"/>
  <c r="J1327" i="1"/>
  <c r="J1329" i="1"/>
  <c r="J1333" i="1"/>
  <c r="J1337" i="1"/>
  <c r="J1341" i="1"/>
  <c r="J1345" i="1"/>
  <c r="J1349" i="1"/>
  <c r="J1353" i="1"/>
  <c r="J1357" i="1"/>
  <c r="J540" i="1"/>
  <c r="J1363" i="1"/>
  <c r="J1367" i="1"/>
  <c r="J1052" i="1"/>
  <c r="J1373" i="1"/>
  <c r="J1377" i="1"/>
  <c r="J1381" i="1"/>
  <c r="J1385" i="1"/>
  <c r="J1389" i="1"/>
  <c r="J1393" i="1"/>
  <c r="J1397" i="1"/>
  <c r="J1401" i="1"/>
  <c r="J1405" i="1"/>
  <c r="J1410" i="1"/>
  <c r="J1414" i="1"/>
  <c r="J1418" i="1"/>
  <c r="J1422" i="1"/>
  <c r="J1426" i="1"/>
  <c r="J1430" i="1"/>
  <c r="J1434" i="1"/>
  <c r="J1438" i="1"/>
  <c r="J1442" i="1"/>
  <c r="J1446" i="1"/>
  <c r="J1450" i="1"/>
  <c r="J1534" i="1"/>
  <c r="J1458" i="1"/>
  <c r="J1462" i="1"/>
  <c r="J1466" i="1"/>
  <c r="J1472" i="1"/>
  <c r="J1477" i="1"/>
  <c r="J794" i="1"/>
  <c r="J1483" i="1"/>
  <c r="J345" i="1"/>
  <c r="J1486" i="1"/>
  <c r="J1490" i="1"/>
  <c r="J1496" i="1"/>
  <c r="J1500" i="1"/>
  <c r="J1504" i="1"/>
  <c r="J1510" i="1"/>
  <c r="J1516" i="1"/>
  <c r="J1514" i="1"/>
  <c r="J1520" i="1"/>
  <c r="J1524" i="1"/>
  <c r="J1528" i="1"/>
  <c r="J1532" i="1"/>
  <c r="J1537" i="1"/>
  <c r="J1539" i="1"/>
  <c r="J1543" i="1"/>
  <c r="J1547" i="1"/>
  <c r="J7" i="1"/>
  <c r="J11" i="1"/>
  <c r="J15" i="1"/>
  <c r="J20" i="1"/>
  <c r="J24" i="1"/>
  <c r="J812" i="1"/>
  <c r="J867" i="1"/>
  <c r="J914" i="1"/>
  <c r="J1012" i="1"/>
  <c r="J1116" i="1"/>
  <c r="J1184" i="1"/>
  <c r="J1196" i="1"/>
  <c r="J1223" i="1"/>
  <c r="J1226" i="1"/>
  <c r="J1231" i="1"/>
  <c r="J1246" i="1"/>
  <c r="J1262" i="1"/>
  <c r="J1269" i="1"/>
  <c r="J1274" i="1"/>
  <c r="J1293" i="1"/>
  <c r="J1311" i="1"/>
  <c r="J1340" i="1"/>
  <c r="J1356" i="1"/>
  <c r="J447" i="1"/>
  <c r="J1384" i="1"/>
  <c r="J1400" i="1"/>
  <c r="J1417" i="1"/>
  <c r="J1433" i="1"/>
  <c r="J1449" i="1"/>
  <c r="J1465" i="1"/>
  <c r="J1475" i="1"/>
  <c r="J1478" i="1"/>
  <c r="J1480" i="1"/>
  <c r="J1485" i="1"/>
  <c r="J1488" i="1"/>
  <c r="J1491" i="1"/>
  <c r="J1503" i="1"/>
  <c r="J1506" i="1"/>
  <c r="J1511" i="1"/>
  <c r="J1519" i="1"/>
  <c r="J1522" i="1"/>
  <c r="J1525" i="1"/>
  <c r="J1536" i="1"/>
  <c r="J1140" i="1"/>
  <c r="J1540" i="1"/>
  <c r="J1550" i="1"/>
  <c r="J14" i="1"/>
  <c r="J18" i="1"/>
  <c r="J21" i="1"/>
  <c r="J743" i="1"/>
  <c r="J892" i="1"/>
  <c r="J995" i="1"/>
  <c r="J1100" i="1"/>
  <c r="J1167" i="1"/>
  <c r="J1242" i="1"/>
  <c r="J1258" i="1"/>
  <c r="J1287" i="1"/>
  <c r="J1307" i="1"/>
  <c r="J1323" i="1"/>
  <c r="J1336" i="1"/>
  <c r="J1352" i="1"/>
  <c r="J1366" i="1"/>
  <c r="J1380" i="1"/>
  <c r="J1396" i="1"/>
  <c r="J1413" i="1"/>
  <c r="J1429" i="1"/>
  <c r="J1445" i="1"/>
  <c r="J1461" i="1"/>
  <c r="J1474" i="1"/>
  <c r="J1479" i="1"/>
  <c r="J1481" i="1"/>
  <c r="J1484" i="1"/>
  <c r="J1489" i="1"/>
  <c r="J1492" i="1"/>
  <c r="J1497" i="1"/>
  <c r="J1507" i="1"/>
  <c r="J1512" i="1"/>
  <c r="J1517" i="1"/>
  <c r="J1523" i="1"/>
  <c r="J1526" i="1"/>
  <c r="J1529" i="1"/>
  <c r="J1139" i="1"/>
  <c r="J1541" i="1"/>
  <c r="J1544" i="1"/>
  <c r="J31" i="1"/>
  <c r="J4" i="1"/>
  <c r="J8" i="1"/>
  <c r="J19" i="1"/>
  <c r="J22" i="1"/>
  <c r="J25" i="1"/>
  <c r="J784" i="1"/>
  <c r="J985" i="1"/>
  <c r="J1048" i="1"/>
  <c r="J1084" i="1"/>
  <c r="J1150" i="1"/>
  <c r="J112" i="1"/>
  <c r="J1254" i="1"/>
  <c r="J1283" i="1"/>
  <c r="J1303" i="1"/>
  <c r="J1319" i="1"/>
  <c r="J1332" i="1"/>
  <c r="J1348" i="1"/>
  <c r="J1362" i="1"/>
  <c r="J1376" i="1"/>
  <c r="J1392" i="1"/>
  <c r="J1408" i="1"/>
  <c r="J1425" i="1"/>
  <c r="J1441" i="1"/>
  <c r="J1457" i="1"/>
  <c r="J1471" i="1"/>
  <c r="J1482" i="1"/>
  <c r="J343" i="1"/>
  <c r="J346" i="1"/>
  <c r="J1494" i="1"/>
  <c r="J1498" i="1"/>
  <c r="J1501" i="1"/>
  <c r="J1513" i="1"/>
  <c r="J1508" i="1"/>
  <c r="J1515" i="1"/>
  <c r="J1527" i="1"/>
  <c r="J1530" i="1"/>
  <c r="J1533" i="1"/>
  <c r="J1542" i="1"/>
  <c r="J1545" i="1"/>
  <c r="J1548" i="1"/>
  <c r="J6" i="1"/>
  <c r="J9" i="1"/>
  <c r="J12" i="1"/>
  <c r="J23" i="1"/>
  <c r="J29" i="1"/>
  <c r="J842" i="1"/>
  <c r="J1250" i="1"/>
  <c r="J1278" i="1"/>
  <c r="J1372" i="1"/>
  <c r="J1437" i="1"/>
  <c r="J1531" i="1"/>
  <c r="J1535" i="1"/>
  <c r="J1538" i="1"/>
  <c r="J10" i="1"/>
  <c r="J13" i="1"/>
  <c r="J16" i="1"/>
  <c r="J947" i="1"/>
  <c r="J1212" i="1"/>
  <c r="J1235" i="1"/>
  <c r="J1271" i="1"/>
  <c r="J539" i="1"/>
  <c r="J1421" i="1"/>
  <c r="J344" i="1"/>
  <c r="J347" i="1"/>
  <c r="J1487" i="1"/>
  <c r="J1546" i="1"/>
  <c r="J1549" i="1"/>
  <c r="J30" i="1"/>
  <c r="J688" i="1"/>
  <c r="J1132" i="1"/>
  <c r="J1315" i="1"/>
  <c r="J1344" i="1"/>
  <c r="J1404" i="1"/>
  <c r="J1470" i="1"/>
  <c r="J1499" i="1"/>
  <c r="J1502" i="1"/>
  <c r="J1505" i="1"/>
  <c r="J1028" i="1"/>
  <c r="J1068" i="1"/>
  <c r="J1204" i="1"/>
  <c r="J1266" i="1"/>
  <c r="J1299" i="1"/>
  <c r="J1388" i="1"/>
  <c r="J1454" i="1"/>
  <c r="J1509" i="1"/>
  <c r="J1518" i="1"/>
  <c r="J1521" i="1"/>
  <c r="J3" i="1"/>
  <c r="K1" i="1"/>
  <c r="K667" i="1" l="1"/>
  <c r="K804" i="1"/>
  <c r="K802" i="1"/>
  <c r="K582" i="1"/>
  <c r="K803" i="1"/>
  <c r="K805" i="1"/>
  <c r="K791" i="1"/>
  <c r="K206" i="1"/>
  <c r="K555" i="1"/>
  <c r="K1042" i="1"/>
  <c r="K321" i="1"/>
  <c r="K320" i="1"/>
  <c r="K1043" i="1"/>
  <c r="K1044" i="1"/>
  <c r="K17" i="1"/>
  <c r="K316" i="1"/>
  <c r="K202" i="1"/>
  <c r="K200" i="1"/>
  <c r="K201" i="1"/>
  <c r="K203" i="1"/>
  <c r="K199" i="1"/>
  <c r="K910" i="1"/>
  <c r="K911" i="1"/>
  <c r="K650" i="1"/>
  <c r="K734" i="1"/>
  <c r="K870" i="1"/>
  <c r="K280" i="1"/>
  <c r="K762" i="1"/>
  <c r="K763" i="1"/>
  <c r="K1214" i="1"/>
  <c r="K331" i="1"/>
  <c r="K954" i="1"/>
  <c r="K27" i="1"/>
  <c r="K871" i="1"/>
  <c r="K281" i="1"/>
  <c r="K478" i="1"/>
  <c r="K956" i="1"/>
  <c r="K1409" i="1"/>
  <c r="K1451" i="1"/>
  <c r="K330" i="1"/>
  <c r="K40" i="1"/>
  <c r="K955" i="1"/>
  <c r="K277" i="1"/>
  <c r="K550" i="1"/>
  <c r="K1002" i="1"/>
  <c r="K28" i="1"/>
  <c r="K282" i="1"/>
  <c r="K957" i="1"/>
  <c r="K1493" i="1"/>
  <c r="K381" i="1"/>
  <c r="K1495" i="1"/>
  <c r="K26" i="1"/>
  <c r="K380" i="1"/>
  <c r="K953" i="1"/>
  <c r="K1288" i="1"/>
  <c r="K1279" i="1"/>
  <c r="K479" i="1"/>
  <c r="K169" i="1"/>
  <c r="K1289" i="1"/>
  <c r="L1" i="1"/>
  <c r="K399" i="1"/>
  <c r="K1152" i="1"/>
  <c r="K986" i="1"/>
  <c r="K1041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03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296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297" i="1"/>
  <c r="K210" i="1"/>
  <c r="K214" i="1"/>
  <c r="K218" i="1"/>
  <c r="K227" i="1"/>
  <c r="K231" i="1"/>
  <c r="K235" i="1"/>
  <c r="K239" i="1"/>
  <c r="K243" i="1"/>
  <c r="K247" i="1"/>
  <c r="K251" i="1"/>
  <c r="K255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57" i="1"/>
  <c r="K261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54" i="1"/>
  <c r="K260" i="1"/>
  <c r="K264" i="1"/>
  <c r="K268" i="1"/>
  <c r="K272" i="1"/>
  <c r="K275" i="1"/>
  <c r="K283" i="1"/>
  <c r="K287" i="1"/>
  <c r="K291" i="1"/>
  <c r="K295" i="1"/>
  <c r="K299" i="1"/>
  <c r="K303" i="1"/>
  <c r="K307" i="1"/>
  <c r="K311" i="1"/>
  <c r="K315" i="1"/>
  <c r="K319" i="1"/>
  <c r="K325" i="1"/>
  <c r="K329" i="1"/>
  <c r="K335" i="1"/>
  <c r="K339" i="1"/>
  <c r="K348" i="1"/>
  <c r="K352" i="1"/>
  <c r="K356" i="1"/>
  <c r="K360" i="1"/>
  <c r="K364" i="1"/>
  <c r="K368" i="1"/>
  <c r="K372" i="1"/>
  <c r="K376" i="1"/>
  <c r="K382" i="1"/>
  <c r="K386" i="1"/>
  <c r="K390" i="1"/>
  <c r="K394" i="1"/>
  <c r="K398" i="1"/>
  <c r="K403" i="1"/>
  <c r="K409" i="1"/>
  <c r="K413" i="1"/>
  <c r="K417" i="1"/>
  <c r="K93" i="1"/>
  <c r="K156" i="1"/>
  <c r="K174" i="1"/>
  <c r="K190" i="1"/>
  <c r="K213" i="1"/>
  <c r="K221" i="1"/>
  <c r="K226" i="1"/>
  <c r="K234" i="1"/>
  <c r="K242" i="1"/>
  <c r="K250" i="1"/>
  <c r="K258" i="1"/>
  <c r="K872" i="1"/>
  <c r="K266" i="1"/>
  <c r="K270" i="1"/>
  <c r="K748" i="1"/>
  <c r="K278" i="1"/>
  <c r="K285" i="1"/>
  <c r="K289" i="1"/>
  <c r="K293" i="1"/>
  <c r="K297" i="1"/>
  <c r="K301" i="1"/>
  <c r="K305" i="1"/>
  <c r="K309" i="1"/>
  <c r="K313" i="1"/>
  <c r="K318" i="1"/>
  <c r="K323" i="1"/>
  <c r="K327" i="1"/>
  <c r="K333" i="1"/>
  <c r="K337" i="1"/>
  <c r="K341" i="1"/>
  <c r="K350" i="1"/>
  <c r="K354" i="1"/>
  <c r="K358" i="1"/>
  <c r="K362" i="1"/>
  <c r="K366" i="1"/>
  <c r="K370" i="1"/>
  <c r="K374" i="1"/>
  <c r="K378" i="1"/>
  <c r="K384" i="1"/>
  <c r="K388" i="1"/>
  <c r="K392" i="1"/>
  <c r="K396" i="1"/>
  <c r="K401" i="1"/>
  <c r="K405" i="1"/>
  <c r="K411" i="1"/>
  <c r="K415" i="1"/>
  <c r="K419" i="1"/>
  <c r="K423" i="1"/>
  <c r="K144" i="1"/>
  <c r="K178" i="1"/>
  <c r="K228" i="1"/>
  <c r="K244" i="1"/>
  <c r="K263" i="1"/>
  <c r="K271" i="1"/>
  <c r="K279" i="1"/>
  <c r="K290" i="1"/>
  <c r="K298" i="1"/>
  <c r="K306" i="1"/>
  <c r="K314" i="1"/>
  <c r="K324" i="1"/>
  <c r="K334" i="1"/>
  <c r="K342" i="1"/>
  <c r="K355" i="1"/>
  <c r="K363" i="1"/>
  <c r="K371" i="1"/>
  <c r="K379" i="1"/>
  <c r="K389" i="1"/>
  <c r="K397" i="1"/>
  <c r="K407" i="1"/>
  <c r="K416" i="1"/>
  <c r="K427" i="1"/>
  <c r="K431" i="1"/>
  <c r="K461" i="1"/>
  <c r="K435" i="1"/>
  <c r="K439" i="1"/>
  <c r="K445" i="1"/>
  <c r="K451" i="1"/>
  <c r="K455" i="1"/>
  <c r="K458" i="1"/>
  <c r="K465" i="1"/>
  <c r="K469" i="1"/>
  <c r="K687" i="1"/>
  <c r="K476" i="1"/>
  <c r="K482" i="1"/>
  <c r="K485" i="1"/>
  <c r="K490" i="1"/>
  <c r="K494" i="1"/>
  <c r="K498" i="1"/>
  <c r="K502" i="1"/>
  <c r="K506" i="1"/>
  <c r="K510" i="1"/>
  <c r="K514" i="1"/>
  <c r="K518" i="1"/>
  <c r="K522" i="1"/>
  <c r="K161" i="1"/>
  <c r="K194" i="1"/>
  <c r="K215" i="1"/>
  <c r="K222" i="1"/>
  <c r="K236" i="1"/>
  <c r="K252" i="1"/>
  <c r="K267" i="1"/>
  <c r="K274" i="1"/>
  <c r="K286" i="1"/>
  <c r="K294" i="1"/>
  <c r="K302" i="1"/>
  <c r="K310" i="1"/>
  <c r="K328" i="1"/>
  <c r="K338" i="1"/>
  <c r="K351" i="1"/>
  <c r="K359" i="1"/>
  <c r="K367" i="1"/>
  <c r="K375" i="1"/>
  <c r="K385" i="1"/>
  <c r="K393" i="1"/>
  <c r="K402" i="1"/>
  <c r="K412" i="1"/>
  <c r="K420" i="1"/>
  <c r="K421" i="1"/>
  <c r="K425" i="1"/>
  <c r="K429" i="1"/>
  <c r="K433" i="1"/>
  <c r="K441" i="1"/>
  <c r="K437" i="1"/>
  <c r="K443" i="1"/>
  <c r="K448" i="1"/>
  <c r="K453" i="1"/>
  <c r="K457" i="1"/>
  <c r="K463" i="1"/>
  <c r="K467" i="1"/>
  <c r="K471" i="1"/>
  <c r="K474" i="1"/>
  <c r="K480" i="1"/>
  <c r="K489" i="1"/>
  <c r="K487" i="1"/>
  <c r="K492" i="1"/>
  <c r="K496" i="1"/>
  <c r="K500" i="1"/>
  <c r="K504" i="1"/>
  <c r="K508" i="1"/>
  <c r="K512" i="1"/>
  <c r="K516" i="1"/>
  <c r="K520" i="1"/>
  <c r="K524" i="1"/>
  <c r="K204" i="1"/>
  <c r="K240" i="1"/>
  <c r="K276" i="1"/>
  <c r="K296" i="1"/>
  <c r="K312" i="1"/>
  <c r="K322" i="1"/>
  <c r="K340" i="1"/>
  <c r="K361" i="1"/>
  <c r="K377" i="1"/>
  <c r="K395" i="1"/>
  <c r="K414" i="1"/>
  <c r="K426" i="1"/>
  <c r="K460" i="1"/>
  <c r="K438" i="1"/>
  <c r="K450" i="1"/>
  <c r="K459" i="1"/>
  <c r="K468" i="1"/>
  <c r="K475" i="1"/>
  <c r="K483" i="1"/>
  <c r="K493" i="1"/>
  <c r="K501" i="1"/>
  <c r="K509" i="1"/>
  <c r="K517" i="1"/>
  <c r="K71" i="1"/>
  <c r="K186" i="1"/>
  <c r="K232" i="1"/>
  <c r="K259" i="1"/>
  <c r="K273" i="1"/>
  <c r="K292" i="1"/>
  <c r="K308" i="1"/>
  <c r="K336" i="1"/>
  <c r="K357" i="1"/>
  <c r="K373" i="1"/>
  <c r="K391" i="1"/>
  <c r="K410" i="1"/>
  <c r="K424" i="1"/>
  <c r="K432" i="1"/>
  <c r="K436" i="1"/>
  <c r="K446" i="1"/>
  <c r="K456" i="1"/>
  <c r="K466" i="1"/>
  <c r="K473" i="1"/>
  <c r="K484" i="1"/>
  <c r="K491" i="1"/>
  <c r="K499" i="1"/>
  <c r="K507" i="1"/>
  <c r="K515" i="1"/>
  <c r="K170" i="1"/>
  <c r="K219" i="1"/>
  <c r="K256" i="1"/>
  <c r="K262" i="1"/>
  <c r="K288" i="1"/>
  <c r="K353" i="1"/>
  <c r="K387" i="1"/>
  <c r="K434" i="1"/>
  <c r="K454" i="1"/>
  <c r="K472" i="1"/>
  <c r="K488" i="1"/>
  <c r="K505" i="1"/>
  <c r="K521" i="1"/>
  <c r="K523" i="1"/>
  <c r="K527" i="1"/>
  <c r="K530" i="1"/>
  <c r="K533" i="1"/>
  <c r="K536" i="1"/>
  <c r="K538" i="1"/>
  <c r="K544" i="1"/>
  <c r="K548" i="1"/>
  <c r="K553" i="1"/>
  <c r="K561" i="1"/>
  <c r="K565" i="1"/>
  <c r="K569" i="1"/>
  <c r="K573" i="1"/>
  <c r="K577" i="1"/>
  <c r="K580" i="1"/>
  <c r="K585" i="1"/>
  <c r="K589" i="1"/>
  <c r="K593" i="1"/>
  <c r="K597" i="1"/>
  <c r="K601" i="1"/>
  <c r="K605" i="1"/>
  <c r="K609" i="1"/>
  <c r="K613" i="1"/>
  <c r="K617" i="1"/>
  <c r="K1173" i="1"/>
  <c r="K624" i="1"/>
  <c r="K628" i="1"/>
  <c r="K632" i="1"/>
  <c r="K635" i="1"/>
  <c r="K639" i="1"/>
  <c r="K643" i="1"/>
  <c r="K647" i="1"/>
  <c r="K652" i="1"/>
  <c r="K655" i="1"/>
  <c r="K659" i="1"/>
  <c r="K665" i="1"/>
  <c r="K671" i="1"/>
  <c r="K675" i="1"/>
  <c r="K152" i="1"/>
  <c r="K211" i="1"/>
  <c r="K248" i="1"/>
  <c r="K284" i="1"/>
  <c r="K317" i="1"/>
  <c r="K349" i="1"/>
  <c r="K383" i="1"/>
  <c r="K418" i="1"/>
  <c r="K422" i="1"/>
  <c r="K442" i="1"/>
  <c r="K452" i="1"/>
  <c r="K470" i="1"/>
  <c r="K486" i="1"/>
  <c r="K503" i="1"/>
  <c r="K519" i="1"/>
  <c r="K529" i="1"/>
  <c r="K543" i="1"/>
  <c r="K547" i="1"/>
  <c r="K552" i="1"/>
  <c r="K560" i="1"/>
  <c r="K564" i="1"/>
  <c r="K568" i="1"/>
  <c r="K572" i="1"/>
  <c r="K576" i="1"/>
  <c r="K579" i="1"/>
  <c r="K584" i="1"/>
  <c r="K588" i="1"/>
  <c r="K592" i="1"/>
  <c r="K596" i="1"/>
  <c r="K600" i="1"/>
  <c r="K604" i="1"/>
  <c r="K608" i="1"/>
  <c r="K612" i="1"/>
  <c r="K616" i="1"/>
  <c r="K620" i="1"/>
  <c r="K623" i="1"/>
  <c r="K627" i="1"/>
  <c r="K631" i="1"/>
  <c r="K638" i="1"/>
  <c r="K642" i="1"/>
  <c r="K646" i="1"/>
  <c r="K651" i="1"/>
  <c r="K654" i="1"/>
  <c r="K658" i="1"/>
  <c r="K663" i="1"/>
  <c r="K666" i="1"/>
  <c r="K670" i="1"/>
  <c r="K674" i="1"/>
  <c r="K115" i="1"/>
  <c r="K224" i="1"/>
  <c r="K269" i="1"/>
  <c r="K332" i="1"/>
  <c r="K404" i="1"/>
  <c r="K444" i="1"/>
  <c r="K481" i="1"/>
  <c r="K513" i="1"/>
  <c r="K532" i="1"/>
  <c r="K537" i="1"/>
  <c r="K546" i="1"/>
  <c r="K557" i="1"/>
  <c r="K563" i="1"/>
  <c r="K571" i="1"/>
  <c r="K587" i="1"/>
  <c r="K595" i="1"/>
  <c r="K603" i="1"/>
  <c r="K611" i="1"/>
  <c r="K619" i="1"/>
  <c r="K626" i="1"/>
  <c r="K634" i="1"/>
  <c r="K641" i="1"/>
  <c r="K649" i="1"/>
  <c r="K657" i="1"/>
  <c r="K664" i="1"/>
  <c r="K673" i="1"/>
  <c r="K680" i="1"/>
  <c r="K684" i="1"/>
  <c r="K688" i="1"/>
  <c r="K692" i="1"/>
  <c r="K696" i="1"/>
  <c r="K700" i="1"/>
  <c r="K704" i="1"/>
  <c r="K706" i="1"/>
  <c r="K712" i="1"/>
  <c r="K715" i="1"/>
  <c r="K719" i="1"/>
  <c r="K722" i="1"/>
  <c r="K726" i="1"/>
  <c r="K730" i="1"/>
  <c r="K735" i="1"/>
  <c r="K739" i="1"/>
  <c r="K743" i="1"/>
  <c r="K747" i="1"/>
  <c r="K752" i="1"/>
  <c r="K756" i="1"/>
  <c r="K760" i="1"/>
  <c r="K770" i="1"/>
  <c r="K778" i="1"/>
  <c r="K1330" i="1"/>
  <c r="K784" i="1"/>
  <c r="K788" i="1"/>
  <c r="K902" i="1"/>
  <c r="K908" i="1"/>
  <c r="K796" i="1"/>
  <c r="K800" i="1"/>
  <c r="K808" i="1"/>
  <c r="K812" i="1"/>
  <c r="K814" i="1"/>
  <c r="K818" i="1"/>
  <c r="K822" i="1"/>
  <c r="K826" i="1"/>
  <c r="K830" i="1"/>
  <c r="K834" i="1"/>
  <c r="K838" i="1"/>
  <c r="K842" i="1"/>
  <c r="K846" i="1"/>
  <c r="K850" i="1"/>
  <c r="K854" i="1"/>
  <c r="K858" i="1"/>
  <c r="K867" i="1"/>
  <c r="K875" i="1"/>
  <c r="K879" i="1"/>
  <c r="K883" i="1"/>
  <c r="K887" i="1"/>
  <c r="K892" i="1"/>
  <c r="K896" i="1"/>
  <c r="K900" i="1"/>
  <c r="K914" i="1"/>
  <c r="K918" i="1"/>
  <c r="K923" i="1"/>
  <c r="K927" i="1"/>
  <c r="K931" i="1"/>
  <c r="K935" i="1"/>
  <c r="K939" i="1"/>
  <c r="K943" i="1"/>
  <c r="K947" i="1"/>
  <c r="K951" i="1"/>
  <c r="K960" i="1"/>
  <c r="K964" i="1"/>
  <c r="K968" i="1"/>
  <c r="K972" i="1"/>
  <c r="K976" i="1"/>
  <c r="K981" i="1"/>
  <c r="K985" i="1"/>
  <c r="K140" i="1"/>
  <c r="K304" i="1"/>
  <c r="K369" i="1"/>
  <c r="K430" i="1"/>
  <c r="K464" i="1"/>
  <c r="K497" i="1"/>
  <c r="K525" i="1"/>
  <c r="K528" i="1"/>
  <c r="K535" i="1"/>
  <c r="K542" i="1"/>
  <c r="K551" i="1"/>
  <c r="K559" i="1"/>
  <c r="K567" i="1"/>
  <c r="K575" i="1"/>
  <c r="K583" i="1"/>
  <c r="K591" i="1"/>
  <c r="K599" i="1"/>
  <c r="K607" i="1"/>
  <c r="K615" i="1"/>
  <c r="K622" i="1"/>
  <c r="K630" i="1"/>
  <c r="K637" i="1"/>
  <c r="K645" i="1"/>
  <c r="K406" i="1"/>
  <c r="K661" i="1"/>
  <c r="K669" i="1"/>
  <c r="K678" i="1"/>
  <c r="K682" i="1"/>
  <c r="K686" i="1"/>
  <c r="K690" i="1"/>
  <c r="K694" i="1"/>
  <c r="K699" i="1"/>
  <c r="K702" i="1"/>
  <c r="K707" i="1"/>
  <c r="K709" i="1"/>
  <c r="K714" i="1"/>
  <c r="K717" i="1"/>
  <c r="K720" i="1"/>
  <c r="K724" i="1"/>
  <c r="K728" i="1"/>
  <c r="K732" i="1"/>
  <c r="K737" i="1"/>
  <c r="K741" i="1"/>
  <c r="K745" i="1"/>
  <c r="K750" i="1"/>
  <c r="K754" i="1"/>
  <c r="K758" i="1"/>
  <c r="K768" i="1"/>
  <c r="K775" i="1"/>
  <c r="K780" i="1"/>
  <c r="K782" i="1"/>
  <c r="K786" i="1"/>
  <c r="K905" i="1"/>
  <c r="K790" i="1"/>
  <c r="K793" i="1"/>
  <c r="K798" i="1"/>
  <c r="K806" i="1"/>
  <c r="K810" i="1"/>
  <c r="K449" i="1"/>
  <c r="K816" i="1"/>
  <c r="K820" i="1"/>
  <c r="K824" i="1"/>
  <c r="K828" i="1"/>
  <c r="K832" i="1"/>
  <c r="K836" i="1"/>
  <c r="K840" i="1"/>
  <c r="K844" i="1"/>
  <c r="K848" i="1"/>
  <c r="K852" i="1"/>
  <c r="K856" i="1"/>
  <c r="K860" i="1"/>
  <c r="K863" i="1"/>
  <c r="K866" i="1"/>
  <c r="K873" i="1"/>
  <c r="K877" i="1"/>
  <c r="K881" i="1"/>
  <c r="K885" i="1"/>
  <c r="K889" i="1"/>
  <c r="K894" i="1"/>
  <c r="K898" i="1"/>
  <c r="K909" i="1"/>
  <c r="K913" i="1"/>
  <c r="K916" i="1"/>
  <c r="K920" i="1"/>
  <c r="K925" i="1"/>
  <c r="K929" i="1"/>
  <c r="K933" i="1"/>
  <c r="K937" i="1"/>
  <c r="K941" i="1"/>
  <c r="K945" i="1"/>
  <c r="K949" i="1"/>
  <c r="K958" i="1"/>
  <c r="K962" i="1"/>
  <c r="K966" i="1"/>
  <c r="K970" i="1"/>
  <c r="K974" i="1"/>
  <c r="K978" i="1"/>
  <c r="K983" i="1"/>
  <c r="K988" i="1"/>
  <c r="K428" i="1"/>
  <c r="K495" i="1"/>
  <c r="K526" i="1"/>
  <c r="K531" i="1"/>
  <c r="K545" i="1"/>
  <c r="K562" i="1"/>
  <c r="K578" i="1"/>
  <c r="K586" i="1"/>
  <c r="K602" i="1"/>
  <c r="K618" i="1"/>
  <c r="K633" i="1"/>
  <c r="K640" i="1"/>
  <c r="K656" i="1"/>
  <c r="K672" i="1"/>
  <c r="K679" i="1"/>
  <c r="K408" i="1"/>
  <c r="K695" i="1"/>
  <c r="K703" i="1"/>
  <c r="K711" i="1"/>
  <c r="K718" i="1"/>
  <c r="K725" i="1"/>
  <c r="K733" i="1"/>
  <c r="K742" i="1"/>
  <c r="K751" i="1"/>
  <c r="K759" i="1"/>
  <c r="K764" i="1"/>
  <c r="K772" i="1"/>
  <c r="K777" i="1"/>
  <c r="K783" i="1"/>
  <c r="K789" i="1"/>
  <c r="K799" i="1"/>
  <c r="K811" i="1"/>
  <c r="K817" i="1"/>
  <c r="K825" i="1"/>
  <c r="K833" i="1"/>
  <c r="K841" i="1"/>
  <c r="K849" i="1"/>
  <c r="K857" i="1"/>
  <c r="K864" i="1"/>
  <c r="K874" i="1"/>
  <c r="K882" i="1"/>
  <c r="K890" i="1"/>
  <c r="K899" i="1"/>
  <c r="K159" i="1"/>
  <c r="K921" i="1"/>
  <c r="K930" i="1"/>
  <c r="K938" i="1"/>
  <c r="K946" i="1"/>
  <c r="K959" i="1"/>
  <c r="K967" i="1"/>
  <c r="K975" i="1"/>
  <c r="K984" i="1"/>
  <c r="K991" i="1"/>
  <c r="K995" i="1"/>
  <c r="K999" i="1"/>
  <c r="K1004" i="1"/>
  <c r="K1008" i="1"/>
  <c r="K1012" i="1"/>
  <c r="K1016" i="1"/>
  <c r="K1020" i="1"/>
  <c r="K1024" i="1"/>
  <c r="K1028" i="1"/>
  <c r="K1032" i="1"/>
  <c r="K1036" i="1"/>
  <c r="K1040" i="1"/>
  <c r="K1048" i="1"/>
  <c r="K1051" i="1"/>
  <c r="K922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6" i="1"/>
  <c r="K1142" i="1"/>
  <c r="K1146" i="1"/>
  <c r="K1150" i="1"/>
  <c r="K1155" i="1"/>
  <c r="K1159" i="1"/>
  <c r="K1163" i="1"/>
  <c r="K1167" i="1"/>
  <c r="K1171" i="1"/>
  <c r="K1176" i="1"/>
  <c r="K1180" i="1"/>
  <c r="K1184" i="1"/>
  <c r="K1188" i="1"/>
  <c r="K1192" i="1"/>
  <c r="K300" i="1"/>
  <c r="K365" i="1"/>
  <c r="K462" i="1"/>
  <c r="K556" i="1"/>
  <c r="K570" i="1"/>
  <c r="K594" i="1"/>
  <c r="K610" i="1"/>
  <c r="K625" i="1"/>
  <c r="K648" i="1"/>
  <c r="K662" i="1"/>
  <c r="K683" i="1"/>
  <c r="K691" i="1"/>
  <c r="K697" i="1"/>
  <c r="K708" i="1"/>
  <c r="K721" i="1"/>
  <c r="K729" i="1"/>
  <c r="K738" i="1"/>
  <c r="K746" i="1"/>
  <c r="K755" i="1"/>
  <c r="K769" i="1"/>
  <c r="K766" i="1"/>
  <c r="K774" i="1"/>
  <c r="K554" i="1"/>
  <c r="K787" i="1"/>
  <c r="K907" i="1"/>
  <c r="K795" i="1"/>
  <c r="K807" i="1"/>
  <c r="K813" i="1"/>
  <c r="K821" i="1"/>
  <c r="K829" i="1"/>
  <c r="K837" i="1"/>
  <c r="K845" i="1"/>
  <c r="K853" i="1"/>
  <c r="K861" i="1"/>
  <c r="K868" i="1"/>
  <c r="K878" i="1"/>
  <c r="K886" i="1"/>
  <c r="K895" i="1"/>
  <c r="K917" i="1"/>
  <c r="K926" i="1"/>
  <c r="K934" i="1"/>
  <c r="K942" i="1"/>
  <c r="K950" i="1"/>
  <c r="K963" i="1"/>
  <c r="K971" i="1"/>
  <c r="K980" i="1"/>
  <c r="K989" i="1"/>
  <c r="K990" i="1"/>
  <c r="K993" i="1"/>
  <c r="K997" i="1"/>
  <c r="K1001" i="1"/>
  <c r="K1006" i="1"/>
  <c r="K1010" i="1"/>
  <c r="K1014" i="1"/>
  <c r="K1018" i="1"/>
  <c r="K1022" i="1"/>
  <c r="K1026" i="1"/>
  <c r="K1031" i="1"/>
  <c r="K1034" i="1"/>
  <c r="K1038" i="1"/>
  <c r="K1046" i="1"/>
  <c r="K1049" i="1"/>
  <c r="K1054" i="1"/>
  <c r="K1056" i="1"/>
  <c r="K1058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4" i="1"/>
  <c r="K1138" i="1"/>
  <c r="K1144" i="1"/>
  <c r="K1148" i="1"/>
  <c r="K1153" i="1"/>
  <c r="K1157" i="1"/>
  <c r="K1161" i="1"/>
  <c r="K1165" i="1"/>
  <c r="K1169" i="1"/>
  <c r="K1174" i="1"/>
  <c r="K1178" i="1"/>
  <c r="K1182" i="1"/>
  <c r="K1186" i="1"/>
  <c r="K1190" i="1"/>
  <c r="K477" i="1"/>
  <c r="K574" i="1"/>
  <c r="K598" i="1"/>
  <c r="K629" i="1"/>
  <c r="K653" i="1"/>
  <c r="K685" i="1"/>
  <c r="K701" i="1"/>
  <c r="K723" i="1"/>
  <c r="K740" i="1"/>
  <c r="K757" i="1"/>
  <c r="K776" i="1"/>
  <c r="K781" i="1"/>
  <c r="K906" i="1"/>
  <c r="K809" i="1"/>
  <c r="K823" i="1"/>
  <c r="K839" i="1"/>
  <c r="K855" i="1"/>
  <c r="K862" i="1"/>
  <c r="K869" i="1"/>
  <c r="K888" i="1"/>
  <c r="K912" i="1"/>
  <c r="K928" i="1"/>
  <c r="K944" i="1"/>
  <c r="K965" i="1"/>
  <c r="K982" i="1"/>
  <c r="K998" i="1"/>
  <c r="K1007" i="1"/>
  <c r="K1015" i="1"/>
  <c r="K1023" i="1"/>
  <c r="K1029" i="1"/>
  <c r="K1039" i="1"/>
  <c r="K1050" i="1"/>
  <c r="K38" i="1"/>
  <c r="K1063" i="1"/>
  <c r="K1071" i="1"/>
  <c r="K1079" i="1"/>
  <c r="K1087" i="1"/>
  <c r="K1095" i="1"/>
  <c r="K1103" i="1"/>
  <c r="K1111" i="1"/>
  <c r="K1119" i="1"/>
  <c r="K1127" i="1"/>
  <c r="K1135" i="1"/>
  <c r="K1145" i="1"/>
  <c r="K1154" i="1"/>
  <c r="K1162" i="1"/>
  <c r="K1170" i="1"/>
  <c r="K1179" i="1"/>
  <c r="K1187" i="1"/>
  <c r="K1194" i="1"/>
  <c r="K1198" i="1"/>
  <c r="K1202" i="1"/>
  <c r="K1206" i="1"/>
  <c r="K400" i="1"/>
  <c r="K534" i="1"/>
  <c r="K541" i="1"/>
  <c r="K558" i="1"/>
  <c r="K581" i="1"/>
  <c r="K614" i="1"/>
  <c r="K636" i="1"/>
  <c r="K668" i="1"/>
  <c r="K677" i="1"/>
  <c r="K693" i="1"/>
  <c r="K710" i="1"/>
  <c r="K716" i="1"/>
  <c r="K731" i="1"/>
  <c r="K749" i="1"/>
  <c r="K771" i="1"/>
  <c r="K767" i="1"/>
  <c r="K797" i="1"/>
  <c r="K815" i="1"/>
  <c r="K831" i="1"/>
  <c r="K847" i="1"/>
  <c r="K880" i="1"/>
  <c r="K897" i="1"/>
  <c r="K919" i="1"/>
  <c r="K936" i="1"/>
  <c r="K952" i="1"/>
  <c r="K973" i="1"/>
  <c r="K994" i="1"/>
  <c r="K1003" i="1"/>
  <c r="K1011" i="1"/>
  <c r="K1019" i="1"/>
  <c r="K1027" i="1"/>
  <c r="K1035" i="1"/>
  <c r="K1047" i="1"/>
  <c r="K1055" i="1"/>
  <c r="K1059" i="1"/>
  <c r="K1067" i="1"/>
  <c r="K1075" i="1"/>
  <c r="K1083" i="1"/>
  <c r="K1091" i="1"/>
  <c r="K1099" i="1"/>
  <c r="K1107" i="1"/>
  <c r="K1115" i="1"/>
  <c r="K1123" i="1"/>
  <c r="K1131" i="1"/>
  <c r="K1141" i="1"/>
  <c r="K1149" i="1"/>
  <c r="K1158" i="1"/>
  <c r="K1166" i="1"/>
  <c r="K1175" i="1"/>
  <c r="K1183" i="1"/>
  <c r="K1191" i="1"/>
  <c r="K1468" i="1"/>
  <c r="K1196" i="1"/>
  <c r="K1200" i="1"/>
  <c r="K1204" i="1"/>
  <c r="K1208" i="1"/>
  <c r="K1212" i="1"/>
  <c r="K1217" i="1"/>
  <c r="K1221" i="1"/>
  <c r="K1225" i="1"/>
  <c r="K326" i="1"/>
  <c r="K511" i="1"/>
  <c r="K606" i="1"/>
  <c r="K660" i="1"/>
  <c r="K689" i="1"/>
  <c r="K705" i="1"/>
  <c r="K727" i="1"/>
  <c r="K744" i="1"/>
  <c r="K761" i="1"/>
  <c r="K765" i="1"/>
  <c r="K681" i="1"/>
  <c r="K736" i="1"/>
  <c r="K785" i="1"/>
  <c r="K5" i="1"/>
  <c r="K843" i="1"/>
  <c r="K865" i="1"/>
  <c r="K893" i="1"/>
  <c r="K915" i="1"/>
  <c r="K948" i="1"/>
  <c r="K987" i="1"/>
  <c r="K1000" i="1"/>
  <c r="K1017" i="1"/>
  <c r="K1033" i="1"/>
  <c r="K1057" i="1"/>
  <c r="K1073" i="1"/>
  <c r="K1089" i="1"/>
  <c r="K1105" i="1"/>
  <c r="K1121" i="1"/>
  <c r="K1137" i="1"/>
  <c r="K1156" i="1"/>
  <c r="K1172" i="1"/>
  <c r="K1189" i="1"/>
  <c r="K1195" i="1"/>
  <c r="K1203" i="1"/>
  <c r="K1220" i="1"/>
  <c r="K1223" i="1"/>
  <c r="K1226" i="1"/>
  <c r="K1231" i="1"/>
  <c r="K1235" i="1"/>
  <c r="K112" i="1"/>
  <c r="K1242" i="1"/>
  <c r="K1246" i="1"/>
  <c r="K1250" i="1"/>
  <c r="K1254" i="1"/>
  <c r="K1258" i="1"/>
  <c r="K1262" i="1"/>
  <c r="K1266" i="1"/>
  <c r="K1269" i="1"/>
  <c r="K1271" i="1"/>
  <c r="K1274" i="1"/>
  <c r="K1278" i="1"/>
  <c r="K1283" i="1"/>
  <c r="K1287" i="1"/>
  <c r="K1293" i="1"/>
  <c r="K1299" i="1"/>
  <c r="K1303" i="1"/>
  <c r="K1307" i="1"/>
  <c r="K1311" i="1"/>
  <c r="K1315" i="1"/>
  <c r="K1319" i="1"/>
  <c r="K1323" i="1"/>
  <c r="K1332" i="1"/>
  <c r="K1336" i="1"/>
  <c r="K1340" i="1"/>
  <c r="K1344" i="1"/>
  <c r="K1348" i="1"/>
  <c r="K1352" i="1"/>
  <c r="K1356" i="1"/>
  <c r="K539" i="1"/>
  <c r="K1362" i="1"/>
  <c r="K1366" i="1"/>
  <c r="K447" i="1"/>
  <c r="K1372" i="1"/>
  <c r="K1376" i="1"/>
  <c r="K1380" i="1"/>
  <c r="K1384" i="1"/>
  <c r="K1388" i="1"/>
  <c r="K1392" i="1"/>
  <c r="K1396" i="1"/>
  <c r="K1400" i="1"/>
  <c r="K1404" i="1"/>
  <c r="K1408" i="1"/>
  <c r="K1413" i="1"/>
  <c r="K1417" i="1"/>
  <c r="K1421" i="1"/>
  <c r="K1425" i="1"/>
  <c r="K1429" i="1"/>
  <c r="K1433" i="1"/>
  <c r="K1437" i="1"/>
  <c r="K1441" i="1"/>
  <c r="K1445" i="1"/>
  <c r="K1449" i="1"/>
  <c r="K1454" i="1"/>
  <c r="K1457" i="1"/>
  <c r="K1461" i="1"/>
  <c r="K1465" i="1"/>
  <c r="K265" i="1"/>
  <c r="K130" i="1"/>
  <c r="K779" i="1"/>
  <c r="K904" i="1"/>
  <c r="K801" i="1"/>
  <c r="K835" i="1"/>
  <c r="K884" i="1"/>
  <c r="K940" i="1"/>
  <c r="K977" i="1"/>
  <c r="K996" i="1"/>
  <c r="K1013" i="1"/>
  <c r="K1030" i="1"/>
  <c r="K1069" i="1"/>
  <c r="K1085" i="1"/>
  <c r="K1101" i="1"/>
  <c r="K1117" i="1"/>
  <c r="K1133" i="1"/>
  <c r="K1151" i="1"/>
  <c r="K1168" i="1"/>
  <c r="K1185" i="1"/>
  <c r="K1469" i="1"/>
  <c r="K1201" i="1"/>
  <c r="K1209" i="1"/>
  <c r="K1210" i="1"/>
  <c r="K1213" i="1"/>
  <c r="K1224" i="1"/>
  <c r="K1227" i="1"/>
  <c r="K1230" i="1"/>
  <c r="K1234" i="1"/>
  <c r="K1238" i="1"/>
  <c r="K1241" i="1"/>
  <c r="K1245" i="1"/>
  <c r="K1249" i="1"/>
  <c r="K1253" i="1"/>
  <c r="K1257" i="1"/>
  <c r="K1261" i="1"/>
  <c r="K1265" i="1"/>
  <c r="K1273" i="1"/>
  <c r="K1277" i="1"/>
  <c r="K1282" i="1"/>
  <c r="K1286" i="1"/>
  <c r="K1292" i="1"/>
  <c r="K1298" i="1"/>
  <c r="K1302" i="1"/>
  <c r="K1306" i="1"/>
  <c r="K1310" i="1"/>
  <c r="K1314" i="1"/>
  <c r="K1318" i="1"/>
  <c r="K1322" i="1"/>
  <c r="K1326" i="1"/>
  <c r="K1328" i="1"/>
  <c r="K1331" i="1"/>
  <c r="K1335" i="1"/>
  <c r="K1339" i="1"/>
  <c r="K1343" i="1"/>
  <c r="K1347" i="1"/>
  <c r="K1351" i="1"/>
  <c r="K1355" i="1"/>
  <c r="K1359" i="1"/>
  <c r="K1361" i="1"/>
  <c r="K1365" i="1"/>
  <c r="K1369" i="1"/>
  <c r="K1371" i="1"/>
  <c r="K1375" i="1"/>
  <c r="K1379" i="1"/>
  <c r="K1383" i="1"/>
  <c r="K1387" i="1"/>
  <c r="K1391" i="1"/>
  <c r="K1395" i="1"/>
  <c r="K1399" i="1"/>
  <c r="K1403" i="1"/>
  <c r="K1407" i="1"/>
  <c r="K1412" i="1"/>
  <c r="K1416" i="1"/>
  <c r="K1420" i="1"/>
  <c r="K1424" i="1"/>
  <c r="K1428" i="1"/>
  <c r="K1432" i="1"/>
  <c r="K1436" i="1"/>
  <c r="K1440" i="1"/>
  <c r="K1444" i="1"/>
  <c r="K1448" i="1"/>
  <c r="K1453" i="1"/>
  <c r="K1456" i="1"/>
  <c r="K1460" i="1"/>
  <c r="K1464" i="1"/>
  <c r="K1470" i="1"/>
  <c r="K1474" i="1"/>
  <c r="K440" i="1"/>
  <c r="K566" i="1"/>
  <c r="K621" i="1"/>
  <c r="K676" i="1"/>
  <c r="K713" i="1"/>
  <c r="K792" i="1"/>
  <c r="K827" i="1"/>
  <c r="K859" i="1"/>
  <c r="K876" i="1"/>
  <c r="K932" i="1"/>
  <c r="K969" i="1"/>
  <c r="K992" i="1"/>
  <c r="K1009" i="1"/>
  <c r="K1025" i="1"/>
  <c r="K1045" i="1"/>
  <c r="K1053" i="1"/>
  <c r="K1065" i="1"/>
  <c r="K1081" i="1"/>
  <c r="K1097" i="1"/>
  <c r="K1113" i="1"/>
  <c r="K1129" i="1"/>
  <c r="K1147" i="1"/>
  <c r="K1164" i="1"/>
  <c r="K1181" i="1"/>
  <c r="K1199" i="1"/>
  <c r="K1207" i="1"/>
  <c r="K1211" i="1"/>
  <c r="K1215" i="1"/>
  <c r="K1218" i="1"/>
  <c r="K1229" i="1"/>
  <c r="K1233" i="1"/>
  <c r="K1236" i="1"/>
  <c r="K1240" i="1"/>
  <c r="K1244" i="1"/>
  <c r="K1248" i="1"/>
  <c r="K1252" i="1"/>
  <c r="K1256" i="1"/>
  <c r="K1260" i="1"/>
  <c r="K1264" i="1"/>
  <c r="K1268" i="1"/>
  <c r="K1270" i="1"/>
  <c r="K1272" i="1"/>
  <c r="K1276" i="1"/>
  <c r="K1281" i="1"/>
  <c r="K1285" i="1"/>
  <c r="K1291" i="1"/>
  <c r="K1295" i="1"/>
  <c r="K1301" i="1"/>
  <c r="K1305" i="1"/>
  <c r="K1309" i="1"/>
  <c r="K1313" i="1"/>
  <c r="K1317" i="1"/>
  <c r="K1321" i="1"/>
  <c r="K1325" i="1"/>
  <c r="K1334" i="1"/>
  <c r="K1338" i="1"/>
  <c r="K1342" i="1"/>
  <c r="K1346" i="1"/>
  <c r="K1350" i="1"/>
  <c r="K1354" i="1"/>
  <c r="K1358" i="1"/>
  <c r="K1360" i="1"/>
  <c r="K1364" i="1"/>
  <c r="K1368" i="1"/>
  <c r="K1370" i="1"/>
  <c r="K1374" i="1"/>
  <c r="K1378" i="1"/>
  <c r="K1382" i="1"/>
  <c r="K1386" i="1"/>
  <c r="K1390" i="1"/>
  <c r="K1394" i="1"/>
  <c r="K1398" i="1"/>
  <c r="K1402" i="1"/>
  <c r="K1406" i="1"/>
  <c r="K1411" i="1"/>
  <c r="K1415" i="1"/>
  <c r="K1419" i="1"/>
  <c r="K1423" i="1"/>
  <c r="K1427" i="1"/>
  <c r="K1431" i="1"/>
  <c r="K1435" i="1"/>
  <c r="K1439" i="1"/>
  <c r="K1443" i="1"/>
  <c r="K1447" i="1"/>
  <c r="K1452" i="1"/>
  <c r="K1455" i="1"/>
  <c r="K1459" i="1"/>
  <c r="K1463" i="1"/>
  <c r="K1467" i="1"/>
  <c r="K1473" i="1"/>
  <c r="K1476" i="1"/>
  <c r="K1480" i="1"/>
  <c r="K1484" i="1"/>
  <c r="K346" i="1"/>
  <c r="K1487" i="1"/>
  <c r="K1491" i="1"/>
  <c r="K1497" i="1"/>
  <c r="K1501" i="1"/>
  <c r="K1505" i="1"/>
  <c r="K1511" i="1"/>
  <c r="K1517" i="1"/>
  <c r="K1515" i="1"/>
  <c r="K1521" i="1"/>
  <c r="K1525" i="1"/>
  <c r="K1529" i="1"/>
  <c r="K1533" i="1"/>
  <c r="K1538" i="1"/>
  <c r="K1540" i="1"/>
  <c r="K1544" i="1"/>
  <c r="K1548" i="1"/>
  <c r="K31" i="1"/>
  <c r="K644" i="1"/>
  <c r="K698" i="1"/>
  <c r="K773" i="1"/>
  <c r="K1021" i="1"/>
  <c r="K1061" i="1"/>
  <c r="K1125" i="1"/>
  <c r="K1193" i="1"/>
  <c r="K1205" i="1"/>
  <c r="K1239" i="1"/>
  <c r="K1255" i="1"/>
  <c r="K1284" i="1"/>
  <c r="K1304" i="1"/>
  <c r="K1320" i="1"/>
  <c r="K1327" i="1"/>
  <c r="K1333" i="1"/>
  <c r="K1349" i="1"/>
  <c r="K1363" i="1"/>
  <c r="K1377" i="1"/>
  <c r="K1393" i="1"/>
  <c r="K1410" i="1"/>
  <c r="K1426" i="1"/>
  <c r="K1442" i="1"/>
  <c r="K1458" i="1"/>
  <c r="K1477" i="1"/>
  <c r="K1483" i="1"/>
  <c r="K344" i="1"/>
  <c r="K347" i="1"/>
  <c r="K1496" i="1"/>
  <c r="K1499" i="1"/>
  <c r="K1502" i="1"/>
  <c r="K1516" i="1"/>
  <c r="K1509" i="1"/>
  <c r="K1518" i="1"/>
  <c r="K1528" i="1"/>
  <c r="K1531" i="1"/>
  <c r="K1535" i="1"/>
  <c r="K1543" i="1"/>
  <c r="K1546" i="1"/>
  <c r="K1549" i="1"/>
  <c r="K590" i="1"/>
  <c r="K851" i="1"/>
  <c r="K961" i="1"/>
  <c r="K1005" i="1"/>
  <c r="K1109" i="1"/>
  <c r="K1177" i="1"/>
  <c r="K1197" i="1"/>
  <c r="K1237" i="1"/>
  <c r="K1251" i="1"/>
  <c r="K1267" i="1"/>
  <c r="K1280" i="1"/>
  <c r="K1300" i="1"/>
  <c r="K1316" i="1"/>
  <c r="K1345" i="1"/>
  <c r="K540" i="1"/>
  <c r="K1373" i="1"/>
  <c r="K1389" i="1"/>
  <c r="K1405" i="1"/>
  <c r="K1422" i="1"/>
  <c r="K1438" i="1"/>
  <c r="K1534" i="1"/>
  <c r="K1475" i="1"/>
  <c r="K1478" i="1"/>
  <c r="K345" i="1"/>
  <c r="K1485" i="1"/>
  <c r="K1488" i="1"/>
  <c r="K1500" i="1"/>
  <c r="K1503" i="1"/>
  <c r="K1506" i="1"/>
  <c r="K1514" i="1"/>
  <c r="K1519" i="1"/>
  <c r="K1522" i="1"/>
  <c r="K1532" i="1"/>
  <c r="K1536" i="1"/>
  <c r="K1140" i="1"/>
  <c r="K1547" i="1"/>
  <c r="K1550" i="1"/>
  <c r="K753" i="1"/>
  <c r="K819" i="1"/>
  <c r="K924" i="1"/>
  <c r="K1093" i="1"/>
  <c r="K1160" i="1"/>
  <c r="K1232" i="1"/>
  <c r="K1247" i="1"/>
  <c r="K1263" i="1"/>
  <c r="K1275" i="1"/>
  <c r="K1294" i="1"/>
  <c r="K1312" i="1"/>
  <c r="K1341" i="1"/>
  <c r="K1357" i="1"/>
  <c r="K1052" i="1"/>
  <c r="K1385" i="1"/>
  <c r="K1401" i="1"/>
  <c r="K1418" i="1"/>
  <c r="K1434" i="1"/>
  <c r="K1450" i="1"/>
  <c r="K1466" i="1"/>
  <c r="K1472" i="1"/>
  <c r="K1479" i="1"/>
  <c r="K1481" i="1"/>
  <c r="K1486" i="1"/>
  <c r="K1489" i="1"/>
  <c r="K1492" i="1"/>
  <c r="K1504" i="1"/>
  <c r="K1507" i="1"/>
  <c r="K1512" i="1"/>
  <c r="K1520" i="1"/>
  <c r="K1523" i="1"/>
  <c r="K1526" i="1"/>
  <c r="K1537" i="1"/>
  <c r="K1139" i="1"/>
  <c r="K1541" i="1"/>
  <c r="K549" i="1"/>
  <c r="K1037" i="1"/>
  <c r="K1077" i="1"/>
  <c r="K1222" i="1"/>
  <c r="K1259" i="1"/>
  <c r="K1290" i="1"/>
  <c r="K1329" i="1"/>
  <c r="K1381" i="1"/>
  <c r="K1446" i="1"/>
  <c r="K794" i="1"/>
  <c r="K1482" i="1"/>
  <c r="K343" i="1"/>
  <c r="K1539" i="1"/>
  <c r="K1542" i="1"/>
  <c r="K1545" i="1"/>
  <c r="K1243" i="1"/>
  <c r="K1367" i="1"/>
  <c r="K1430" i="1"/>
  <c r="K1490" i="1"/>
  <c r="K1494" i="1"/>
  <c r="K1498" i="1"/>
  <c r="K1216" i="1"/>
  <c r="K1228" i="1"/>
  <c r="K1324" i="1"/>
  <c r="K1353" i="1"/>
  <c r="K1414" i="1"/>
  <c r="K1510" i="1"/>
  <c r="K1513" i="1"/>
  <c r="K1508" i="1"/>
  <c r="K901" i="1"/>
  <c r="K1143" i="1"/>
  <c r="K1219" i="1"/>
  <c r="K1308" i="1"/>
  <c r="K1337" i="1"/>
  <c r="K1397" i="1"/>
  <c r="K1462" i="1"/>
  <c r="K1471" i="1"/>
  <c r="K1524" i="1"/>
  <c r="K1527" i="1"/>
  <c r="K1530" i="1"/>
  <c r="K3" i="1"/>
  <c r="L667" i="1" l="1"/>
  <c r="L805" i="1"/>
  <c r="L582" i="1"/>
  <c r="L802" i="1"/>
  <c r="L804" i="1"/>
  <c r="L803" i="1"/>
  <c r="L791" i="1"/>
  <c r="L206" i="1"/>
  <c r="L555" i="1"/>
  <c r="L17" i="1"/>
  <c r="L321" i="1"/>
  <c r="L320" i="1"/>
  <c r="L1042" i="1"/>
  <c r="L1043" i="1"/>
  <c r="L1044" i="1"/>
  <c r="L316" i="1"/>
  <c r="L201" i="1"/>
  <c r="L202" i="1"/>
  <c r="L200" i="1"/>
  <c r="L203" i="1"/>
  <c r="L199" i="1"/>
  <c r="L911" i="1"/>
  <c r="L910" i="1"/>
  <c r="L650" i="1"/>
  <c r="L734" i="1"/>
  <c r="L27" i="1"/>
  <c r="L871" i="1"/>
  <c r="L281" i="1"/>
  <c r="L478" i="1"/>
  <c r="L956" i="1"/>
  <c r="L1409" i="1"/>
  <c r="L1451" i="1"/>
  <c r="L330" i="1"/>
  <c r="L40" i="1"/>
  <c r="L955" i="1"/>
  <c r="L28" i="1"/>
  <c r="L169" i="1"/>
  <c r="L282" i="1"/>
  <c r="L479" i="1"/>
  <c r="L957" i="1"/>
  <c r="L1493" i="1"/>
  <c r="L381" i="1"/>
  <c r="L1279" i="1"/>
  <c r="L870" i="1"/>
  <c r="L762" i="1"/>
  <c r="L1214" i="1"/>
  <c r="L954" i="1"/>
  <c r="L1289" i="1"/>
  <c r="L331" i="1"/>
  <c r="L1495" i="1"/>
  <c r="L277" i="1"/>
  <c r="L550" i="1"/>
  <c r="L280" i="1"/>
  <c r="L763" i="1"/>
  <c r="L1002" i="1"/>
  <c r="L953" i="1"/>
  <c r="L380" i="1"/>
  <c r="L1288" i="1"/>
  <c r="L26" i="1"/>
  <c r="M1" i="1"/>
  <c r="L399" i="1"/>
  <c r="L1152" i="1"/>
  <c r="L986" i="1"/>
  <c r="L1041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903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297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56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54" i="1"/>
  <c r="L258" i="1"/>
  <c r="L116" i="1"/>
  <c r="L157" i="1"/>
  <c r="L175" i="1"/>
  <c r="L191" i="1"/>
  <c r="L210" i="1"/>
  <c r="L218" i="1"/>
  <c r="L231" i="1"/>
  <c r="L239" i="1"/>
  <c r="L247" i="1"/>
  <c r="L255" i="1"/>
  <c r="L259" i="1"/>
  <c r="L262" i="1"/>
  <c r="L265" i="1"/>
  <c r="L269" i="1"/>
  <c r="L273" i="1"/>
  <c r="L276" i="1"/>
  <c r="L284" i="1"/>
  <c r="L288" i="1"/>
  <c r="L292" i="1"/>
  <c r="L296" i="1"/>
  <c r="L300" i="1"/>
  <c r="L304" i="1"/>
  <c r="L308" i="1"/>
  <c r="L312" i="1"/>
  <c r="L317" i="1"/>
  <c r="L322" i="1"/>
  <c r="L326" i="1"/>
  <c r="L332" i="1"/>
  <c r="L336" i="1"/>
  <c r="L340" i="1"/>
  <c r="L349" i="1"/>
  <c r="L353" i="1"/>
  <c r="L357" i="1"/>
  <c r="L361" i="1"/>
  <c r="L365" i="1"/>
  <c r="L369" i="1"/>
  <c r="L373" i="1"/>
  <c r="L377" i="1"/>
  <c r="L383" i="1"/>
  <c r="L387" i="1"/>
  <c r="L391" i="1"/>
  <c r="L395" i="1"/>
  <c r="L400" i="1"/>
  <c r="L404" i="1"/>
  <c r="L410" i="1"/>
  <c r="L414" i="1"/>
  <c r="L418" i="1"/>
  <c r="L47" i="1"/>
  <c r="L101" i="1"/>
  <c r="L137" i="1"/>
  <c r="L149" i="1"/>
  <c r="L166" i="1"/>
  <c r="L183" i="1"/>
  <c r="L1296" i="1"/>
  <c r="L214" i="1"/>
  <c r="L227" i="1"/>
  <c r="L235" i="1"/>
  <c r="L243" i="1"/>
  <c r="L251" i="1"/>
  <c r="L261" i="1"/>
  <c r="L263" i="1"/>
  <c r="L267" i="1"/>
  <c r="L271" i="1"/>
  <c r="L274" i="1"/>
  <c r="L279" i="1"/>
  <c r="L286" i="1"/>
  <c r="L290" i="1"/>
  <c r="L294" i="1"/>
  <c r="L298" i="1"/>
  <c r="L302" i="1"/>
  <c r="L306" i="1"/>
  <c r="L310" i="1"/>
  <c r="L314" i="1"/>
  <c r="L324" i="1"/>
  <c r="L328" i="1"/>
  <c r="L334" i="1"/>
  <c r="L338" i="1"/>
  <c r="L342" i="1"/>
  <c r="L351" i="1"/>
  <c r="L355" i="1"/>
  <c r="L359" i="1"/>
  <c r="L363" i="1"/>
  <c r="L367" i="1"/>
  <c r="L371" i="1"/>
  <c r="L375" i="1"/>
  <c r="L379" i="1"/>
  <c r="L385" i="1"/>
  <c r="L389" i="1"/>
  <c r="L393" i="1"/>
  <c r="L397" i="1"/>
  <c r="L402" i="1"/>
  <c r="L407" i="1"/>
  <c r="L412" i="1"/>
  <c r="L416" i="1"/>
  <c r="L420" i="1"/>
  <c r="L80" i="1"/>
  <c r="L153" i="1"/>
  <c r="L187" i="1"/>
  <c r="L209" i="1"/>
  <c r="L216" i="1"/>
  <c r="L237" i="1"/>
  <c r="L253" i="1"/>
  <c r="L264" i="1"/>
  <c r="L272" i="1"/>
  <c r="L283" i="1"/>
  <c r="L291" i="1"/>
  <c r="L299" i="1"/>
  <c r="L307" i="1"/>
  <c r="L315" i="1"/>
  <c r="L325" i="1"/>
  <c r="L335" i="1"/>
  <c r="L348" i="1"/>
  <c r="L356" i="1"/>
  <c r="L364" i="1"/>
  <c r="L372" i="1"/>
  <c r="L382" i="1"/>
  <c r="L390" i="1"/>
  <c r="L398" i="1"/>
  <c r="L409" i="1"/>
  <c r="L417" i="1"/>
  <c r="L422" i="1"/>
  <c r="L424" i="1"/>
  <c r="L428" i="1"/>
  <c r="L432" i="1"/>
  <c r="L442" i="1"/>
  <c r="L436" i="1"/>
  <c r="L440" i="1"/>
  <c r="L446" i="1"/>
  <c r="L452" i="1"/>
  <c r="L456" i="1"/>
  <c r="L462" i="1"/>
  <c r="L466" i="1"/>
  <c r="L470" i="1"/>
  <c r="L473" i="1"/>
  <c r="L477" i="1"/>
  <c r="L484" i="1"/>
  <c r="L486" i="1"/>
  <c r="L491" i="1"/>
  <c r="L495" i="1"/>
  <c r="L499" i="1"/>
  <c r="L503" i="1"/>
  <c r="L507" i="1"/>
  <c r="L511" i="1"/>
  <c r="L515" i="1"/>
  <c r="L519" i="1"/>
  <c r="L107" i="1"/>
  <c r="L171" i="1"/>
  <c r="L207" i="1"/>
  <c r="L229" i="1"/>
  <c r="L245" i="1"/>
  <c r="L260" i="1"/>
  <c r="L268" i="1"/>
  <c r="L275" i="1"/>
  <c r="L287" i="1"/>
  <c r="L295" i="1"/>
  <c r="L303" i="1"/>
  <c r="L311" i="1"/>
  <c r="L319" i="1"/>
  <c r="L329" i="1"/>
  <c r="L339" i="1"/>
  <c r="L352" i="1"/>
  <c r="L360" i="1"/>
  <c r="L368" i="1"/>
  <c r="L376" i="1"/>
  <c r="L386" i="1"/>
  <c r="L394" i="1"/>
  <c r="L403" i="1"/>
  <c r="L413" i="1"/>
  <c r="L426" i="1"/>
  <c r="L430" i="1"/>
  <c r="L460" i="1"/>
  <c r="L434" i="1"/>
  <c r="L438" i="1"/>
  <c r="L444" i="1"/>
  <c r="L450" i="1"/>
  <c r="L454" i="1"/>
  <c r="L459" i="1"/>
  <c r="L464" i="1"/>
  <c r="L468" i="1"/>
  <c r="L472" i="1"/>
  <c r="L475" i="1"/>
  <c r="L481" i="1"/>
  <c r="L483" i="1"/>
  <c r="L488" i="1"/>
  <c r="L493" i="1"/>
  <c r="L497" i="1"/>
  <c r="L501" i="1"/>
  <c r="L505" i="1"/>
  <c r="L509" i="1"/>
  <c r="L513" i="1"/>
  <c r="L517" i="1"/>
  <c r="L521" i="1"/>
  <c r="L525" i="1"/>
  <c r="L123" i="1"/>
  <c r="L145" i="1"/>
  <c r="L212" i="1"/>
  <c r="L249" i="1"/>
  <c r="L270" i="1"/>
  <c r="L289" i="1"/>
  <c r="L305" i="1"/>
  <c r="L333" i="1"/>
  <c r="L354" i="1"/>
  <c r="L370" i="1"/>
  <c r="L388" i="1"/>
  <c r="L405" i="1"/>
  <c r="L427" i="1"/>
  <c r="L461" i="1"/>
  <c r="L439" i="1"/>
  <c r="L451" i="1"/>
  <c r="L458" i="1"/>
  <c r="L469" i="1"/>
  <c r="L476" i="1"/>
  <c r="L485" i="1"/>
  <c r="L494" i="1"/>
  <c r="L502" i="1"/>
  <c r="L510" i="1"/>
  <c r="L518" i="1"/>
  <c r="L126" i="1"/>
  <c r="L195" i="1"/>
  <c r="L241" i="1"/>
  <c r="L872" i="1"/>
  <c r="L266" i="1"/>
  <c r="L285" i="1"/>
  <c r="L301" i="1"/>
  <c r="L318" i="1"/>
  <c r="L327" i="1"/>
  <c r="L350" i="1"/>
  <c r="L366" i="1"/>
  <c r="L384" i="1"/>
  <c r="L401" i="1"/>
  <c r="L419" i="1"/>
  <c r="L421" i="1"/>
  <c r="L425" i="1"/>
  <c r="L433" i="1"/>
  <c r="L437" i="1"/>
  <c r="L448" i="1"/>
  <c r="L457" i="1"/>
  <c r="L467" i="1"/>
  <c r="L474" i="1"/>
  <c r="L489" i="1"/>
  <c r="L492" i="1"/>
  <c r="L500" i="1"/>
  <c r="L508" i="1"/>
  <c r="L516" i="1"/>
  <c r="L86" i="1"/>
  <c r="L297" i="1"/>
  <c r="L323" i="1"/>
  <c r="L362" i="1"/>
  <c r="L396" i="1"/>
  <c r="L431" i="1"/>
  <c r="L445" i="1"/>
  <c r="L465" i="1"/>
  <c r="L482" i="1"/>
  <c r="L498" i="1"/>
  <c r="L514" i="1"/>
  <c r="L526" i="1"/>
  <c r="L531" i="1"/>
  <c r="L534" i="1"/>
  <c r="L541" i="1"/>
  <c r="L545" i="1"/>
  <c r="L549" i="1"/>
  <c r="L556" i="1"/>
  <c r="L558" i="1"/>
  <c r="L562" i="1"/>
  <c r="L566" i="1"/>
  <c r="L570" i="1"/>
  <c r="L574" i="1"/>
  <c r="L578" i="1"/>
  <c r="L581" i="1"/>
  <c r="L586" i="1"/>
  <c r="L590" i="1"/>
  <c r="L594" i="1"/>
  <c r="L598" i="1"/>
  <c r="L602" i="1"/>
  <c r="L606" i="1"/>
  <c r="L610" i="1"/>
  <c r="L614" i="1"/>
  <c r="L618" i="1"/>
  <c r="L621" i="1"/>
  <c r="L625" i="1"/>
  <c r="L629" i="1"/>
  <c r="L633" i="1"/>
  <c r="L636" i="1"/>
  <c r="L640" i="1"/>
  <c r="L644" i="1"/>
  <c r="L648" i="1"/>
  <c r="L653" i="1"/>
  <c r="L656" i="1"/>
  <c r="L660" i="1"/>
  <c r="L662" i="1"/>
  <c r="L668" i="1"/>
  <c r="L672" i="1"/>
  <c r="L676" i="1"/>
  <c r="L133" i="1"/>
  <c r="L220" i="1"/>
  <c r="L257" i="1"/>
  <c r="L293" i="1"/>
  <c r="L358" i="1"/>
  <c r="L392" i="1"/>
  <c r="L429" i="1"/>
  <c r="L443" i="1"/>
  <c r="L463" i="1"/>
  <c r="L480" i="1"/>
  <c r="L496" i="1"/>
  <c r="L512" i="1"/>
  <c r="L523" i="1"/>
  <c r="L524" i="1"/>
  <c r="L527" i="1"/>
  <c r="L530" i="1"/>
  <c r="L533" i="1"/>
  <c r="L536" i="1"/>
  <c r="L538" i="1"/>
  <c r="L544" i="1"/>
  <c r="L548" i="1"/>
  <c r="L553" i="1"/>
  <c r="L561" i="1"/>
  <c r="L565" i="1"/>
  <c r="L569" i="1"/>
  <c r="L573" i="1"/>
  <c r="L577" i="1"/>
  <c r="L580" i="1"/>
  <c r="L585" i="1"/>
  <c r="L589" i="1"/>
  <c r="L593" i="1"/>
  <c r="L597" i="1"/>
  <c r="L601" i="1"/>
  <c r="L605" i="1"/>
  <c r="L609" i="1"/>
  <c r="L613" i="1"/>
  <c r="L617" i="1"/>
  <c r="L1173" i="1"/>
  <c r="L624" i="1"/>
  <c r="L628" i="1"/>
  <c r="L632" i="1"/>
  <c r="L635" i="1"/>
  <c r="L639" i="1"/>
  <c r="L643" i="1"/>
  <c r="L647" i="1"/>
  <c r="L652" i="1"/>
  <c r="L655" i="1"/>
  <c r="L659" i="1"/>
  <c r="L665" i="1"/>
  <c r="L671" i="1"/>
  <c r="L675" i="1"/>
  <c r="L278" i="1"/>
  <c r="L341" i="1"/>
  <c r="L415" i="1"/>
  <c r="L423" i="1"/>
  <c r="L455" i="1"/>
  <c r="L490" i="1"/>
  <c r="L522" i="1"/>
  <c r="L547" i="1"/>
  <c r="L564" i="1"/>
  <c r="L572" i="1"/>
  <c r="L579" i="1"/>
  <c r="L588" i="1"/>
  <c r="L596" i="1"/>
  <c r="L604" i="1"/>
  <c r="L612" i="1"/>
  <c r="L620" i="1"/>
  <c r="L627" i="1"/>
  <c r="L642" i="1"/>
  <c r="L651" i="1"/>
  <c r="L658" i="1"/>
  <c r="L666" i="1"/>
  <c r="L674" i="1"/>
  <c r="L677" i="1"/>
  <c r="L681" i="1"/>
  <c r="L685" i="1"/>
  <c r="L689" i="1"/>
  <c r="L693" i="1"/>
  <c r="L698" i="1"/>
  <c r="L701" i="1"/>
  <c r="L705" i="1"/>
  <c r="L710" i="1"/>
  <c r="L713" i="1"/>
  <c r="L716" i="1"/>
  <c r="L130" i="1"/>
  <c r="L723" i="1"/>
  <c r="L727" i="1"/>
  <c r="L731" i="1"/>
  <c r="L736" i="1"/>
  <c r="L740" i="1"/>
  <c r="L744" i="1"/>
  <c r="L749" i="1"/>
  <c r="L753" i="1"/>
  <c r="L757" i="1"/>
  <c r="L761" i="1"/>
  <c r="L771" i="1"/>
  <c r="L765" i="1"/>
  <c r="L767" i="1"/>
  <c r="L773" i="1"/>
  <c r="L776" i="1"/>
  <c r="L779" i="1"/>
  <c r="L781" i="1"/>
  <c r="L785" i="1"/>
  <c r="L904" i="1"/>
  <c r="L906" i="1"/>
  <c r="L792" i="1"/>
  <c r="L797" i="1"/>
  <c r="L801" i="1"/>
  <c r="L809" i="1"/>
  <c r="L5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2" i="1"/>
  <c r="L865" i="1"/>
  <c r="L869" i="1"/>
  <c r="L876" i="1"/>
  <c r="L880" i="1"/>
  <c r="L884" i="1"/>
  <c r="L888" i="1"/>
  <c r="L893" i="1"/>
  <c r="L897" i="1"/>
  <c r="L901" i="1"/>
  <c r="L912" i="1"/>
  <c r="L915" i="1"/>
  <c r="L919" i="1"/>
  <c r="L924" i="1"/>
  <c r="L928" i="1"/>
  <c r="L932" i="1"/>
  <c r="L936" i="1"/>
  <c r="L940" i="1"/>
  <c r="L944" i="1"/>
  <c r="L948" i="1"/>
  <c r="L952" i="1"/>
  <c r="L961" i="1"/>
  <c r="L965" i="1"/>
  <c r="L969" i="1"/>
  <c r="L973" i="1"/>
  <c r="L977" i="1"/>
  <c r="L982" i="1"/>
  <c r="L987" i="1"/>
  <c r="L179" i="1"/>
  <c r="L233" i="1"/>
  <c r="L313" i="1"/>
  <c r="L378" i="1"/>
  <c r="L435" i="1"/>
  <c r="L687" i="1"/>
  <c r="L506" i="1"/>
  <c r="L529" i="1"/>
  <c r="L543" i="1"/>
  <c r="L552" i="1"/>
  <c r="L560" i="1"/>
  <c r="L568" i="1"/>
  <c r="L576" i="1"/>
  <c r="L584" i="1"/>
  <c r="L592" i="1"/>
  <c r="L600" i="1"/>
  <c r="L608" i="1"/>
  <c r="L616" i="1"/>
  <c r="L623" i="1"/>
  <c r="L631" i="1"/>
  <c r="L638" i="1"/>
  <c r="L646" i="1"/>
  <c r="L654" i="1"/>
  <c r="L663" i="1"/>
  <c r="L670" i="1"/>
  <c r="L679" i="1"/>
  <c r="L683" i="1"/>
  <c r="L408" i="1"/>
  <c r="L691" i="1"/>
  <c r="L695" i="1"/>
  <c r="L697" i="1"/>
  <c r="L703" i="1"/>
  <c r="L708" i="1"/>
  <c r="L711" i="1"/>
  <c r="L718" i="1"/>
  <c r="L721" i="1"/>
  <c r="L725" i="1"/>
  <c r="L729" i="1"/>
  <c r="L733" i="1"/>
  <c r="L738" i="1"/>
  <c r="L742" i="1"/>
  <c r="L746" i="1"/>
  <c r="L751" i="1"/>
  <c r="L755" i="1"/>
  <c r="L759" i="1"/>
  <c r="L769" i="1"/>
  <c r="L764" i="1"/>
  <c r="L766" i="1"/>
  <c r="L772" i="1"/>
  <c r="L774" i="1"/>
  <c r="L777" i="1"/>
  <c r="L554" i="1"/>
  <c r="L783" i="1"/>
  <c r="L787" i="1"/>
  <c r="L789" i="1"/>
  <c r="L907" i="1"/>
  <c r="L795" i="1"/>
  <c r="L799" i="1"/>
  <c r="L807" i="1"/>
  <c r="L811" i="1"/>
  <c r="L813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4" i="1"/>
  <c r="L868" i="1"/>
  <c r="L874" i="1"/>
  <c r="L878" i="1"/>
  <c r="L882" i="1"/>
  <c r="L886" i="1"/>
  <c r="L890" i="1"/>
  <c r="L895" i="1"/>
  <c r="L899" i="1"/>
  <c r="L159" i="1"/>
  <c r="L917" i="1"/>
  <c r="L921" i="1"/>
  <c r="L926" i="1"/>
  <c r="L930" i="1"/>
  <c r="L934" i="1"/>
  <c r="L938" i="1"/>
  <c r="L942" i="1"/>
  <c r="L946" i="1"/>
  <c r="L950" i="1"/>
  <c r="L959" i="1"/>
  <c r="L963" i="1"/>
  <c r="L967" i="1"/>
  <c r="L971" i="1"/>
  <c r="L975" i="1"/>
  <c r="L980" i="1"/>
  <c r="L984" i="1"/>
  <c r="L989" i="1"/>
  <c r="L309" i="1"/>
  <c r="L374" i="1"/>
  <c r="L441" i="1"/>
  <c r="L504" i="1"/>
  <c r="L571" i="1"/>
  <c r="L595" i="1"/>
  <c r="L611" i="1"/>
  <c r="L626" i="1"/>
  <c r="L649" i="1"/>
  <c r="L664" i="1"/>
  <c r="L680" i="1"/>
  <c r="L688" i="1"/>
  <c r="L696" i="1"/>
  <c r="L704" i="1"/>
  <c r="L712" i="1"/>
  <c r="L719" i="1"/>
  <c r="L726" i="1"/>
  <c r="L735" i="1"/>
  <c r="L743" i="1"/>
  <c r="L752" i="1"/>
  <c r="L760" i="1"/>
  <c r="L778" i="1"/>
  <c r="L784" i="1"/>
  <c r="L902" i="1"/>
  <c r="L800" i="1"/>
  <c r="L812" i="1"/>
  <c r="L818" i="1"/>
  <c r="L826" i="1"/>
  <c r="L834" i="1"/>
  <c r="L842" i="1"/>
  <c r="L850" i="1"/>
  <c r="L858" i="1"/>
  <c r="L867" i="1"/>
  <c r="L875" i="1"/>
  <c r="L883" i="1"/>
  <c r="L892" i="1"/>
  <c r="L900" i="1"/>
  <c r="L914" i="1"/>
  <c r="L923" i="1"/>
  <c r="L931" i="1"/>
  <c r="L939" i="1"/>
  <c r="L947" i="1"/>
  <c r="L960" i="1"/>
  <c r="L968" i="1"/>
  <c r="L976" i="1"/>
  <c r="L985" i="1"/>
  <c r="L992" i="1"/>
  <c r="L996" i="1"/>
  <c r="L1000" i="1"/>
  <c r="L1005" i="1"/>
  <c r="L1009" i="1"/>
  <c r="L1013" i="1"/>
  <c r="L1017" i="1"/>
  <c r="L1021" i="1"/>
  <c r="L1025" i="1"/>
  <c r="L1030" i="1"/>
  <c r="L1033" i="1"/>
  <c r="L1037" i="1"/>
  <c r="L1045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3" i="1"/>
  <c r="L1137" i="1"/>
  <c r="L1143" i="1"/>
  <c r="L1147" i="1"/>
  <c r="L1151" i="1"/>
  <c r="L1156" i="1"/>
  <c r="L1160" i="1"/>
  <c r="L1164" i="1"/>
  <c r="L1168" i="1"/>
  <c r="L1172" i="1"/>
  <c r="L1177" i="1"/>
  <c r="L1181" i="1"/>
  <c r="L1185" i="1"/>
  <c r="L1189" i="1"/>
  <c r="L1193" i="1"/>
  <c r="L162" i="1"/>
  <c r="L225" i="1"/>
  <c r="L471" i="1"/>
  <c r="L532" i="1"/>
  <c r="L537" i="1"/>
  <c r="L546" i="1"/>
  <c r="L563" i="1"/>
  <c r="L587" i="1"/>
  <c r="L603" i="1"/>
  <c r="L619" i="1"/>
  <c r="L634" i="1"/>
  <c r="L641" i="1"/>
  <c r="L657" i="1"/>
  <c r="L673" i="1"/>
  <c r="L684" i="1"/>
  <c r="L692" i="1"/>
  <c r="L700" i="1"/>
  <c r="L706" i="1"/>
  <c r="L715" i="1"/>
  <c r="L722" i="1"/>
  <c r="L730" i="1"/>
  <c r="L739" i="1"/>
  <c r="L747" i="1"/>
  <c r="L756" i="1"/>
  <c r="L770" i="1"/>
  <c r="L1330" i="1"/>
  <c r="L908" i="1"/>
  <c r="L796" i="1"/>
  <c r="L808" i="1"/>
  <c r="L814" i="1"/>
  <c r="L822" i="1"/>
  <c r="L830" i="1"/>
  <c r="L838" i="1"/>
  <c r="L846" i="1"/>
  <c r="L854" i="1"/>
  <c r="L879" i="1"/>
  <c r="L887" i="1"/>
  <c r="L896" i="1"/>
  <c r="L918" i="1"/>
  <c r="L927" i="1"/>
  <c r="L935" i="1"/>
  <c r="L943" i="1"/>
  <c r="L951" i="1"/>
  <c r="L964" i="1"/>
  <c r="L972" i="1"/>
  <c r="L981" i="1"/>
  <c r="L994" i="1"/>
  <c r="L998" i="1"/>
  <c r="L1003" i="1"/>
  <c r="L1007" i="1"/>
  <c r="L1011" i="1"/>
  <c r="L1015" i="1"/>
  <c r="L1019" i="1"/>
  <c r="L1023" i="1"/>
  <c r="L1027" i="1"/>
  <c r="L1029" i="1"/>
  <c r="L1035" i="1"/>
  <c r="L1039" i="1"/>
  <c r="L1047" i="1"/>
  <c r="L1050" i="1"/>
  <c r="L38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1" i="1"/>
  <c r="L1135" i="1"/>
  <c r="L1141" i="1"/>
  <c r="L1145" i="1"/>
  <c r="L1149" i="1"/>
  <c r="L1154" i="1"/>
  <c r="L1158" i="1"/>
  <c r="L1162" i="1"/>
  <c r="L1166" i="1"/>
  <c r="L1170" i="1"/>
  <c r="L1175" i="1"/>
  <c r="L1179" i="1"/>
  <c r="L1183" i="1"/>
  <c r="L1187" i="1"/>
  <c r="L1191" i="1"/>
  <c r="L337" i="1"/>
  <c r="L607" i="1"/>
  <c r="L661" i="1"/>
  <c r="L678" i="1"/>
  <c r="L694" i="1"/>
  <c r="L709" i="1"/>
  <c r="L717" i="1"/>
  <c r="L732" i="1"/>
  <c r="L750" i="1"/>
  <c r="L775" i="1"/>
  <c r="L798" i="1"/>
  <c r="L816" i="1"/>
  <c r="L832" i="1"/>
  <c r="L848" i="1"/>
  <c r="L881" i="1"/>
  <c r="L898" i="1"/>
  <c r="L920" i="1"/>
  <c r="L937" i="1"/>
  <c r="L958" i="1"/>
  <c r="L974" i="1"/>
  <c r="L991" i="1"/>
  <c r="L999" i="1"/>
  <c r="L1008" i="1"/>
  <c r="L1016" i="1"/>
  <c r="L1024" i="1"/>
  <c r="L1032" i="1"/>
  <c r="L1040" i="1"/>
  <c r="L1051" i="1"/>
  <c r="L922" i="1"/>
  <c r="L1064" i="1"/>
  <c r="L1072" i="1"/>
  <c r="L1080" i="1"/>
  <c r="L1088" i="1"/>
  <c r="L1096" i="1"/>
  <c r="L1104" i="1"/>
  <c r="L1112" i="1"/>
  <c r="L1120" i="1"/>
  <c r="L1128" i="1"/>
  <c r="L1136" i="1"/>
  <c r="L1146" i="1"/>
  <c r="L1155" i="1"/>
  <c r="L1163" i="1"/>
  <c r="L1171" i="1"/>
  <c r="L1180" i="1"/>
  <c r="L1188" i="1"/>
  <c r="L1195" i="1"/>
  <c r="L1199" i="1"/>
  <c r="L1203" i="1"/>
  <c r="L1207" i="1"/>
  <c r="L748" i="1"/>
  <c r="L487" i="1"/>
  <c r="L551" i="1"/>
  <c r="L567" i="1"/>
  <c r="L591" i="1"/>
  <c r="L622" i="1"/>
  <c r="L645" i="1"/>
  <c r="L686" i="1"/>
  <c r="L702" i="1"/>
  <c r="L724" i="1"/>
  <c r="L741" i="1"/>
  <c r="L758" i="1"/>
  <c r="L782" i="1"/>
  <c r="L810" i="1"/>
  <c r="L824" i="1"/>
  <c r="L840" i="1"/>
  <c r="L856" i="1"/>
  <c r="L863" i="1"/>
  <c r="L873" i="1"/>
  <c r="L889" i="1"/>
  <c r="L913" i="1"/>
  <c r="L929" i="1"/>
  <c r="L945" i="1"/>
  <c r="L966" i="1"/>
  <c r="L983" i="1"/>
  <c r="L995" i="1"/>
  <c r="L1004" i="1"/>
  <c r="L1012" i="1"/>
  <c r="L1020" i="1"/>
  <c r="L1028" i="1"/>
  <c r="L1036" i="1"/>
  <c r="L1048" i="1"/>
  <c r="L1060" i="1"/>
  <c r="L1068" i="1"/>
  <c r="L1076" i="1"/>
  <c r="L1084" i="1"/>
  <c r="L1092" i="1"/>
  <c r="L1100" i="1"/>
  <c r="L1108" i="1"/>
  <c r="L1116" i="1"/>
  <c r="L1124" i="1"/>
  <c r="L1132" i="1"/>
  <c r="L1142" i="1"/>
  <c r="L1150" i="1"/>
  <c r="L1159" i="1"/>
  <c r="L1167" i="1"/>
  <c r="L1176" i="1"/>
  <c r="L1184" i="1"/>
  <c r="L1192" i="1"/>
  <c r="L1469" i="1"/>
  <c r="L1197" i="1"/>
  <c r="L1201" i="1"/>
  <c r="L1205" i="1"/>
  <c r="L1209" i="1"/>
  <c r="L1213" i="1"/>
  <c r="L1218" i="1"/>
  <c r="L1222" i="1"/>
  <c r="L1226" i="1"/>
  <c r="L411" i="1"/>
  <c r="L453" i="1"/>
  <c r="L535" i="1"/>
  <c r="L542" i="1"/>
  <c r="L559" i="1"/>
  <c r="L583" i="1"/>
  <c r="L615" i="1"/>
  <c r="L637" i="1"/>
  <c r="L669" i="1"/>
  <c r="L682" i="1"/>
  <c r="L699" i="1"/>
  <c r="L714" i="1"/>
  <c r="L720" i="1"/>
  <c r="L737" i="1"/>
  <c r="L754" i="1"/>
  <c r="L575" i="1"/>
  <c r="L630" i="1"/>
  <c r="L690" i="1"/>
  <c r="L745" i="1"/>
  <c r="L820" i="1"/>
  <c r="L852" i="1"/>
  <c r="L925" i="1"/>
  <c r="L962" i="1"/>
  <c r="L993" i="1"/>
  <c r="L1010" i="1"/>
  <c r="L1026" i="1"/>
  <c r="L1046" i="1"/>
  <c r="L1054" i="1"/>
  <c r="L1066" i="1"/>
  <c r="L1082" i="1"/>
  <c r="L1098" i="1"/>
  <c r="L1114" i="1"/>
  <c r="L1130" i="1"/>
  <c r="L1148" i="1"/>
  <c r="L1165" i="1"/>
  <c r="L1182" i="1"/>
  <c r="L1196" i="1"/>
  <c r="L1204" i="1"/>
  <c r="L1212" i="1"/>
  <c r="L1216" i="1"/>
  <c r="L1219" i="1"/>
  <c r="L1228" i="1"/>
  <c r="L1232" i="1"/>
  <c r="L1237" i="1"/>
  <c r="L1239" i="1"/>
  <c r="L1243" i="1"/>
  <c r="L1247" i="1"/>
  <c r="L1251" i="1"/>
  <c r="L1255" i="1"/>
  <c r="L1259" i="1"/>
  <c r="L1263" i="1"/>
  <c r="L1267" i="1"/>
  <c r="L1275" i="1"/>
  <c r="L1280" i="1"/>
  <c r="L1284" i="1"/>
  <c r="L1290" i="1"/>
  <c r="L1294" i="1"/>
  <c r="L1300" i="1"/>
  <c r="L1304" i="1"/>
  <c r="L1308" i="1"/>
  <c r="L1312" i="1"/>
  <c r="L1316" i="1"/>
  <c r="L1320" i="1"/>
  <c r="L1324" i="1"/>
  <c r="L1327" i="1"/>
  <c r="L1329" i="1"/>
  <c r="L1333" i="1"/>
  <c r="L1337" i="1"/>
  <c r="L1341" i="1"/>
  <c r="L1345" i="1"/>
  <c r="L1349" i="1"/>
  <c r="L1353" i="1"/>
  <c r="L1357" i="1"/>
  <c r="L540" i="1"/>
  <c r="L1363" i="1"/>
  <c r="L1367" i="1"/>
  <c r="L1052" i="1"/>
  <c r="L1373" i="1"/>
  <c r="L1377" i="1"/>
  <c r="L1381" i="1"/>
  <c r="L1385" i="1"/>
  <c r="L1389" i="1"/>
  <c r="L1393" i="1"/>
  <c r="L1397" i="1"/>
  <c r="L1401" i="1"/>
  <c r="L1405" i="1"/>
  <c r="L1410" i="1"/>
  <c r="L1414" i="1"/>
  <c r="L1418" i="1"/>
  <c r="L1422" i="1"/>
  <c r="L1426" i="1"/>
  <c r="L1430" i="1"/>
  <c r="L1434" i="1"/>
  <c r="L1438" i="1"/>
  <c r="L1442" i="1"/>
  <c r="L1446" i="1"/>
  <c r="L1450" i="1"/>
  <c r="L1534" i="1"/>
  <c r="L1458" i="1"/>
  <c r="L1462" i="1"/>
  <c r="L1466" i="1"/>
  <c r="L599" i="1"/>
  <c r="L406" i="1"/>
  <c r="L728" i="1"/>
  <c r="L786" i="1"/>
  <c r="L449" i="1"/>
  <c r="L844" i="1"/>
  <c r="L866" i="1"/>
  <c r="L894" i="1"/>
  <c r="L916" i="1"/>
  <c r="L949" i="1"/>
  <c r="L988" i="1"/>
  <c r="L1006" i="1"/>
  <c r="L1022" i="1"/>
  <c r="L1038" i="1"/>
  <c r="L1049" i="1"/>
  <c r="L1062" i="1"/>
  <c r="L1078" i="1"/>
  <c r="L1094" i="1"/>
  <c r="L1110" i="1"/>
  <c r="L1126" i="1"/>
  <c r="L1144" i="1"/>
  <c r="L1161" i="1"/>
  <c r="L1178" i="1"/>
  <c r="L1194" i="1"/>
  <c r="L1202" i="1"/>
  <c r="L1217" i="1"/>
  <c r="L1220" i="1"/>
  <c r="L1223" i="1"/>
  <c r="L1231" i="1"/>
  <c r="L1235" i="1"/>
  <c r="L112" i="1"/>
  <c r="L1242" i="1"/>
  <c r="L1246" i="1"/>
  <c r="L1250" i="1"/>
  <c r="L1254" i="1"/>
  <c r="L1258" i="1"/>
  <c r="L1262" i="1"/>
  <c r="L1266" i="1"/>
  <c r="L1269" i="1"/>
  <c r="L1271" i="1"/>
  <c r="L1274" i="1"/>
  <c r="L1278" i="1"/>
  <c r="L1283" i="1"/>
  <c r="L1287" i="1"/>
  <c r="L1293" i="1"/>
  <c r="L1299" i="1"/>
  <c r="L1303" i="1"/>
  <c r="L1307" i="1"/>
  <c r="L1311" i="1"/>
  <c r="L1315" i="1"/>
  <c r="L1319" i="1"/>
  <c r="L1323" i="1"/>
  <c r="L1332" i="1"/>
  <c r="L1336" i="1"/>
  <c r="L1340" i="1"/>
  <c r="L1344" i="1"/>
  <c r="L1348" i="1"/>
  <c r="L1352" i="1"/>
  <c r="L1356" i="1"/>
  <c r="L539" i="1"/>
  <c r="L1362" i="1"/>
  <c r="L1366" i="1"/>
  <c r="L447" i="1"/>
  <c r="L1372" i="1"/>
  <c r="L1376" i="1"/>
  <c r="L1380" i="1"/>
  <c r="L1384" i="1"/>
  <c r="L1388" i="1"/>
  <c r="L1392" i="1"/>
  <c r="L1396" i="1"/>
  <c r="L1400" i="1"/>
  <c r="L1404" i="1"/>
  <c r="L1408" i="1"/>
  <c r="L1413" i="1"/>
  <c r="L1417" i="1"/>
  <c r="L1421" i="1"/>
  <c r="L1425" i="1"/>
  <c r="L1429" i="1"/>
  <c r="L1433" i="1"/>
  <c r="L1437" i="1"/>
  <c r="L1441" i="1"/>
  <c r="L1445" i="1"/>
  <c r="L1449" i="1"/>
  <c r="L1454" i="1"/>
  <c r="L1457" i="1"/>
  <c r="L1461" i="1"/>
  <c r="L1465" i="1"/>
  <c r="L1471" i="1"/>
  <c r="L1475" i="1"/>
  <c r="L520" i="1"/>
  <c r="L780" i="1"/>
  <c r="L905" i="1"/>
  <c r="L806" i="1"/>
  <c r="L836" i="1"/>
  <c r="L885" i="1"/>
  <c r="L941" i="1"/>
  <c r="L978" i="1"/>
  <c r="L1001" i="1"/>
  <c r="L1018" i="1"/>
  <c r="L1034" i="1"/>
  <c r="L1058" i="1"/>
  <c r="L1074" i="1"/>
  <c r="L1090" i="1"/>
  <c r="L1106" i="1"/>
  <c r="L1122" i="1"/>
  <c r="L1138" i="1"/>
  <c r="L1157" i="1"/>
  <c r="L1174" i="1"/>
  <c r="L1190" i="1"/>
  <c r="L1468" i="1"/>
  <c r="L1200" i="1"/>
  <c r="L1208" i="1"/>
  <c r="L1210" i="1"/>
  <c r="L1221" i="1"/>
  <c r="L1224" i="1"/>
  <c r="L1227" i="1"/>
  <c r="L1230" i="1"/>
  <c r="L1234" i="1"/>
  <c r="L1238" i="1"/>
  <c r="L1241" i="1"/>
  <c r="L1245" i="1"/>
  <c r="L1249" i="1"/>
  <c r="L1253" i="1"/>
  <c r="L1257" i="1"/>
  <c r="L1261" i="1"/>
  <c r="L1265" i="1"/>
  <c r="L1273" i="1"/>
  <c r="L1277" i="1"/>
  <c r="L1282" i="1"/>
  <c r="L1286" i="1"/>
  <c r="L1292" i="1"/>
  <c r="L1298" i="1"/>
  <c r="L1302" i="1"/>
  <c r="L1306" i="1"/>
  <c r="L1310" i="1"/>
  <c r="L1314" i="1"/>
  <c r="L1318" i="1"/>
  <c r="L1322" i="1"/>
  <c r="L1326" i="1"/>
  <c r="L1328" i="1"/>
  <c r="L1331" i="1"/>
  <c r="L1335" i="1"/>
  <c r="L1339" i="1"/>
  <c r="L1343" i="1"/>
  <c r="L1347" i="1"/>
  <c r="L1351" i="1"/>
  <c r="L1355" i="1"/>
  <c r="L1359" i="1"/>
  <c r="L1361" i="1"/>
  <c r="L1365" i="1"/>
  <c r="L1369" i="1"/>
  <c r="L1371" i="1"/>
  <c r="L1375" i="1"/>
  <c r="L1379" i="1"/>
  <c r="L1383" i="1"/>
  <c r="L1387" i="1"/>
  <c r="L1391" i="1"/>
  <c r="L1395" i="1"/>
  <c r="L1399" i="1"/>
  <c r="L1403" i="1"/>
  <c r="L1407" i="1"/>
  <c r="L1412" i="1"/>
  <c r="L1416" i="1"/>
  <c r="L1420" i="1"/>
  <c r="L1424" i="1"/>
  <c r="L1428" i="1"/>
  <c r="L1432" i="1"/>
  <c r="L1436" i="1"/>
  <c r="L1440" i="1"/>
  <c r="L1444" i="1"/>
  <c r="L1448" i="1"/>
  <c r="L1453" i="1"/>
  <c r="L1456" i="1"/>
  <c r="L1460" i="1"/>
  <c r="L1464" i="1"/>
  <c r="L1470" i="1"/>
  <c r="L1474" i="1"/>
  <c r="L1478" i="1"/>
  <c r="L1481" i="1"/>
  <c r="L343" i="1"/>
  <c r="L347" i="1"/>
  <c r="L1488" i="1"/>
  <c r="L1492" i="1"/>
  <c r="L1498" i="1"/>
  <c r="L1502" i="1"/>
  <c r="L1506" i="1"/>
  <c r="L1512" i="1"/>
  <c r="L1508" i="1"/>
  <c r="L1518" i="1"/>
  <c r="L1522" i="1"/>
  <c r="L1526" i="1"/>
  <c r="L1530" i="1"/>
  <c r="L1535" i="1"/>
  <c r="L1140" i="1"/>
  <c r="L1541" i="1"/>
  <c r="L1545" i="1"/>
  <c r="L1549" i="1"/>
  <c r="L828" i="1"/>
  <c r="L933" i="1"/>
  <c r="L1031" i="1"/>
  <c r="L1070" i="1"/>
  <c r="L1134" i="1"/>
  <c r="L1233" i="1"/>
  <c r="L1248" i="1"/>
  <c r="L1264" i="1"/>
  <c r="L1276" i="1"/>
  <c r="L1295" i="1"/>
  <c r="L1313" i="1"/>
  <c r="L1342" i="1"/>
  <c r="L1358" i="1"/>
  <c r="L1370" i="1"/>
  <c r="L1386" i="1"/>
  <c r="L1402" i="1"/>
  <c r="L1419" i="1"/>
  <c r="L1435" i="1"/>
  <c r="L1452" i="1"/>
  <c r="L1467" i="1"/>
  <c r="L1476" i="1"/>
  <c r="L794" i="1"/>
  <c r="L1482" i="1"/>
  <c r="L1487" i="1"/>
  <c r="L1490" i="1"/>
  <c r="L1494" i="1"/>
  <c r="L1505" i="1"/>
  <c r="L1510" i="1"/>
  <c r="L1513" i="1"/>
  <c r="L1521" i="1"/>
  <c r="L1524" i="1"/>
  <c r="L1527" i="1"/>
  <c r="L1538" i="1"/>
  <c r="L1539" i="1"/>
  <c r="L1542" i="1"/>
  <c r="L707" i="1"/>
  <c r="L793" i="1"/>
  <c r="L1014" i="1"/>
  <c r="L1056" i="1"/>
  <c r="L1118" i="1"/>
  <c r="L1186" i="1"/>
  <c r="L1206" i="1"/>
  <c r="L1229" i="1"/>
  <c r="L1244" i="1"/>
  <c r="L1260" i="1"/>
  <c r="L1272" i="1"/>
  <c r="L1291" i="1"/>
  <c r="L1309" i="1"/>
  <c r="L1325" i="1"/>
  <c r="L1338" i="1"/>
  <c r="L1354" i="1"/>
  <c r="L1368" i="1"/>
  <c r="L1382" i="1"/>
  <c r="L1398" i="1"/>
  <c r="L1415" i="1"/>
  <c r="L1431" i="1"/>
  <c r="L1447" i="1"/>
  <c r="L1463" i="1"/>
  <c r="L1477" i="1"/>
  <c r="L1480" i="1"/>
  <c r="L1483" i="1"/>
  <c r="L344" i="1"/>
  <c r="L1491" i="1"/>
  <c r="L1496" i="1"/>
  <c r="L1499" i="1"/>
  <c r="L1511" i="1"/>
  <c r="L1516" i="1"/>
  <c r="L1509" i="1"/>
  <c r="L1525" i="1"/>
  <c r="L1528" i="1"/>
  <c r="L1531" i="1"/>
  <c r="L1540" i="1"/>
  <c r="L1543" i="1"/>
  <c r="L1546" i="1"/>
  <c r="L528" i="1"/>
  <c r="L877" i="1"/>
  <c r="L997" i="1"/>
  <c r="L1102" i="1"/>
  <c r="L1169" i="1"/>
  <c r="L1198" i="1"/>
  <c r="L1211" i="1"/>
  <c r="L1215" i="1"/>
  <c r="L1240" i="1"/>
  <c r="L1256" i="1"/>
  <c r="L1270" i="1"/>
  <c r="L1285" i="1"/>
  <c r="L1305" i="1"/>
  <c r="L1321" i="1"/>
  <c r="L1334" i="1"/>
  <c r="L1350" i="1"/>
  <c r="L1364" i="1"/>
  <c r="L1378" i="1"/>
  <c r="L1394" i="1"/>
  <c r="L1411" i="1"/>
  <c r="L1427" i="1"/>
  <c r="L1443" i="1"/>
  <c r="L1459" i="1"/>
  <c r="L1473" i="1"/>
  <c r="L1484" i="1"/>
  <c r="L345" i="1"/>
  <c r="L1485" i="1"/>
  <c r="L1497" i="1"/>
  <c r="L1500" i="1"/>
  <c r="L1503" i="1"/>
  <c r="L1517" i="1"/>
  <c r="L1514" i="1"/>
  <c r="L1519" i="1"/>
  <c r="L1529" i="1"/>
  <c r="L1532" i="1"/>
  <c r="L1536" i="1"/>
  <c r="L1544" i="1"/>
  <c r="L1547" i="1"/>
  <c r="L1550" i="1"/>
  <c r="L31" i="1"/>
  <c r="L768" i="1"/>
  <c r="L1153" i="1"/>
  <c r="L1268" i="1"/>
  <c r="L1301" i="1"/>
  <c r="L1390" i="1"/>
  <c r="L1455" i="1"/>
  <c r="L1472" i="1"/>
  <c r="L346" i="1"/>
  <c r="L1486" i="1"/>
  <c r="L1489" i="1"/>
  <c r="L1548" i="1"/>
  <c r="L860" i="1"/>
  <c r="L1086" i="1"/>
  <c r="L1225" i="1"/>
  <c r="L1252" i="1"/>
  <c r="L1281" i="1"/>
  <c r="L1374" i="1"/>
  <c r="L1439" i="1"/>
  <c r="L1501" i="1"/>
  <c r="L1504" i="1"/>
  <c r="L1507" i="1"/>
  <c r="L970" i="1"/>
  <c r="L1236" i="1"/>
  <c r="L1360" i="1"/>
  <c r="L1423" i="1"/>
  <c r="L1515" i="1"/>
  <c r="L1520" i="1"/>
  <c r="L1523" i="1"/>
  <c r="L990" i="1"/>
  <c r="L1317" i="1"/>
  <c r="L1346" i="1"/>
  <c r="L1406" i="1"/>
  <c r="L1479" i="1"/>
  <c r="L1533" i="1"/>
  <c r="L1537" i="1"/>
  <c r="L1139" i="1"/>
  <c r="M667" i="1" l="1"/>
  <c r="M802" i="1"/>
  <c r="M805" i="1"/>
  <c r="M582" i="1"/>
  <c r="M804" i="1"/>
  <c r="M803" i="1"/>
  <c r="M206" i="1"/>
  <c r="M791" i="1"/>
  <c r="M555" i="1"/>
  <c r="M1044" i="1"/>
  <c r="M320" i="1"/>
  <c r="M17" i="1"/>
  <c r="M321" i="1"/>
  <c r="M1042" i="1"/>
  <c r="M1043" i="1"/>
  <c r="M316" i="1"/>
  <c r="M200" i="1"/>
  <c r="M201" i="1"/>
  <c r="M202" i="1"/>
  <c r="M199" i="1"/>
  <c r="M203" i="1"/>
  <c r="M910" i="1"/>
  <c r="M911" i="1"/>
  <c r="M650" i="1"/>
  <c r="M734" i="1"/>
  <c r="M28" i="1"/>
  <c r="M169" i="1"/>
  <c r="M282" i="1"/>
  <c r="M479" i="1"/>
  <c r="M957" i="1"/>
  <c r="M1493" i="1"/>
  <c r="M381" i="1"/>
  <c r="M1279" i="1"/>
  <c r="M26" i="1"/>
  <c r="M277" i="1"/>
  <c r="M380" i="1"/>
  <c r="M550" i="1"/>
  <c r="M1002" i="1"/>
  <c r="M953" i="1"/>
  <c r="M27" i="1"/>
  <c r="M281" i="1"/>
  <c r="M956" i="1"/>
  <c r="M1451" i="1"/>
  <c r="M40" i="1"/>
  <c r="M1288" i="1"/>
  <c r="M870" i="1"/>
  <c r="M762" i="1"/>
  <c r="M1214" i="1"/>
  <c r="M954" i="1"/>
  <c r="M1289" i="1"/>
  <c r="M871" i="1"/>
  <c r="M478" i="1"/>
  <c r="M1409" i="1"/>
  <c r="M330" i="1"/>
  <c r="M955" i="1"/>
  <c r="M763" i="1"/>
  <c r="M331" i="1"/>
  <c r="M1495" i="1"/>
  <c r="M280" i="1"/>
  <c r="N1" i="1"/>
  <c r="M399" i="1"/>
  <c r="M1152" i="1"/>
  <c r="M986" i="1"/>
  <c r="M1041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296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57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55" i="1"/>
  <c r="M259" i="1"/>
  <c r="M872" i="1"/>
  <c r="M57" i="1"/>
  <c r="M138" i="1"/>
  <c r="M150" i="1"/>
  <c r="M167" i="1"/>
  <c r="M184" i="1"/>
  <c r="M1297" i="1"/>
  <c r="M211" i="1"/>
  <c r="M219" i="1"/>
  <c r="M224" i="1"/>
  <c r="M232" i="1"/>
  <c r="M240" i="1"/>
  <c r="M248" i="1"/>
  <c r="M256" i="1"/>
  <c r="M266" i="1"/>
  <c r="M270" i="1"/>
  <c r="M748" i="1"/>
  <c r="M278" i="1"/>
  <c r="M285" i="1"/>
  <c r="M289" i="1"/>
  <c r="M293" i="1"/>
  <c r="M297" i="1"/>
  <c r="M301" i="1"/>
  <c r="M305" i="1"/>
  <c r="M309" i="1"/>
  <c r="M313" i="1"/>
  <c r="M318" i="1"/>
  <c r="M323" i="1"/>
  <c r="M327" i="1"/>
  <c r="M333" i="1"/>
  <c r="M337" i="1"/>
  <c r="M341" i="1"/>
  <c r="M350" i="1"/>
  <c r="M354" i="1"/>
  <c r="M358" i="1"/>
  <c r="M362" i="1"/>
  <c r="M366" i="1"/>
  <c r="M370" i="1"/>
  <c r="M374" i="1"/>
  <c r="M378" i="1"/>
  <c r="M384" i="1"/>
  <c r="M388" i="1"/>
  <c r="M392" i="1"/>
  <c r="M396" i="1"/>
  <c r="M401" i="1"/>
  <c r="M405" i="1"/>
  <c r="M411" i="1"/>
  <c r="M415" i="1"/>
  <c r="M419" i="1"/>
  <c r="M108" i="1"/>
  <c r="M142" i="1"/>
  <c r="M158" i="1"/>
  <c r="M176" i="1"/>
  <c r="M192" i="1"/>
  <c r="M215" i="1"/>
  <c r="M222" i="1"/>
  <c r="M228" i="1"/>
  <c r="M236" i="1"/>
  <c r="M244" i="1"/>
  <c r="M252" i="1"/>
  <c r="M260" i="1"/>
  <c r="M264" i="1"/>
  <c r="M268" i="1"/>
  <c r="M272" i="1"/>
  <c r="M275" i="1"/>
  <c r="M283" i="1"/>
  <c r="M287" i="1"/>
  <c r="M291" i="1"/>
  <c r="M295" i="1"/>
  <c r="M299" i="1"/>
  <c r="M303" i="1"/>
  <c r="M307" i="1"/>
  <c r="M311" i="1"/>
  <c r="M315" i="1"/>
  <c r="M319" i="1"/>
  <c r="M325" i="1"/>
  <c r="M329" i="1"/>
  <c r="M335" i="1"/>
  <c r="M339" i="1"/>
  <c r="M348" i="1"/>
  <c r="M352" i="1"/>
  <c r="M356" i="1"/>
  <c r="M360" i="1"/>
  <c r="M364" i="1"/>
  <c r="M368" i="1"/>
  <c r="M372" i="1"/>
  <c r="M376" i="1"/>
  <c r="M382" i="1"/>
  <c r="M386" i="1"/>
  <c r="M390" i="1"/>
  <c r="M394" i="1"/>
  <c r="M398" i="1"/>
  <c r="M403" i="1"/>
  <c r="M409" i="1"/>
  <c r="M413" i="1"/>
  <c r="M417" i="1"/>
  <c r="M421" i="1"/>
  <c r="M134" i="1"/>
  <c r="M163" i="1"/>
  <c r="M196" i="1"/>
  <c r="M223" i="1"/>
  <c r="M230" i="1"/>
  <c r="M246" i="1"/>
  <c r="M265" i="1"/>
  <c r="M273" i="1"/>
  <c r="M284" i="1"/>
  <c r="M292" i="1"/>
  <c r="M300" i="1"/>
  <c r="M308" i="1"/>
  <c r="M317" i="1"/>
  <c r="M326" i="1"/>
  <c r="M336" i="1"/>
  <c r="M349" i="1"/>
  <c r="M357" i="1"/>
  <c r="M365" i="1"/>
  <c r="M373" i="1"/>
  <c r="M383" i="1"/>
  <c r="M391" i="1"/>
  <c r="M400" i="1"/>
  <c r="M410" i="1"/>
  <c r="M418" i="1"/>
  <c r="M425" i="1"/>
  <c r="M429" i="1"/>
  <c r="M433" i="1"/>
  <c r="M441" i="1"/>
  <c r="M437" i="1"/>
  <c r="M443" i="1"/>
  <c r="M448" i="1"/>
  <c r="M453" i="1"/>
  <c r="M457" i="1"/>
  <c r="M463" i="1"/>
  <c r="M467" i="1"/>
  <c r="M471" i="1"/>
  <c r="M474" i="1"/>
  <c r="M480" i="1"/>
  <c r="M489" i="1"/>
  <c r="M487" i="1"/>
  <c r="M492" i="1"/>
  <c r="M496" i="1"/>
  <c r="M500" i="1"/>
  <c r="M504" i="1"/>
  <c r="M508" i="1"/>
  <c r="M512" i="1"/>
  <c r="M516" i="1"/>
  <c r="M520" i="1"/>
  <c r="M117" i="1"/>
  <c r="M146" i="1"/>
  <c r="M180" i="1"/>
  <c r="M217" i="1"/>
  <c r="M238" i="1"/>
  <c r="M254" i="1"/>
  <c r="M262" i="1"/>
  <c r="M269" i="1"/>
  <c r="M276" i="1"/>
  <c r="M288" i="1"/>
  <c r="M296" i="1"/>
  <c r="M304" i="1"/>
  <c r="M312" i="1"/>
  <c r="M322" i="1"/>
  <c r="M332" i="1"/>
  <c r="M340" i="1"/>
  <c r="M353" i="1"/>
  <c r="M361" i="1"/>
  <c r="M369" i="1"/>
  <c r="M377" i="1"/>
  <c r="M387" i="1"/>
  <c r="M395" i="1"/>
  <c r="M404" i="1"/>
  <c r="M414" i="1"/>
  <c r="M423" i="1"/>
  <c r="M427" i="1"/>
  <c r="M431" i="1"/>
  <c r="M461" i="1"/>
  <c r="M435" i="1"/>
  <c r="M439" i="1"/>
  <c r="M445" i="1"/>
  <c r="M451" i="1"/>
  <c r="M455" i="1"/>
  <c r="M458" i="1"/>
  <c r="M465" i="1"/>
  <c r="M469" i="1"/>
  <c r="M687" i="1"/>
  <c r="M476" i="1"/>
  <c r="M482" i="1"/>
  <c r="M485" i="1"/>
  <c r="M490" i="1"/>
  <c r="M494" i="1"/>
  <c r="M498" i="1"/>
  <c r="M502" i="1"/>
  <c r="M506" i="1"/>
  <c r="M510" i="1"/>
  <c r="M514" i="1"/>
  <c r="M518" i="1"/>
  <c r="M522" i="1"/>
  <c r="M526" i="1"/>
  <c r="M154" i="1"/>
  <c r="M221" i="1"/>
  <c r="M226" i="1"/>
  <c r="M258" i="1"/>
  <c r="M261" i="1"/>
  <c r="M263" i="1"/>
  <c r="M279" i="1"/>
  <c r="M298" i="1"/>
  <c r="M314" i="1"/>
  <c r="M324" i="1"/>
  <c r="M342" i="1"/>
  <c r="M363" i="1"/>
  <c r="M379" i="1"/>
  <c r="M397" i="1"/>
  <c r="M416" i="1"/>
  <c r="M422" i="1"/>
  <c r="M428" i="1"/>
  <c r="M442" i="1"/>
  <c r="M440" i="1"/>
  <c r="M452" i="1"/>
  <c r="M462" i="1"/>
  <c r="M470" i="1"/>
  <c r="M477" i="1"/>
  <c r="M486" i="1"/>
  <c r="M495" i="1"/>
  <c r="M503" i="1"/>
  <c r="M511" i="1"/>
  <c r="M519" i="1"/>
  <c r="M208" i="1"/>
  <c r="M213" i="1"/>
  <c r="M250" i="1"/>
  <c r="M274" i="1"/>
  <c r="M294" i="1"/>
  <c r="M310" i="1"/>
  <c r="M338" i="1"/>
  <c r="M359" i="1"/>
  <c r="M375" i="1"/>
  <c r="M393" i="1"/>
  <c r="M412" i="1"/>
  <c r="M426" i="1"/>
  <c r="M460" i="1"/>
  <c r="M438" i="1"/>
  <c r="M450" i="1"/>
  <c r="M459" i="1"/>
  <c r="M468" i="1"/>
  <c r="M475" i="1"/>
  <c r="M483" i="1"/>
  <c r="M493" i="1"/>
  <c r="M501" i="1"/>
  <c r="M509" i="1"/>
  <c r="M517" i="1"/>
  <c r="M129" i="1"/>
  <c r="M188" i="1"/>
  <c r="M271" i="1"/>
  <c r="M306" i="1"/>
  <c r="M334" i="1"/>
  <c r="M371" i="1"/>
  <c r="M407" i="1"/>
  <c r="M424" i="1"/>
  <c r="M436" i="1"/>
  <c r="M456" i="1"/>
  <c r="M473" i="1"/>
  <c r="M491" i="1"/>
  <c r="M507" i="1"/>
  <c r="M528" i="1"/>
  <c r="M532" i="1"/>
  <c r="M535" i="1"/>
  <c r="M537" i="1"/>
  <c r="M542" i="1"/>
  <c r="M546" i="1"/>
  <c r="M551" i="1"/>
  <c r="M559" i="1"/>
  <c r="M563" i="1"/>
  <c r="M567" i="1"/>
  <c r="M571" i="1"/>
  <c r="M575" i="1"/>
  <c r="M583" i="1"/>
  <c r="M587" i="1"/>
  <c r="M591" i="1"/>
  <c r="M595" i="1"/>
  <c r="M599" i="1"/>
  <c r="M603" i="1"/>
  <c r="M607" i="1"/>
  <c r="M611" i="1"/>
  <c r="M615" i="1"/>
  <c r="M619" i="1"/>
  <c r="M622" i="1"/>
  <c r="M626" i="1"/>
  <c r="M630" i="1"/>
  <c r="M634" i="1"/>
  <c r="M637" i="1"/>
  <c r="M641" i="1"/>
  <c r="M645" i="1"/>
  <c r="M649" i="1"/>
  <c r="M406" i="1"/>
  <c r="M657" i="1"/>
  <c r="M661" i="1"/>
  <c r="M664" i="1"/>
  <c r="M669" i="1"/>
  <c r="M673" i="1"/>
  <c r="M903" i="1"/>
  <c r="M172" i="1"/>
  <c r="M267" i="1"/>
  <c r="M302" i="1"/>
  <c r="M328" i="1"/>
  <c r="M367" i="1"/>
  <c r="M402" i="1"/>
  <c r="M434" i="1"/>
  <c r="M454" i="1"/>
  <c r="M472" i="1"/>
  <c r="M488" i="1"/>
  <c r="M505" i="1"/>
  <c r="M521" i="1"/>
  <c r="M531" i="1"/>
  <c r="M534" i="1"/>
  <c r="M541" i="1"/>
  <c r="M545" i="1"/>
  <c r="M549" i="1"/>
  <c r="M556" i="1"/>
  <c r="M558" i="1"/>
  <c r="M562" i="1"/>
  <c r="M566" i="1"/>
  <c r="M570" i="1"/>
  <c r="M574" i="1"/>
  <c r="M578" i="1"/>
  <c r="M581" i="1"/>
  <c r="M586" i="1"/>
  <c r="M590" i="1"/>
  <c r="M594" i="1"/>
  <c r="M598" i="1"/>
  <c r="M602" i="1"/>
  <c r="M606" i="1"/>
  <c r="M610" i="1"/>
  <c r="M614" i="1"/>
  <c r="M618" i="1"/>
  <c r="M621" i="1"/>
  <c r="M625" i="1"/>
  <c r="M629" i="1"/>
  <c r="M633" i="1"/>
  <c r="M636" i="1"/>
  <c r="M640" i="1"/>
  <c r="M644" i="1"/>
  <c r="M648" i="1"/>
  <c r="M653" i="1"/>
  <c r="M656" i="1"/>
  <c r="M660" i="1"/>
  <c r="M662" i="1"/>
  <c r="M668" i="1"/>
  <c r="M672" i="1"/>
  <c r="M676" i="1"/>
  <c r="M242" i="1"/>
  <c r="M290" i="1"/>
  <c r="M355" i="1"/>
  <c r="M432" i="1"/>
  <c r="M466" i="1"/>
  <c r="M499" i="1"/>
  <c r="M524" i="1"/>
  <c r="M527" i="1"/>
  <c r="M533" i="1"/>
  <c r="M538" i="1"/>
  <c r="M548" i="1"/>
  <c r="M565" i="1"/>
  <c r="M573" i="1"/>
  <c r="M580" i="1"/>
  <c r="M589" i="1"/>
  <c r="M597" i="1"/>
  <c r="M605" i="1"/>
  <c r="M613" i="1"/>
  <c r="M1173" i="1"/>
  <c r="M628" i="1"/>
  <c r="M635" i="1"/>
  <c r="M643" i="1"/>
  <c r="M652" i="1"/>
  <c r="M659" i="1"/>
  <c r="M675" i="1"/>
  <c r="M678" i="1"/>
  <c r="M682" i="1"/>
  <c r="M686" i="1"/>
  <c r="M690" i="1"/>
  <c r="M694" i="1"/>
  <c r="M699" i="1"/>
  <c r="M702" i="1"/>
  <c r="M707" i="1"/>
  <c r="M709" i="1"/>
  <c r="M714" i="1"/>
  <c r="M717" i="1"/>
  <c r="M720" i="1"/>
  <c r="M724" i="1"/>
  <c r="M728" i="1"/>
  <c r="M732" i="1"/>
  <c r="M737" i="1"/>
  <c r="M741" i="1"/>
  <c r="M745" i="1"/>
  <c r="M750" i="1"/>
  <c r="M754" i="1"/>
  <c r="M758" i="1"/>
  <c r="M768" i="1"/>
  <c r="M775" i="1"/>
  <c r="M780" i="1"/>
  <c r="M782" i="1"/>
  <c r="M786" i="1"/>
  <c r="M905" i="1"/>
  <c r="M793" i="1"/>
  <c r="M798" i="1"/>
  <c r="M806" i="1"/>
  <c r="M810" i="1"/>
  <c r="M449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3" i="1"/>
  <c r="M866" i="1"/>
  <c r="M873" i="1"/>
  <c r="M877" i="1"/>
  <c r="M881" i="1"/>
  <c r="M885" i="1"/>
  <c r="M889" i="1"/>
  <c r="M894" i="1"/>
  <c r="M898" i="1"/>
  <c r="M913" i="1"/>
  <c r="M916" i="1"/>
  <c r="M920" i="1"/>
  <c r="M925" i="1"/>
  <c r="M929" i="1"/>
  <c r="M933" i="1"/>
  <c r="M937" i="1"/>
  <c r="M941" i="1"/>
  <c r="M945" i="1"/>
  <c r="M949" i="1"/>
  <c r="M958" i="1"/>
  <c r="M962" i="1"/>
  <c r="M966" i="1"/>
  <c r="M970" i="1"/>
  <c r="M974" i="1"/>
  <c r="M978" i="1"/>
  <c r="M983" i="1"/>
  <c r="M988" i="1"/>
  <c r="M389" i="1"/>
  <c r="M446" i="1"/>
  <c r="M484" i="1"/>
  <c r="M515" i="1"/>
  <c r="M523" i="1"/>
  <c r="M530" i="1"/>
  <c r="M536" i="1"/>
  <c r="M544" i="1"/>
  <c r="M553" i="1"/>
  <c r="M561" i="1"/>
  <c r="M569" i="1"/>
  <c r="M577" i="1"/>
  <c r="M585" i="1"/>
  <c r="M593" i="1"/>
  <c r="M601" i="1"/>
  <c r="M609" i="1"/>
  <c r="M617" i="1"/>
  <c r="M624" i="1"/>
  <c r="M632" i="1"/>
  <c r="M639" i="1"/>
  <c r="M647" i="1"/>
  <c r="M655" i="1"/>
  <c r="M665" i="1"/>
  <c r="M671" i="1"/>
  <c r="M680" i="1"/>
  <c r="M684" i="1"/>
  <c r="M688" i="1"/>
  <c r="M692" i="1"/>
  <c r="M696" i="1"/>
  <c r="M700" i="1"/>
  <c r="M704" i="1"/>
  <c r="M706" i="1"/>
  <c r="M712" i="1"/>
  <c r="M715" i="1"/>
  <c r="M719" i="1"/>
  <c r="M722" i="1"/>
  <c r="M726" i="1"/>
  <c r="M730" i="1"/>
  <c r="M735" i="1"/>
  <c r="M739" i="1"/>
  <c r="M743" i="1"/>
  <c r="M747" i="1"/>
  <c r="M752" i="1"/>
  <c r="M756" i="1"/>
  <c r="M760" i="1"/>
  <c r="M770" i="1"/>
  <c r="M778" i="1"/>
  <c r="M1330" i="1"/>
  <c r="M784" i="1"/>
  <c r="M902" i="1"/>
  <c r="M908" i="1"/>
  <c r="M796" i="1"/>
  <c r="M800" i="1"/>
  <c r="M808" i="1"/>
  <c r="M812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7" i="1"/>
  <c r="M875" i="1"/>
  <c r="M879" i="1"/>
  <c r="M883" i="1"/>
  <c r="M887" i="1"/>
  <c r="M892" i="1"/>
  <c r="M896" i="1"/>
  <c r="M900" i="1"/>
  <c r="M914" i="1"/>
  <c r="M918" i="1"/>
  <c r="M923" i="1"/>
  <c r="M927" i="1"/>
  <c r="M931" i="1"/>
  <c r="M935" i="1"/>
  <c r="M939" i="1"/>
  <c r="M943" i="1"/>
  <c r="M947" i="1"/>
  <c r="M951" i="1"/>
  <c r="M960" i="1"/>
  <c r="M964" i="1"/>
  <c r="M968" i="1"/>
  <c r="M972" i="1"/>
  <c r="M976" i="1"/>
  <c r="M981" i="1"/>
  <c r="M985" i="1"/>
  <c r="M990" i="1"/>
  <c r="M444" i="1"/>
  <c r="M513" i="1"/>
  <c r="M547" i="1"/>
  <c r="M564" i="1"/>
  <c r="M588" i="1"/>
  <c r="M604" i="1"/>
  <c r="M620" i="1"/>
  <c r="M642" i="1"/>
  <c r="M658" i="1"/>
  <c r="M674" i="1"/>
  <c r="M681" i="1"/>
  <c r="M689" i="1"/>
  <c r="M698" i="1"/>
  <c r="M705" i="1"/>
  <c r="M713" i="1"/>
  <c r="M130" i="1"/>
  <c r="M727" i="1"/>
  <c r="M736" i="1"/>
  <c r="M744" i="1"/>
  <c r="M753" i="1"/>
  <c r="M761" i="1"/>
  <c r="M765" i="1"/>
  <c r="M773" i="1"/>
  <c r="M779" i="1"/>
  <c r="M785" i="1"/>
  <c r="M904" i="1"/>
  <c r="M792" i="1"/>
  <c r="M801" i="1"/>
  <c r="M5" i="1"/>
  <c r="M819" i="1"/>
  <c r="M827" i="1"/>
  <c r="M835" i="1"/>
  <c r="M843" i="1"/>
  <c r="M851" i="1"/>
  <c r="M859" i="1"/>
  <c r="M865" i="1"/>
  <c r="M876" i="1"/>
  <c r="M884" i="1"/>
  <c r="M893" i="1"/>
  <c r="M901" i="1"/>
  <c r="M915" i="1"/>
  <c r="M924" i="1"/>
  <c r="M932" i="1"/>
  <c r="M940" i="1"/>
  <c r="M948" i="1"/>
  <c r="M961" i="1"/>
  <c r="M969" i="1"/>
  <c r="M977" i="1"/>
  <c r="M987" i="1"/>
  <c r="M993" i="1"/>
  <c r="M997" i="1"/>
  <c r="M1001" i="1"/>
  <c r="M1006" i="1"/>
  <c r="M1010" i="1"/>
  <c r="M1014" i="1"/>
  <c r="M1018" i="1"/>
  <c r="M1022" i="1"/>
  <c r="M1026" i="1"/>
  <c r="M1031" i="1"/>
  <c r="M1034" i="1"/>
  <c r="M1038" i="1"/>
  <c r="M1046" i="1"/>
  <c r="M1049" i="1"/>
  <c r="M1054" i="1"/>
  <c r="M1056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4" i="1"/>
  <c r="M1148" i="1"/>
  <c r="M1153" i="1"/>
  <c r="M1157" i="1"/>
  <c r="M1161" i="1"/>
  <c r="M1165" i="1"/>
  <c r="M1169" i="1"/>
  <c r="M1174" i="1"/>
  <c r="M1178" i="1"/>
  <c r="M1182" i="1"/>
  <c r="M1186" i="1"/>
  <c r="M1190" i="1"/>
  <c r="M385" i="1"/>
  <c r="M481" i="1"/>
  <c r="M572" i="1"/>
  <c r="M579" i="1"/>
  <c r="M596" i="1"/>
  <c r="M612" i="1"/>
  <c r="M627" i="1"/>
  <c r="M651" i="1"/>
  <c r="M666" i="1"/>
  <c r="M677" i="1"/>
  <c r="M685" i="1"/>
  <c r="M693" i="1"/>
  <c r="M701" i="1"/>
  <c r="M710" i="1"/>
  <c r="M716" i="1"/>
  <c r="M723" i="1"/>
  <c r="M731" i="1"/>
  <c r="M740" i="1"/>
  <c r="M749" i="1"/>
  <c r="M757" i="1"/>
  <c r="M771" i="1"/>
  <c r="M767" i="1"/>
  <c r="M776" i="1"/>
  <c r="M781" i="1"/>
  <c r="M906" i="1"/>
  <c r="M797" i="1"/>
  <c r="M809" i="1"/>
  <c r="M815" i="1"/>
  <c r="M823" i="1"/>
  <c r="M831" i="1"/>
  <c r="M839" i="1"/>
  <c r="M847" i="1"/>
  <c r="M855" i="1"/>
  <c r="M862" i="1"/>
  <c r="M869" i="1"/>
  <c r="M880" i="1"/>
  <c r="M888" i="1"/>
  <c r="M897" i="1"/>
  <c r="M912" i="1"/>
  <c r="M919" i="1"/>
  <c r="M928" i="1"/>
  <c r="M936" i="1"/>
  <c r="M944" i="1"/>
  <c r="M952" i="1"/>
  <c r="M965" i="1"/>
  <c r="M973" i="1"/>
  <c r="M982" i="1"/>
  <c r="M991" i="1"/>
  <c r="M995" i="1"/>
  <c r="M999" i="1"/>
  <c r="M1004" i="1"/>
  <c r="M1008" i="1"/>
  <c r="M1012" i="1"/>
  <c r="M1016" i="1"/>
  <c r="M1020" i="1"/>
  <c r="M1024" i="1"/>
  <c r="M1028" i="1"/>
  <c r="M1032" i="1"/>
  <c r="M1036" i="1"/>
  <c r="M1040" i="1"/>
  <c r="M1048" i="1"/>
  <c r="M1051" i="1"/>
  <c r="M922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2" i="1"/>
  <c r="M1146" i="1"/>
  <c r="M1150" i="1"/>
  <c r="M1155" i="1"/>
  <c r="M1159" i="1"/>
  <c r="M1163" i="1"/>
  <c r="M1167" i="1"/>
  <c r="M1171" i="1"/>
  <c r="M1176" i="1"/>
  <c r="M1180" i="1"/>
  <c r="M1184" i="1"/>
  <c r="M1188" i="1"/>
  <c r="M1192" i="1"/>
  <c r="M420" i="1"/>
  <c r="M497" i="1"/>
  <c r="M543" i="1"/>
  <c r="M560" i="1"/>
  <c r="M584" i="1"/>
  <c r="M616" i="1"/>
  <c r="M638" i="1"/>
  <c r="M670" i="1"/>
  <c r="M408" i="1"/>
  <c r="M703" i="1"/>
  <c r="M725" i="1"/>
  <c r="M742" i="1"/>
  <c r="M759" i="1"/>
  <c r="M772" i="1"/>
  <c r="M783" i="1"/>
  <c r="M811" i="1"/>
  <c r="M825" i="1"/>
  <c r="M841" i="1"/>
  <c r="M857" i="1"/>
  <c r="M864" i="1"/>
  <c r="M874" i="1"/>
  <c r="M890" i="1"/>
  <c r="M159" i="1"/>
  <c r="M930" i="1"/>
  <c r="M946" i="1"/>
  <c r="M967" i="1"/>
  <c r="M984" i="1"/>
  <c r="M992" i="1"/>
  <c r="M1000" i="1"/>
  <c r="M1009" i="1"/>
  <c r="M1017" i="1"/>
  <c r="M1025" i="1"/>
  <c r="M1033" i="1"/>
  <c r="M1045" i="1"/>
  <c r="M1053" i="1"/>
  <c r="M1057" i="1"/>
  <c r="M1065" i="1"/>
  <c r="M1073" i="1"/>
  <c r="M1081" i="1"/>
  <c r="M1089" i="1"/>
  <c r="M1097" i="1"/>
  <c r="M1105" i="1"/>
  <c r="M1113" i="1"/>
  <c r="M1121" i="1"/>
  <c r="M1129" i="1"/>
  <c r="M1137" i="1"/>
  <c r="M1147" i="1"/>
  <c r="M1156" i="1"/>
  <c r="M1164" i="1"/>
  <c r="M1172" i="1"/>
  <c r="M1181" i="1"/>
  <c r="M1189" i="1"/>
  <c r="M1468" i="1"/>
  <c r="M1196" i="1"/>
  <c r="M1200" i="1"/>
  <c r="M1204" i="1"/>
  <c r="M1208" i="1"/>
  <c r="M430" i="1"/>
  <c r="M529" i="1"/>
  <c r="M576" i="1"/>
  <c r="M600" i="1"/>
  <c r="M631" i="1"/>
  <c r="M654" i="1"/>
  <c r="M679" i="1"/>
  <c r="M695" i="1"/>
  <c r="M711" i="1"/>
  <c r="M718" i="1"/>
  <c r="M733" i="1"/>
  <c r="M751" i="1"/>
  <c r="M764" i="1"/>
  <c r="M777" i="1"/>
  <c r="M789" i="1"/>
  <c r="M799" i="1"/>
  <c r="M817" i="1"/>
  <c r="M833" i="1"/>
  <c r="M849" i="1"/>
  <c r="M882" i="1"/>
  <c r="M899" i="1"/>
  <c r="M921" i="1"/>
  <c r="M938" i="1"/>
  <c r="M959" i="1"/>
  <c r="M975" i="1"/>
  <c r="M996" i="1"/>
  <c r="M1005" i="1"/>
  <c r="M1013" i="1"/>
  <c r="M1021" i="1"/>
  <c r="M1030" i="1"/>
  <c r="M1037" i="1"/>
  <c r="M1061" i="1"/>
  <c r="M1069" i="1"/>
  <c r="M1077" i="1"/>
  <c r="M1085" i="1"/>
  <c r="M1093" i="1"/>
  <c r="M1101" i="1"/>
  <c r="M1109" i="1"/>
  <c r="M1117" i="1"/>
  <c r="M1125" i="1"/>
  <c r="M1133" i="1"/>
  <c r="M1143" i="1"/>
  <c r="M1151" i="1"/>
  <c r="M1160" i="1"/>
  <c r="M1168" i="1"/>
  <c r="M1177" i="1"/>
  <c r="M1185" i="1"/>
  <c r="M1193" i="1"/>
  <c r="M1194" i="1"/>
  <c r="M1198" i="1"/>
  <c r="M1202" i="1"/>
  <c r="M1206" i="1"/>
  <c r="M1210" i="1"/>
  <c r="M1215" i="1"/>
  <c r="M1219" i="1"/>
  <c r="M1223" i="1"/>
  <c r="M1227" i="1"/>
  <c r="M234" i="1"/>
  <c r="M286" i="1"/>
  <c r="M525" i="1"/>
  <c r="M552" i="1"/>
  <c r="M568" i="1"/>
  <c r="M592" i="1"/>
  <c r="M623" i="1"/>
  <c r="M646" i="1"/>
  <c r="M691" i="1"/>
  <c r="M708" i="1"/>
  <c r="M729" i="1"/>
  <c r="M746" i="1"/>
  <c r="M769" i="1"/>
  <c r="M774" i="1"/>
  <c r="M697" i="1"/>
  <c r="M755" i="1"/>
  <c r="M795" i="1"/>
  <c r="M829" i="1"/>
  <c r="M861" i="1"/>
  <c r="M878" i="1"/>
  <c r="M934" i="1"/>
  <c r="M971" i="1"/>
  <c r="M1003" i="1"/>
  <c r="M1019" i="1"/>
  <c r="M1035" i="1"/>
  <c r="M1059" i="1"/>
  <c r="M1075" i="1"/>
  <c r="M1091" i="1"/>
  <c r="M1107" i="1"/>
  <c r="M1123" i="1"/>
  <c r="M1141" i="1"/>
  <c r="M1158" i="1"/>
  <c r="M1175" i="1"/>
  <c r="M1191" i="1"/>
  <c r="M1197" i="1"/>
  <c r="M1205" i="1"/>
  <c r="M1211" i="1"/>
  <c r="M1222" i="1"/>
  <c r="M1225" i="1"/>
  <c r="M1229" i="1"/>
  <c r="M1233" i="1"/>
  <c r="M1236" i="1"/>
  <c r="M1240" i="1"/>
  <c r="M1244" i="1"/>
  <c r="M1248" i="1"/>
  <c r="M1252" i="1"/>
  <c r="M1256" i="1"/>
  <c r="M1260" i="1"/>
  <c r="M1264" i="1"/>
  <c r="M1268" i="1"/>
  <c r="M1270" i="1"/>
  <c r="M1272" i="1"/>
  <c r="M1276" i="1"/>
  <c r="M1281" i="1"/>
  <c r="M1285" i="1"/>
  <c r="M1291" i="1"/>
  <c r="M1295" i="1"/>
  <c r="M1301" i="1"/>
  <c r="M1305" i="1"/>
  <c r="M1309" i="1"/>
  <c r="M1313" i="1"/>
  <c r="M1317" i="1"/>
  <c r="M1321" i="1"/>
  <c r="M1325" i="1"/>
  <c r="M1334" i="1"/>
  <c r="M1338" i="1"/>
  <c r="M1342" i="1"/>
  <c r="M1346" i="1"/>
  <c r="M1350" i="1"/>
  <c r="M1354" i="1"/>
  <c r="M1358" i="1"/>
  <c r="M1360" i="1"/>
  <c r="M1364" i="1"/>
  <c r="M1368" i="1"/>
  <c r="M1370" i="1"/>
  <c r="M1374" i="1"/>
  <c r="M1378" i="1"/>
  <c r="M1382" i="1"/>
  <c r="M1386" i="1"/>
  <c r="M1390" i="1"/>
  <c r="M1394" i="1"/>
  <c r="M1398" i="1"/>
  <c r="M1402" i="1"/>
  <c r="M1406" i="1"/>
  <c r="M1411" i="1"/>
  <c r="M1415" i="1"/>
  <c r="M1419" i="1"/>
  <c r="M1423" i="1"/>
  <c r="M1427" i="1"/>
  <c r="M1431" i="1"/>
  <c r="M1435" i="1"/>
  <c r="M1439" i="1"/>
  <c r="M1443" i="1"/>
  <c r="M1447" i="1"/>
  <c r="M1452" i="1"/>
  <c r="M1455" i="1"/>
  <c r="M1459" i="1"/>
  <c r="M1463" i="1"/>
  <c r="M683" i="1"/>
  <c r="M738" i="1"/>
  <c r="M821" i="1"/>
  <c r="M853" i="1"/>
  <c r="M926" i="1"/>
  <c r="M963" i="1"/>
  <c r="M998" i="1"/>
  <c r="M1015" i="1"/>
  <c r="M1029" i="1"/>
  <c r="M38" i="1"/>
  <c r="M1071" i="1"/>
  <c r="M1087" i="1"/>
  <c r="M1103" i="1"/>
  <c r="M1119" i="1"/>
  <c r="M1135" i="1"/>
  <c r="M1154" i="1"/>
  <c r="M1170" i="1"/>
  <c r="M1187" i="1"/>
  <c r="M1195" i="1"/>
  <c r="M1203" i="1"/>
  <c r="M1212" i="1"/>
  <c r="M1216" i="1"/>
  <c r="M1226" i="1"/>
  <c r="M1228" i="1"/>
  <c r="M1232" i="1"/>
  <c r="M1237" i="1"/>
  <c r="M1239" i="1"/>
  <c r="M1243" i="1"/>
  <c r="M1247" i="1"/>
  <c r="M1251" i="1"/>
  <c r="M1255" i="1"/>
  <c r="M1259" i="1"/>
  <c r="M1263" i="1"/>
  <c r="M1267" i="1"/>
  <c r="M1275" i="1"/>
  <c r="M1280" i="1"/>
  <c r="M1284" i="1"/>
  <c r="M1290" i="1"/>
  <c r="M1294" i="1"/>
  <c r="M1300" i="1"/>
  <c r="M1304" i="1"/>
  <c r="M1308" i="1"/>
  <c r="M1312" i="1"/>
  <c r="M1316" i="1"/>
  <c r="M1320" i="1"/>
  <c r="M1324" i="1"/>
  <c r="M1327" i="1"/>
  <c r="M1329" i="1"/>
  <c r="M1333" i="1"/>
  <c r="M1337" i="1"/>
  <c r="M1341" i="1"/>
  <c r="M1345" i="1"/>
  <c r="M1349" i="1"/>
  <c r="M1353" i="1"/>
  <c r="M1357" i="1"/>
  <c r="M540" i="1"/>
  <c r="M1363" i="1"/>
  <c r="M1367" i="1"/>
  <c r="M1052" i="1"/>
  <c r="M1373" i="1"/>
  <c r="M1377" i="1"/>
  <c r="M1381" i="1"/>
  <c r="M1385" i="1"/>
  <c r="M1389" i="1"/>
  <c r="M1393" i="1"/>
  <c r="M1397" i="1"/>
  <c r="M1401" i="1"/>
  <c r="M1405" i="1"/>
  <c r="M1410" i="1"/>
  <c r="M1414" i="1"/>
  <c r="M1418" i="1"/>
  <c r="M1422" i="1"/>
  <c r="M1426" i="1"/>
  <c r="M1430" i="1"/>
  <c r="M1434" i="1"/>
  <c r="M1438" i="1"/>
  <c r="M1442" i="1"/>
  <c r="M1446" i="1"/>
  <c r="M1450" i="1"/>
  <c r="M1534" i="1"/>
  <c r="M1458" i="1"/>
  <c r="M1462" i="1"/>
  <c r="M1466" i="1"/>
  <c r="M1472" i="1"/>
  <c r="M1477" i="1"/>
  <c r="M721" i="1"/>
  <c r="M766" i="1"/>
  <c r="M787" i="1"/>
  <c r="M813" i="1"/>
  <c r="M845" i="1"/>
  <c r="M868" i="1"/>
  <c r="M895" i="1"/>
  <c r="M917" i="1"/>
  <c r="M950" i="1"/>
  <c r="M989" i="1"/>
  <c r="M994" i="1"/>
  <c r="M1011" i="1"/>
  <c r="M1027" i="1"/>
  <c r="M1047" i="1"/>
  <c r="M1067" i="1"/>
  <c r="M1083" i="1"/>
  <c r="M1099" i="1"/>
  <c r="M1115" i="1"/>
  <c r="M1131" i="1"/>
  <c r="M1149" i="1"/>
  <c r="M1166" i="1"/>
  <c r="M1183" i="1"/>
  <c r="M1469" i="1"/>
  <c r="M1201" i="1"/>
  <c r="M1209" i="1"/>
  <c r="M1213" i="1"/>
  <c r="M1217" i="1"/>
  <c r="M1220" i="1"/>
  <c r="M1231" i="1"/>
  <c r="M1235" i="1"/>
  <c r="M112" i="1"/>
  <c r="M1242" i="1"/>
  <c r="M1246" i="1"/>
  <c r="M1250" i="1"/>
  <c r="M1254" i="1"/>
  <c r="M1258" i="1"/>
  <c r="M1262" i="1"/>
  <c r="M1266" i="1"/>
  <c r="M1269" i="1"/>
  <c r="M1271" i="1"/>
  <c r="M1274" i="1"/>
  <c r="M1278" i="1"/>
  <c r="M1283" i="1"/>
  <c r="M1287" i="1"/>
  <c r="M1293" i="1"/>
  <c r="M1299" i="1"/>
  <c r="M1303" i="1"/>
  <c r="M1307" i="1"/>
  <c r="M1311" i="1"/>
  <c r="M1315" i="1"/>
  <c r="M1319" i="1"/>
  <c r="M1323" i="1"/>
  <c r="M1332" i="1"/>
  <c r="M1336" i="1"/>
  <c r="M1340" i="1"/>
  <c r="M1344" i="1"/>
  <c r="M1348" i="1"/>
  <c r="M1352" i="1"/>
  <c r="M1356" i="1"/>
  <c r="M539" i="1"/>
  <c r="M1362" i="1"/>
  <c r="M1366" i="1"/>
  <c r="M447" i="1"/>
  <c r="M1372" i="1"/>
  <c r="M1376" i="1"/>
  <c r="M1380" i="1"/>
  <c r="M1384" i="1"/>
  <c r="M1388" i="1"/>
  <c r="M1392" i="1"/>
  <c r="M1396" i="1"/>
  <c r="M1400" i="1"/>
  <c r="M1404" i="1"/>
  <c r="M1408" i="1"/>
  <c r="M1413" i="1"/>
  <c r="M1417" i="1"/>
  <c r="M1421" i="1"/>
  <c r="M1425" i="1"/>
  <c r="M1429" i="1"/>
  <c r="M1433" i="1"/>
  <c r="M1437" i="1"/>
  <c r="M1441" i="1"/>
  <c r="M1445" i="1"/>
  <c r="M1449" i="1"/>
  <c r="M1454" i="1"/>
  <c r="M1457" i="1"/>
  <c r="M1461" i="1"/>
  <c r="M1465" i="1"/>
  <c r="M1471" i="1"/>
  <c r="M1475" i="1"/>
  <c r="M1479" i="1"/>
  <c r="M1482" i="1"/>
  <c r="M344" i="1"/>
  <c r="M1485" i="1"/>
  <c r="M1489" i="1"/>
  <c r="M1494" i="1"/>
  <c r="M1499" i="1"/>
  <c r="M1503" i="1"/>
  <c r="M1507" i="1"/>
  <c r="M1513" i="1"/>
  <c r="M1509" i="1"/>
  <c r="M1519" i="1"/>
  <c r="M1523" i="1"/>
  <c r="M1527" i="1"/>
  <c r="M1531" i="1"/>
  <c r="M1536" i="1"/>
  <c r="M1139" i="1"/>
  <c r="M1542" i="1"/>
  <c r="M1546" i="1"/>
  <c r="M1550" i="1"/>
  <c r="M351" i="1"/>
  <c r="M907" i="1"/>
  <c r="M886" i="1"/>
  <c r="M1039" i="1"/>
  <c r="M1079" i="1"/>
  <c r="M1145" i="1"/>
  <c r="M1241" i="1"/>
  <c r="M1257" i="1"/>
  <c r="M1286" i="1"/>
  <c r="M1306" i="1"/>
  <c r="M1322" i="1"/>
  <c r="M1335" i="1"/>
  <c r="M1351" i="1"/>
  <c r="M1365" i="1"/>
  <c r="M1379" i="1"/>
  <c r="M1395" i="1"/>
  <c r="M1412" i="1"/>
  <c r="M1428" i="1"/>
  <c r="M1444" i="1"/>
  <c r="M1460" i="1"/>
  <c r="M1470" i="1"/>
  <c r="M343" i="1"/>
  <c r="M346" i="1"/>
  <c r="M1486" i="1"/>
  <c r="M1498" i="1"/>
  <c r="M1501" i="1"/>
  <c r="M1504" i="1"/>
  <c r="M1508" i="1"/>
  <c r="M1515" i="1"/>
  <c r="M1520" i="1"/>
  <c r="M1530" i="1"/>
  <c r="M1533" i="1"/>
  <c r="M1537" i="1"/>
  <c r="M1545" i="1"/>
  <c r="M1548" i="1"/>
  <c r="M464" i="1"/>
  <c r="M663" i="1"/>
  <c r="M554" i="1"/>
  <c r="M980" i="1"/>
  <c r="M1023" i="1"/>
  <c r="M1063" i="1"/>
  <c r="M1127" i="1"/>
  <c r="M1238" i="1"/>
  <c r="M1253" i="1"/>
  <c r="M1282" i="1"/>
  <c r="M1302" i="1"/>
  <c r="M1318" i="1"/>
  <c r="M1331" i="1"/>
  <c r="M1347" i="1"/>
  <c r="M1361" i="1"/>
  <c r="M1375" i="1"/>
  <c r="M1391" i="1"/>
  <c r="M1407" i="1"/>
  <c r="M1424" i="1"/>
  <c r="M1440" i="1"/>
  <c r="M1456" i="1"/>
  <c r="M1467" i="1"/>
  <c r="M1476" i="1"/>
  <c r="M794" i="1"/>
  <c r="M347" i="1"/>
  <c r="M1487" i="1"/>
  <c r="M1490" i="1"/>
  <c r="M1502" i="1"/>
  <c r="M1505" i="1"/>
  <c r="M1510" i="1"/>
  <c r="M1518" i="1"/>
  <c r="M1521" i="1"/>
  <c r="M1524" i="1"/>
  <c r="M1535" i="1"/>
  <c r="M1538" i="1"/>
  <c r="M1539" i="1"/>
  <c r="M1549" i="1"/>
  <c r="M608" i="1"/>
  <c r="M837" i="1"/>
  <c r="M942" i="1"/>
  <c r="M1007" i="1"/>
  <c r="M1111" i="1"/>
  <c r="M1179" i="1"/>
  <c r="M1207" i="1"/>
  <c r="M1218" i="1"/>
  <c r="M1221" i="1"/>
  <c r="M1224" i="1"/>
  <c r="M1234" i="1"/>
  <c r="M1249" i="1"/>
  <c r="M1265" i="1"/>
  <c r="M1277" i="1"/>
  <c r="M1298" i="1"/>
  <c r="M1314" i="1"/>
  <c r="M1328" i="1"/>
  <c r="M1343" i="1"/>
  <c r="M1359" i="1"/>
  <c r="M1371" i="1"/>
  <c r="M1387" i="1"/>
  <c r="M1403" i="1"/>
  <c r="M1420" i="1"/>
  <c r="M1436" i="1"/>
  <c r="M1453" i="1"/>
  <c r="M1474" i="1"/>
  <c r="M1478" i="1"/>
  <c r="M1480" i="1"/>
  <c r="M1483" i="1"/>
  <c r="M1488" i="1"/>
  <c r="M1491" i="1"/>
  <c r="M1496" i="1"/>
  <c r="M1506" i="1"/>
  <c r="M1511" i="1"/>
  <c r="M1516" i="1"/>
  <c r="M1522" i="1"/>
  <c r="M1525" i="1"/>
  <c r="M1528" i="1"/>
  <c r="M1140" i="1"/>
  <c r="M1540" i="1"/>
  <c r="M1543" i="1"/>
  <c r="M1310" i="1"/>
  <c r="M1339" i="1"/>
  <c r="M1399" i="1"/>
  <c r="M1464" i="1"/>
  <c r="M1492" i="1"/>
  <c r="M1497" i="1"/>
  <c r="M1500" i="1"/>
  <c r="M31" i="1"/>
  <c r="M1050" i="1"/>
  <c r="M1162" i="1"/>
  <c r="M1261" i="1"/>
  <c r="M1292" i="1"/>
  <c r="M1383" i="1"/>
  <c r="M1448" i="1"/>
  <c r="M1473" i="1"/>
  <c r="M1512" i="1"/>
  <c r="M1517" i="1"/>
  <c r="M1514" i="1"/>
  <c r="M807" i="1"/>
  <c r="M1095" i="1"/>
  <c r="M1199" i="1"/>
  <c r="M1245" i="1"/>
  <c r="M1273" i="1"/>
  <c r="M1369" i="1"/>
  <c r="M1432" i="1"/>
  <c r="M1526" i="1"/>
  <c r="M1529" i="1"/>
  <c r="M1532" i="1"/>
  <c r="M1230" i="1"/>
  <c r="M1326" i="1"/>
  <c r="M1355" i="1"/>
  <c r="M1416" i="1"/>
  <c r="M1481" i="1"/>
  <c r="M1484" i="1"/>
  <c r="M345" i="1"/>
  <c r="M1541" i="1"/>
  <c r="M1544" i="1"/>
  <c r="M1547" i="1"/>
  <c r="N667" i="1" l="1"/>
  <c r="N803" i="1"/>
  <c r="N582" i="1"/>
  <c r="N805" i="1"/>
  <c r="N802" i="1"/>
  <c r="N804" i="1"/>
  <c r="N791" i="1"/>
  <c r="N206" i="1"/>
  <c r="N555" i="1"/>
  <c r="N320" i="1"/>
  <c r="N1043" i="1"/>
  <c r="N17" i="1"/>
  <c r="N1044" i="1"/>
  <c r="N321" i="1"/>
  <c r="N1042" i="1"/>
  <c r="N316" i="1"/>
  <c r="N199" i="1"/>
  <c r="N201" i="1"/>
  <c r="N202" i="1"/>
  <c r="N200" i="1"/>
  <c r="N203" i="1"/>
  <c r="N910" i="1"/>
  <c r="N911" i="1"/>
  <c r="N650" i="1"/>
  <c r="N734" i="1"/>
  <c r="N26" i="1"/>
  <c r="N277" i="1"/>
  <c r="N380" i="1"/>
  <c r="N550" i="1"/>
  <c r="N1002" i="1"/>
  <c r="N953" i="1"/>
  <c r="N870" i="1"/>
  <c r="N280" i="1"/>
  <c r="N762" i="1"/>
  <c r="N763" i="1"/>
  <c r="N1214" i="1"/>
  <c r="N331" i="1"/>
  <c r="N954" i="1"/>
  <c r="N169" i="1"/>
  <c r="N479" i="1"/>
  <c r="N1279" i="1"/>
  <c r="N1495" i="1"/>
  <c r="N1493" i="1"/>
  <c r="N381" i="1"/>
  <c r="N27" i="1"/>
  <c r="N281" i="1"/>
  <c r="N956" i="1"/>
  <c r="N1451" i="1"/>
  <c r="N40" i="1"/>
  <c r="N1288" i="1"/>
  <c r="N28" i="1"/>
  <c r="N282" i="1"/>
  <c r="N957" i="1"/>
  <c r="N1289" i="1"/>
  <c r="N478" i="1"/>
  <c r="N1409" i="1"/>
  <c r="N871" i="1"/>
  <c r="N330" i="1"/>
  <c r="N955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N399" i="1"/>
  <c r="N1152" i="1"/>
  <c r="N986" i="1"/>
  <c r="N1041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03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297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54" i="1"/>
  <c r="N49" i="1"/>
  <c r="N114" i="1"/>
  <c r="N131" i="1"/>
  <c r="N137" i="1"/>
  <c r="N149" i="1"/>
  <c r="N157" i="1"/>
  <c r="N166" i="1"/>
  <c r="N175" i="1"/>
  <c r="N183" i="1"/>
  <c r="N191" i="1"/>
  <c r="N1296" i="1"/>
  <c r="N211" i="1"/>
  <c r="N215" i="1"/>
  <c r="N219" i="1"/>
  <c r="N224" i="1"/>
  <c r="N228" i="1"/>
  <c r="N232" i="1"/>
  <c r="N236" i="1"/>
  <c r="N240" i="1"/>
  <c r="N244" i="1"/>
  <c r="N248" i="1"/>
  <c r="N252" i="1"/>
  <c r="N256" i="1"/>
  <c r="N260" i="1"/>
  <c r="N262" i="1"/>
  <c r="N88" i="1"/>
  <c r="N143" i="1"/>
  <c r="N160" i="1"/>
  <c r="N177" i="1"/>
  <c r="N193" i="1"/>
  <c r="N212" i="1"/>
  <c r="N220" i="1"/>
  <c r="N225" i="1"/>
  <c r="N233" i="1"/>
  <c r="N241" i="1"/>
  <c r="N249" i="1"/>
  <c r="N257" i="1"/>
  <c r="N258" i="1"/>
  <c r="N261" i="1"/>
  <c r="N872" i="1"/>
  <c r="N263" i="1"/>
  <c r="N267" i="1"/>
  <c r="N271" i="1"/>
  <c r="N274" i="1"/>
  <c r="N279" i="1"/>
  <c r="N286" i="1"/>
  <c r="N290" i="1"/>
  <c r="N294" i="1"/>
  <c r="N298" i="1"/>
  <c r="N302" i="1"/>
  <c r="N306" i="1"/>
  <c r="N310" i="1"/>
  <c r="N314" i="1"/>
  <c r="N324" i="1"/>
  <c r="N328" i="1"/>
  <c r="N334" i="1"/>
  <c r="N338" i="1"/>
  <c r="N342" i="1"/>
  <c r="N351" i="1"/>
  <c r="N355" i="1"/>
  <c r="N359" i="1"/>
  <c r="N363" i="1"/>
  <c r="N367" i="1"/>
  <c r="N371" i="1"/>
  <c r="N375" i="1"/>
  <c r="N379" i="1"/>
  <c r="N385" i="1"/>
  <c r="N389" i="1"/>
  <c r="N393" i="1"/>
  <c r="N397" i="1"/>
  <c r="N402" i="1"/>
  <c r="N407" i="1"/>
  <c r="N412" i="1"/>
  <c r="N416" i="1"/>
  <c r="N420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65" i="1"/>
  <c r="N269" i="1"/>
  <c r="N273" i="1"/>
  <c r="N276" i="1"/>
  <c r="N284" i="1"/>
  <c r="N288" i="1"/>
  <c r="N292" i="1"/>
  <c r="N296" i="1"/>
  <c r="N300" i="1"/>
  <c r="N304" i="1"/>
  <c r="N308" i="1"/>
  <c r="N312" i="1"/>
  <c r="N317" i="1"/>
  <c r="N322" i="1"/>
  <c r="N326" i="1"/>
  <c r="N332" i="1"/>
  <c r="N336" i="1"/>
  <c r="N340" i="1"/>
  <c r="N349" i="1"/>
  <c r="N353" i="1"/>
  <c r="N357" i="1"/>
  <c r="N361" i="1"/>
  <c r="N365" i="1"/>
  <c r="N369" i="1"/>
  <c r="N373" i="1"/>
  <c r="N377" i="1"/>
  <c r="N383" i="1"/>
  <c r="N387" i="1"/>
  <c r="N391" i="1"/>
  <c r="N395" i="1"/>
  <c r="N400" i="1"/>
  <c r="N404" i="1"/>
  <c r="N410" i="1"/>
  <c r="N414" i="1"/>
  <c r="N418" i="1"/>
  <c r="N422" i="1"/>
  <c r="N173" i="1"/>
  <c r="N218" i="1"/>
  <c r="N239" i="1"/>
  <c r="N255" i="1"/>
  <c r="N259" i="1"/>
  <c r="N266" i="1"/>
  <c r="N748" i="1"/>
  <c r="N285" i="1"/>
  <c r="N293" i="1"/>
  <c r="N301" i="1"/>
  <c r="N309" i="1"/>
  <c r="N327" i="1"/>
  <c r="N337" i="1"/>
  <c r="N350" i="1"/>
  <c r="N358" i="1"/>
  <c r="N366" i="1"/>
  <c r="N374" i="1"/>
  <c r="N384" i="1"/>
  <c r="N392" i="1"/>
  <c r="N401" i="1"/>
  <c r="N411" i="1"/>
  <c r="N419" i="1"/>
  <c r="N421" i="1"/>
  <c r="N426" i="1"/>
  <c r="N430" i="1"/>
  <c r="N460" i="1"/>
  <c r="N434" i="1"/>
  <c r="N438" i="1"/>
  <c r="N444" i="1"/>
  <c r="N450" i="1"/>
  <c r="N454" i="1"/>
  <c r="N459" i="1"/>
  <c r="N464" i="1"/>
  <c r="N468" i="1"/>
  <c r="N472" i="1"/>
  <c r="N475" i="1"/>
  <c r="N481" i="1"/>
  <c r="N483" i="1"/>
  <c r="N488" i="1"/>
  <c r="N493" i="1"/>
  <c r="N497" i="1"/>
  <c r="N501" i="1"/>
  <c r="N505" i="1"/>
  <c r="N509" i="1"/>
  <c r="N513" i="1"/>
  <c r="N517" i="1"/>
  <c r="N521" i="1"/>
  <c r="N141" i="1"/>
  <c r="N155" i="1"/>
  <c r="N189" i="1"/>
  <c r="N210" i="1"/>
  <c r="N231" i="1"/>
  <c r="N247" i="1"/>
  <c r="N270" i="1"/>
  <c r="N278" i="1"/>
  <c r="N289" i="1"/>
  <c r="N297" i="1"/>
  <c r="N305" i="1"/>
  <c r="N313" i="1"/>
  <c r="N323" i="1"/>
  <c r="N333" i="1"/>
  <c r="N341" i="1"/>
  <c r="N354" i="1"/>
  <c r="N362" i="1"/>
  <c r="N370" i="1"/>
  <c r="N378" i="1"/>
  <c r="N388" i="1"/>
  <c r="N396" i="1"/>
  <c r="N405" i="1"/>
  <c r="N415" i="1"/>
  <c r="N424" i="1"/>
  <c r="N428" i="1"/>
  <c r="N432" i="1"/>
  <c r="N442" i="1"/>
  <c r="N436" i="1"/>
  <c r="N440" i="1"/>
  <c r="N446" i="1"/>
  <c r="N452" i="1"/>
  <c r="N456" i="1"/>
  <c r="N462" i="1"/>
  <c r="N466" i="1"/>
  <c r="N470" i="1"/>
  <c r="N473" i="1"/>
  <c r="N477" i="1"/>
  <c r="N484" i="1"/>
  <c r="N486" i="1"/>
  <c r="N491" i="1"/>
  <c r="N495" i="1"/>
  <c r="N499" i="1"/>
  <c r="N503" i="1"/>
  <c r="N507" i="1"/>
  <c r="N511" i="1"/>
  <c r="N515" i="1"/>
  <c r="N519" i="1"/>
  <c r="N523" i="1"/>
  <c r="N527" i="1"/>
  <c r="N103" i="1"/>
  <c r="N135" i="1"/>
  <c r="N164" i="1"/>
  <c r="N235" i="1"/>
  <c r="N272" i="1"/>
  <c r="N291" i="1"/>
  <c r="N307" i="1"/>
  <c r="N335" i="1"/>
  <c r="N356" i="1"/>
  <c r="N372" i="1"/>
  <c r="N390" i="1"/>
  <c r="N409" i="1"/>
  <c r="N429" i="1"/>
  <c r="N441" i="1"/>
  <c r="N443" i="1"/>
  <c r="N453" i="1"/>
  <c r="N463" i="1"/>
  <c r="N471" i="1"/>
  <c r="N480" i="1"/>
  <c r="N487" i="1"/>
  <c r="N496" i="1"/>
  <c r="N504" i="1"/>
  <c r="N512" i="1"/>
  <c r="N520" i="1"/>
  <c r="N109" i="1"/>
  <c r="N147" i="1"/>
  <c r="N227" i="1"/>
  <c r="N268" i="1"/>
  <c r="N287" i="1"/>
  <c r="N303" i="1"/>
  <c r="N329" i="1"/>
  <c r="N352" i="1"/>
  <c r="N368" i="1"/>
  <c r="N386" i="1"/>
  <c r="N403" i="1"/>
  <c r="N427" i="1"/>
  <c r="N461" i="1"/>
  <c r="N439" i="1"/>
  <c r="N451" i="1"/>
  <c r="N458" i="1"/>
  <c r="N469" i="1"/>
  <c r="N476" i="1"/>
  <c r="N485" i="1"/>
  <c r="N494" i="1"/>
  <c r="N502" i="1"/>
  <c r="N510" i="1"/>
  <c r="N518" i="1"/>
  <c r="N283" i="1"/>
  <c r="N315" i="1"/>
  <c r="N348" i="1"/>
  <c r="N382" i="1"/>
  <c r="N417" i="1"/>
  <c r="N433" i="1"/>
  <c r="N448" i="1"/>
  <c r="N467" i="1"/>
  <c r="N489" i="1"/>
  <c r="N500" i="1"/>
  <c r="N516" i="1"/>
  <c r="N525" i="1"/>
  <c r="N529" i="1"/>
  <c r="N543" i="1"/>
  <c r="N547" i="1"/>
  <c r="N552" i="1"/>
  <c r="N560" i="1"/>
  <c r="N564" i="1"/>
  <c r="N568" i="1"/>
  <c r="N572" i="1"/>
  <c r="N576" i="1"/>
  <c r="N579" i="1"/>
  <c r="N584" i="1"/>
  <c r="N588" i="1"/>
  <c r="N592" i="1"/>
  <c r="N596" i="1"/>
  <c r="N600" i="1"/>
  <c r="N604" i="1"/>
  <c r="N608" i="1"/>
  <c r="N612" i="1"/>
  <c r="N616" i="1"/>
  <c r="N620" i="1"/>
  <c r="N623" i="1"/>
  <c r="N627" i="1"/>
  <c r="N631" i="1"/>
  <c r="N638" i="1"/>
  <c r="N642" i="1"/>
  <c r="N646" i="1"/>
  <c r="N651" i="1"/>
  <c r="N654" i="1"/>
  <c r="N658" i="1"/>
  <c r="N663" i="1"/>
  <c r="N666" i="1"/>
  <c r="N670" i="1"/>
  <c r="N674" i="1"/>
  <c r="N275" i="1"/>
  <c r="N311" i="1"/>
  <c r="N339" i="1"/>
  <c r="N376" i="1"/>
  <c r="N413" i="1"/>
  <c r="N431" i="1"/>
  <c r="N445" i="1"/>
  <c r="N465" i="1"/>
  <c r="N482" i="1"/>
  <c r="N498" i="1"/>
  <c r="N514" i="1"/>
  <c r="N526" i="1"/>
  <c r="N528" i="1"/>
  <c r="N542" i="1"/>
  <c r="N546" i="1"/>
  <c r="N551" i="1"/>
  <c r="N559" i="1"/>
  <c r="N563" i="1"/>
  <c r="N567" i="1"/>
  <c r="N571" i="1"/>
  <c r="N575" i="1"/>
  <c r="N583" i="1"/>
  <c r="N587" i="1"/>
  <c r="N591" i="1"/>
  <c r="N595" i="1"/>
  <c r="N599" i="1"/>
  <c r="N603" i="1"/>
  <c r="N607" i="1"/>
  <c r="N611" i="1"/>
  <c r="N615" i="1"/>
  <c r="N619" i="1"/>
  <c r="N622" i="1"/>
  <c r="N626" i="1"/>
  <c r="N630" i="1"/>
  <c r="N637" i="1"/>
  <c r="N641" i="1"/>
  <c r="N645" i="1"/>
  <c r="N649" i="1"/>
  <c r="N406" i="1"/>
  <c r="N657" i="1"/>
  <c r="N661" i="1"/>
  <c r="N664" i="1"/>
  <c r="N669" i="1"/>
  <c r="N673" i="1"/>
  <c r="N197" i="1"/>
  <c r="N299" i="1"/>
  <c r="N364" i="1"/>
  <c r="N437" i="1"/>
  <c r="N474" i="1"/>
  <c r="N508" i="1"/>
  <c r="N534" i="1"/>
  <c r="N541" i="1"/>
  <c r="N549" i="1"/>
  <c r="N558" i="1"/>
  <c r="N566" i="1"/>
  <c r="N574" i="1"/>
  <c r="N581" i="1"/>
  <c r="N590" i="1"/>
  <c r="N598" i="1"/>
  <c r="N606" i="1"/>
  <c r="N614" i="1"/>
  <c r="N621" i="1"/>
  <c r="N629" i="1"/>
  <c r="N636" i="1"/>
  <c r="N644" i="1"/>
  <c r="N653" i="1"/>
  <c r="N660" i="1"/>
  <c r="N668" i="1"/>
  <c r="N676" i="1"/>
  <c r="N679" i="1"/>
  <c r="N683" i="1"/>
  <c r="N408" i="1"/>
  <c r="N691" i="1"/>
  <c r="N695" i="1"/>
  <c r="N697" i="1"/>
  <c r="N703" i="1"/>
  <c r="N708" i="1"/>
  <c r="N711" i="1"/>
  <c r="N718" i="1"/>
  <c r="N721" i="1"/>
  <c r="N725" i="1"/>
  <c r="N729" i="1"/>
  <c r="N733" i="1"/>
  <c r="N738" i="1"/>
  <c r="N742" i="1"/>
  <c r="N746" i="1"/>
  <c r="N751" i="1"/>
  <c r="N755" i="1"/>
  <c r="N759" i="1"/>
  <c r="N769" i="1"/>
  <c r="N777" i="1"/>
  <c r="N554" i="1"/>
  <c r="N783" i="1"/>
  <c r="N787" i="1"/>
  <c r="N789" i="1"/>
  <c r="N907" i="1"/>
  <c r="N795" i="1"/>
  <c r="N799" i="1"/>
  <c r="N807" i="1"/>
  <c r="N811" i="1"/>
  <c r="N813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4" i="1"/>
  <c r="N868" i="1"/>
  <c r="N874" i="1"/>
  <c r="N878" i="1"/>
  <c r="N882" i="1"/>
  <c r="N886" i="1"/>
  <c r="N890" i="1"/>
  <c r="N895" i="1"/>
  <c r="N899" i="1"/>
  <c r="N159" i="1"/>
  <c r="N917" i="1"/>
  <c r="N921" i="1"/>
  <c r="N926" i="1"/>
  <c r="N930" i="1"/>
  <c r="N934" i="1"/>
  <c r="N938" i="1"/>
  <c r="N942" i="1"/>
  <c r="N946" i="1"/>
  <c r="N950" i="1"/>
  <c r="N959" i="1"/>
  <c r="N963" i="1"/>
  <c r="N967" i="1"/>
  <c r="N971" i="1"/>
  <c r="N975" i="1"/>
  <c r="N980" i="1"/>
  <c r="N984" i="1"/>
  <c r="N989" i="1"/>
  <c r="N214" i="1"/>
  <c r="N251" i="1"/>
  <c r="N264" i="1"/>
  <c r="N325" i="1"/>
  <c r="N398" i="1"/>
  <c r="N425" i="1"/>
  <c r="N457" i="1"/>
  <c r="N492" i="1"/>
  <c r="N531" i="1"/>
  <c r="N545" i="1"/>
  <c r="N556" i="1"/>
  <c r="N562" i="1"/>
  <c r="N570" i="1"/>
  <c r="N586" i="1"/>
  <c r="N594" i="1"/>
  <c r="N602" i="1"/>
  <c r="N610" i="1"/>
  <c r="N618" i="1"/>
  <c r="N625" i="1"/>
  <c r="N633" i="1"/>
  <c r="N640" i="1"/>
  <c r="N648" i="1"/>
  <c r="N656" i="1"/>
  <c r="N662" i="1"/>
  <c r="N672" i="1"/>
  <c r="N677" i="1"/>
  <c r="N681" i="1"/>
  <c r="N685" i="1"/>
  <c r="N689" i="1"/>
  <c r="N693" i="1"/>
  <c r="N698" i="1"/>
  <c r="N701" i="1"/>
  <c r="N705" i="1"/>
  <c r="N710" i="1"/>
  <c r="N713" i="1"/>
  <c r="N716" i="1"/>
  <c r="N130" i="1"/>
  <c r="N723" i="1"/>
  <c r="N727" i="1"/>
  <c r="N731" i="1"/>
  <c r="N736" i="1"/>
  <c r="N740" i="1"/>
  <c r="N744" i="1"/>
  <c r="N749" i="1"/>
  <c r="N753" i="1"/>
  <c r="N757" i="1"/>
  <c r="N761" i="1"/>
  <c r="N771" i="1"/>
  <c r="N779" i="1"/>
  <c r="N781" i="1"/>
  <c r="N785" i="1"/>
  <c r="N904" i="1"/>
  <c r="N906" i="1"/>
  <c r="N792" i="1"/>
  <c r="N797" i="1"/>
  <c r="N801" i="1"/>
  <c r="N809" i="1"/>
  <c r="N5" i="1"/>
  <c r="N815" i="1"/>
  <c r="N819" i="1"/>
  <c r="N823" i="1"/>
  <c r="N827" i="1"/>
  <c r="N831" i="1"/>
  <c r="N835" i="1"/>
  <c r="N839" i="1"/>
  <c r="N843" i="1"/>
  <c r="N847" i="1"/>
  <c r="N851" i="1"/>
  <c r="N855" i="1"/>
  <c r="N859" i="1"/>
  <c r="N862" i="1"/>
  <c r="N865" i="1"/>
  <c r="N869" i="1"/>
  <c r="N876" i="1"/>
  <c r="N880" i="1"/>
  <c r="N884" i="1"/>
  <c r="N888" i="1"/>
  <c r="N893" i="1"/>
  <c r="N897" i="1"/>
  <c r="N901" i="1"/>
  <c r="N912" i="1"/>
  <c r="N915" i="1"/>
  <c r="N919" i="1"/>
  <c r="N924" i="1"/>
  <c r="N928" i="1"/>
  <c r="N932" i="1"/>
  <c r="N936" i="1"/>
  <c r="N940" i="1"/>
  <c r="N944" i="1"/>
  <c r="N948" i="1"/>
  <c r="N952" i="1"/>
  <c r="N961" i="1"/>
  <c r="N965" i="1"/>
  <c r="N969" i="1"/>
  <c r="N973" i="1"/>
  <c r="N977" i="1"/>
  <c r="N982" i="1"/>
  <c r="N987" i="1"/>
  <c r="N243" i="1"/>
  <c r="N394" i="1"/>
  <c r="N455" i="1"/>
  <c r="N522" i="1"/>
  <c r="N533" i="1"/>
  <c r="N538" i="1"/>
  <c r="N557" i="1"/>
  <c r="N573" i="1"/>
  <c r="N580" i="1"/>
  <c r="N597" i="1"/>
  <c r="N613" i="1"/>
  <c r="N628" i="1"/>
  <c r="N635" i="1"/>
  <c r="N652" i="1"/>
  <c r="N682" i="1"/>
  <c r="N690" i="1"/>
  <c r="N699" i="1"/>
  <c r="N707" i="1"/>
  <c r="N720" i="1"/>
  <c r="N728" i="1"/>
  <c r="N737" i="1"/>
  <c r="N745" i="1"/>
  <c r="N754" i="1"/>
  <c r="N768" i="1"/>
  <c r="N780" i="1"/>
  <c r="N786" i="1"/>
  <c r="N905" i="1"/>
  <c r="N793" i="1"/>
  <c r="N806" i="1"/>
  <c r="N449" i="1"/>
  <c r="N820" i="1"/>
  <c r="N828" i="1"/>
  <c r="N836" i="1"/>
  <c r="N844" i="1"/>
  <c r="N852" i="1"/>
  <c r="N860" i="1"/>
  <c r="N866" i="1"/>
  <c r="N877" i="1"/>
  <c r="N885" i="1"/>
  <c r="N894" i="1"/>
  <c r="N916" i="1"/>
  <c r="N925" i="1"/>
  <c r="N933" i="1"/>
  <c r="N941" i="1"/>
  <c r="N949" i="1"/>
  <c r="N962" i="1"/>
  <c r="N970" i="1"/>
  <c r="N978" i="1"/>
  <c r="N988" i="1"/>
  <c r="N990" i="1"/>
  <c r="N994" i="1"/>
  <c r="N998" i="1"/>
  <c r="N1003" i="1"/>
  <c r="N1007" i="1"/>
  <c r="N1011" i="1"/>
  <c r="N1015" i="1"/>
  <c r="N1019" i="1"/>
  <c r="N1023" i="1"/>
  <c r="N1027" i="1"/>
  <c r="N1029" i="1"/>
  <c r="N1035" i="1"/>
  <c r="N1039" i="1"/>
  <c r="N1047" i="1"/>
  <c r="N1050" i="1"/>
  <c r="N38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5" i="1"/>
  <c r="N1141" i="1"/>
  <c r="N1145" i="1"/>
  <c r="N1149" i="1"/>
  <c r="N1154" i="1"/>
  <c r="N1158" i="1"/>
  <c r="N1162" i="1"/>
  <c r="N1166" i="1"/>
  <c r="N1170" i="1"/>
  <c r="N1175" i="1"/>
  <c r="N1179" i="1"/>
  <c r="N1183" i="1"/>
  <c r="N1187" i="1"/>
  <c r="N1191" i="1"/>
  <c r="N319" i="1"/>
  <c r="N423" i="1"/>
  <c r="N490" i="1"/>
  <c r="N524" i="1"/>
  <c r="N548" i="1"/>
  <c r="N565" i="1"/>
  <c r="N589" i="1"/>
  <c r="N605" i="1"/>
  <c r="N1173" i="1"/>
  <c r="N643" i="1"/>
  <c r="N659" i="1"/>
  <c r="N675" i="1"/>
  <c r="N678" i="1"/>
  <c r="N686" i="1"/>
  <c r="N694" i="1"/>
  <c r="N702" i="1"/>
  <c r="N709" i="1"/>
  <c r="N717" i="1"/>
  <c r="N724" i="1"/>
  <c r="N732" i="1"/>
  <c r="N741" i="1"/>
  <c r="N750" i="1"/>
  <c r="N758" i="1"/>
  <c r="N775" i="1"/>
  <c r="N782" i="1"/>
  <c r="N788" i="1"/>
  <c r="N798" i="1"/>
  <c r="N810" i="1"/>
  <c r="N816" i="1"/>
  <c r="N824" i="1"/>
  <c r="N832" i="1"/>
  <c r="N840" i="1"/>
  <c r="N848" i="1"/>
  <c r="N856" i="1"/>
  <c r="N863" i="1"/>
  <c r="N873" i="1"/>
  <c r="N881" i="1"/>
  <c r="N889" i="1"/>
  <c r="N898" i="1"/>
  <c r="N913" i="1"/>
  <c r="N920" i="1"/>
  <c r="N929" i="1"/>
  <c r="N937" i="1"/>
  <c r="N945" i="1"/>
  <c r="N958" i="1"/>
  <c r="N966" i="1"/>
  <c r="N974" i="1"/>
  <c r="N983" i="1"/>
  <c r="N992" i="1"/>
  <c r="N996" i="1"/>
  <c r="N1000" i="1"/>
  <c r="N1005" i="1"/>
  <c r="N1009" i="1"/>
  <c r="N1013" i="1"/>
  <c r="N1017" i="1"/>
  <c r="N1021" i="1"/>
  <c r="N1025" i="1"/>
  <c r="N1030" i="1"/>
  <c r="N1033" i="1"/>
  <c r="N1037" i="1"/>
  <c r="N1045" i="1"/>
  <c r="N1053" i="1"/>
  <c r="N1055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3" i="1"/>
  <c r="N1147" i="1"/>
  <c r="N1151" i="1"/>
  <c r="N1156" i="1"/>
  <c r="N1160" i="1"/>
  <c r="N1164" i="1"/>
  <c r="N1168" i="1"/>
  <c r="N1172" i="1"/>
  <c r="N1177" i="1"/>
  <c r="N1181" i="1"/>
  <c r="N1185" i="1"/>
  <c r="N1189" i="1"/>
  <c r="N1193" i="1"/>
  <c r="N295" i="1"/>
  <c r="N435" i="1"/>
  <c r="N553" i="1"/>
  <c r="N569" i="1"/>
  <c r="N593" i="1"/>
  <c r="N624" i="1"/>
  <c r="N647" i="1"/>
  <c r="N680" i="1"/>
  <c r="N696" i="1"/>
  <c r="N712" i="1"/>
  <c r="N719" i="1"/>
  <c r="N735" i="1"/>
  <c r="N752" i="1"/>
  <c r="N778" i="1"/>
  <c r="N902" i="1"/>
  <c r="N800" i="1"/>
  <c r="N818" i="1"/>
  <c r="N834" i="1"/>
  <c r="N850" i="1"/>
  <c r="N883" i="1"/>
  <c r="N900" i="1"/>
  <c r="N923" i="1"/>
  <c r="N939" i="1"/>
  <c r="N960" i="1"/>
  <c r="N976" i="1"/>
  <c r="N993" i="1"/>
  <c r="N1001" i="1"/>
  <c r="N1010" i="1"/>
  <c r="N1018" i="1"/>
  <c r="N1026" i="1"/>
  <c r="N1034" i="1"/>
  <c r="N1054" i="1"/>
  <c r="N1058" i="1"/>
  <c r="N1066" i="1"/>
  <c r="N1074" i="1"/>
  <c r="N1082" i="1"/>
  <c r="N1090" i="1"/>
  <c r="N1098" i="1"/>
  <c r="N1106" i="1"/>
  <c r="N1114" i="1"/>
  <c r="N1122" i="1"/>
  <c r="N1130" i="1"/>
  <c r="N1138" i="1"/>
  <c r="N1148" i="1"/>
  <c r="N1157" i="1"/>
  <c r="N1165" i="1"/>
  <c r="N1174" i="1"/>
  <c r="N1182" i="1"/>
  <c r="N1190" i="1"/>
  <c r="N1469" i="1"/>
  <c r="N1197" i="1"/>
  <c r="N1201" i="1"/>
  <c r="N1205" i="1"/>
  <c r="N1209" i="1"/>
  <c r="N360" i="1"/>
  <c r="N506" i="1"/>
  <c r="N609" i="1"/>
  <c r="N665" i="1"/>
  <c r="N688" i="1"/>
  <c r="N704" i="1"/>
  <c r="N726" i="1"/>
  <c r="N743" i="1"/>
  <c r="N760" i="1"/>
  <c r="N784" i="1"/>
  <c r="N790" i="1"/>
  <c r="N812" i="1"/>
  <c r="N826" i="1"/>
  <c r="N842" i="1"/>
  <c r="N858" i="1"/>
  <c r="N867" i="1"/>
  <c r="N875" i="1"/>
  <c r="N892" i="1"/>
  <c r="N914" i="1"/>
  <c r="N931" i="1"/>
  <c r="N947" i="1"/>
  <c r="N968" i="1"/>
  <c r="N985" i="1"/>
  <c r="N997" i="1"/>
  <c r="N1006" i="1"/>
  <c r="N1014" i="1"/>
  <c r="N1022" i="1"/>
  <c r="N1031" i="1"/>
  <c r="N1038" i="1"/>
  <c r="N1049" i="1"/>
  <c r="N1056" i="1"/>
  <c r="N1062" i="1"/>
  <c r="N1070" i="1"/>
  <c r="N1078" i="1"/>
  <c r="N1086" i="1"/>
  <c r="N1094" i="1"/>
  <c r="N1102" i="1"/>
  <c r="N1110" i="1"/>
  <c r="N1118" i="1"/>
  <c r="N1126" i="1"/>
  <c r="N1134" i="1"/>
  <c r="N1144" i="1"/>
  <c r="N1153" i="1"/>
  <c r="N1161" i="1"/>
  <c r="N1169" i="1"/>
  <c r="N1178" i="1"/>
  <c r="N1186" i="1"/>
  <c r="N1195" i="1"/>
  <c r="N1199" i="1"/>
  <c r="N1203" i="1"/>
  <c r="N1207" i="1"/>
  <c r="N1211" i="1"/>
  <c r="N1216" i="1"/>
  <c r="N1220" i="1"/>
  <c r="N1224" i="1"/>
  <c r="N687" i="1"/>
  <c r="N530" i="1"/>
  <c r="N577" i="1"/>
  <c r="N601" i="1"/>
  <c r="N632" i="1"/>
  <c r="N655" i="1"/>
  <c r="N684" i="1"/>
  <c r="N700" i="1"/>
  <c r="N722" i="1"/>
  <c r="N739" i="1"/>
  <c r="N756" i="1"/>
  <c r="N181" i="1"/>
  <c r="N706" i="1"/>
  <c r="N770" i="1"/>
  <c r="N1330" i="1"/>
  <c r="N908" i="1"/>
  <c r="N808" i="1"/>
  <c r="N838" i="1"/>
  <c r="N887" i="1"/>
  <c r="N909" i="1"/>
  <c r="N943" i="1"/>
  <c r="N981" i="1"/>
  <c r="N995" i="1"/>
  <c r="N1012" i="1"/>
  <c r="N1028" i="1"/>
  <c r="N1048" i="1"/>
  <c r="N1068" i="1"/>
  <c r="N1084" i="1"/>
  <c r="N1100" i="1"/>
  <c r="N1116" i="1"/>
  <c r="N1132" i="1"/>
  <c r="N1150" i="1"/>
  <c r="N1167" i="1"/>
  <c r="N1184" i="1"/>
  <c r="N1198" i="1"/>
  <c r="N1206" i="1"/>
  <c r="N1215" i="1"/>
  <c r="N1218" i="1"/>
  <c r="N1221" i="1"/>
  <c r="N1230" i="1"/>
  <c r="N1234" i="1"/>
  <c r="N1238" i="1"/>
  <c r="N1241" i="1"/>
  <c r="N1245" i="1"/>
  <c r="N1249" i="1"/>
  <c r="N1253" i="1"/>
  <c r="N1257" i="1"/>
  <c r="N1261" i="1"/>
  <c r="N1265" i="1"/>
  <c r="N1273" i="1"/>
  <c r="N1277" i="1"/>
  <c r="N1282" i="1"/>
  <c r="N1286" i="1"/>
  <c r="N1292" i="1"/>
  <c r="N1298" i="1"/>
  <c r="N1302" i="1"/>
  <c r="N1306" i="1"/>
  <c r="N1310" i="1"/>
  <c r="N1314" i="1"/>
  <c r="N1318" i="1"/>
  <c r="N1322" i="1"/>
  <c r="N1331" i="1"/>
  <c r="N1335" i="1"/>
  <c r="N1339" i="1"/>
  <c r="N1343" i="1"/>
  <c r="N1347" i="1"/>
  <c r="N1351" i="1"/>
  <c r="N1355" i="1"/>
  <c r="N1359" i="1"/>
  <c r="N1361" i="1"/>
  <c r="N1365" i="1"/>
  <c r="N1369" i="1"/>
  <c r="N1371" i="1"/>
  <c r="N1375" i="1"/>
  <c r="N1379" i="1"/>
  <c r="N1383" i="1"/>
  <c r="N1387" i="1"/>
  <c r="N1391" i="1"/>
  <c r="N1395" i="1"/>
  <c r="N1399" i="1"/>
  <c r="N1403" i="1"/>
  <c r="N1407" i="1"/>
  <c r="N1412" i="1"/>
  <c r="N1416" i="1"/>
  <c r="N1420" i="1"/>
  <c r="N1424" i="1"/>
  <c r="N1428" i="1"/>
  <c r="N1432" i="1"/>
  <c r="N1436" i="1"/>
  <c r="N1440" i="1"/>
  <c r="N1444" i="1"/>
  <c r="N1448" i="1"/>
  <c r="N1453" i="1"/>
  <c r="N1456" i="1"/>
  <c r="N1460" i="1"/>
  <c r="N1464" i="1"/>
  <c r="N561" i="1"/>
  <c r="N617" i="1"/>
  <c r="N671" i="1"/>
  <c r="N692" i="1"/>
  <c r="N747" i="1"/>
  <c r="N796" i="1"/>
  <c r="N830" i="1"/>
  <c r="N879" i="1"/>
  <c r="N935" i="1"/>
  <c r="N972" i="1"/>
  <c r="N991" i="1"/>
  <c r="N1008" i="1"/>
  <c r="N1024" i="1"/>
  <c r="N1040" i="1"/>
  <c r="N1051" i="1"/>
  <c r="N1064" i="1"/>
  <c r="N1080" i="1"/>
  <c r="N1096" i="1"/>
  <c r="N1112" i="1"/>
  <c r="N1128" i="1"/>
  <c r="N1146" i="1"/>
  <c r="N1163" i="1"/>
  <c r="N1180" i="1"/>
  <c r="N1196" i="1"/>
  <c r="N1204" i="1"/>
  <c r="N1219" i="1"/>
  <c r="N1222" i="1"/>
  <c r="N1225" i="1"/>
  <c r="N1229" i="1"/>
  <c r="N1233" i="1"/>
  <c r="N1236" i="1"/>
  <c r="N1240" i="1"/>
  <c r="N1244" i="1"/>
  <c r="N1248" i="1"/>
  <c r="N1252" i="1"/>
  <c r="N1256" i="1"/>
  <c r="N1260" i="1"/>
  <c r="N1264" i="1"/>
  <c r="N1272" i="1"/>
  <c r="N1276" i="1"/>
  <c r="N1281" i="1"/>
  <c r="N1285" i="1"/>
  <c r="N1291" i="1"/>
  <c r="N1295" i="1"/>
  <c r="N1301" i="1"/>
  <c r="N1305" i="1"/>
  <c r="N1309" i="1"/>
  <c r="N1313" i="1"/>
  <c r="N1317" i="1"/>
  <c r="N1321" i="1"/>
  <c r="N1325" i="1"/>
  <c r="N1334" i="1"/>
  <c r="N1338" i="1"/>
  <c r="N1342" i="1"/>
  <c r="N1346" i="1"/>
  <c r="N1350" i="1"/>
  <c r="N1354" i="1"/>
  <c r="N1358" i="1"/>
  <c r="N1360" i="1"/>
  <c r="N1364" i="1"/>
  <c r="N1368" i="1"/>
  <c r="N1370" i="1"/>
  <c r="N1374" i="1"/>
  <c r="N1378" i="1"/>
  <c r="N1382" i="1"/>
  <c r="N1386" i="1"/>
  <c r="N1390" i="1"/>
  <c r="N1394" i="1"/>
  <c r="N1398" i="1"/>
  <c r="N1402" i="1"/>
  <c r="N1406" i="1"/>
  <c r="N1411" i="1"/>
  <c r="N1415" i="1"/>
  <c r="N1419" i="1"/>
  <c r="N1423" i="1"/>
  <c r="N1427" i="1"/>
  <c r="N1431" i="1"/>
  <c r="N1435" i="1"/>
  <c r="N1439" i="1"/>
  <c r="N1443" i="1"/>
  <c r="N1447" i="1"/>
  <c r="N1452" i="1"/>
  <c r="N1455" i="1"/>
  <c r="N1459" i="1"/>
  <c r="N1463" i="1"/>
  <c r="N1467" i="1"/>
  <c r="N1473" i="1"/>
  <c r="N544" i="1"/>
  <c r="N585" i="1"/>
  <c r="N639" i="1"/>
  <c r="N730" i="1"/>
  <c r="N822" i="1"/>
  <c r="N854" i="1"/>
  <c r="N927" i="1"/>
  <c r="N964" i="1"/>
  <c r="N1004" i="1"/>
  <c r="N1020" i="1"/>
  <c r="N1036" i="1"/>
  <c r="N1060" i="1"/>
  <c r="N1076" i="1"/>
  <c r="N1092" i="1"/>
  <c r="N1108" i="1"/>
  <c r="N1124" i="1"/>
  <c r="N1142" i="1"/>
  <c r="N1159" i="1"/>
  <c r="N1176" i="1"/>
  <c r="N1192" i="1"/>
  <c r="N1194" i="1"/>
  <c r="N1202" i="1"/>
  <c r="N1212" i="1"/>
  <c r="N1223" i="1"/>
  <c r="N1226" i="1"/>
  <c r="N1228" i="1"/>
  <c r="N1232" i="1"/>
  <c r="N1237" i="1"/>
  <c r="N1239" i="1"/>
  <c r="N1243" i="1"/>
  <c r="N1247" i="1"/>
  <c r="N1251" i="1"/>
  <c r="N1255" i="1"/>
  <c r="N1259" i="1"/>
  <c r="N1263" i="1"/>
  <c r="N1267" i="1"/>
  <c r="N1275" i="1"/>
  <c r="N1280" i="1"/>
  <c r="N1284" i="1"/>
  <c r="N1290" i="1"/>
  <c r="N1294" i="1"/>
  <c r="N1300" i="1"/>
  <c r="N1304" i="1"/>
  <c r="N1308" i="1"/>
  <c r="N1312" i="1"/>
  <c r="N1316" i="1"/>
  <c r="N1320" i="1"/>
  <c r="N1324" i="1"/>
  <c r="N1333" i="1"/>
  <c r="N1337" i="1"/>
  <c r="N1341" i="1"/>
  <c r="N1345" i="1"/>
  <c r="N1349" i="1"/>
  <c r="N1353" i="1"/>
  <c r="N1357" i="1"/>
  <c r="N540" i="1"/>
  <c r="N1363" i="1"/>
  <c r="N1367" i="1"/>
  <c r="N1052" i="1"/>
  <c r="N1373" i="1"/>
  <c r="N1377" i="1"/>
  <c r="N1381" i="1"/>
  <c r="N1385" i="1"/>
  <c r="N1389" i="1"/>
  <c r="N1393" i="1"/>
  <c r="N1397" i="1"/>
  <c r="N1401" i="1"/>
  <c r="N1405" i="1"/>
  <c r="N1410" i="1"/>
  <c r="N1414" i="1"/>
  <c r="N1418" i="1"/>
  <c r="N1422" i="1"/>
  <c r="N1426" i="1"/>
  <c r="N1430" i="1"/>
  <c r="N1434" i="1"/>
  <c r="N1438" i="1"/>
  <c r="N1442" i="1"/>
  <c r="N1446" i="1"/>
  <c r="N1450" i="1"/>
  <c r="N1534" i="1"/>
  <c r="N1458" i="1"/>
  <c r="N1462" i="1"/>
  <c r="N1466" i="1"/>
  <c r="N1472" i="1"/>
  <c r="N1477" i="1"/>
  <c r="N794" i="1"/>
  <c r="N1483" i="1"/>
  <c r="N345" i="1"/>
  <c r="N1486" i="1"/>
  <c r="N1490" i="1"/>
  <c r="N1496" i="1"/>
  <c r="N1500" i="1"/>
  <c r="N1504" i="1"/>
  <c r="N1510" i="1"/>
  <c r="N1516" i="1"/>
  <c r="N1514" i="1"/>
  <c r="N1520" i="1"/>
  <c r="N1524" i="1"/>
  <c r="N1528" i="1"/>
  <c r="N1532" i="1"/>
  <c r="N1537" i="1"/>
  <c r="N1539" i="1"/>
  <c r="N1543" i="1"/>
  <c r="N1547" i="1"/>
  <c r="N846" i="1"/>
  <c r="N951" i="1"/>
  <c r="N1088" i="1"/>
  <c r="N1155" i="1"/>
  <c r="N1200" i="1"/>
  <c r="N1235" i="1"/>
  <c r="N1250" i="1"/>
  <c r="N1266" i="1"/>
  <c r="N1278" i="1"/>
  <c r="N1299" i="1"/>
  <c r="N1315" i="1"/>
  <c r="N1344" i="1"/>
  <c r="N539" i="1"/>
  <c r="N1372" i="1"/>
  <c r="N1388" i="1"/>
  <c r="N1404" i="1"/>
  <c r="N1421" i="1"/>
  <c r="N1437" i="1"/>
  <c r="N1454" i="1"/>
  <c r="N1471" i="1"/>
  <c r="N1479" i="1"/>
  <c r="N1481" i="1"/>
  <c r="N1484" i="1"/>
  <c r="N1489" i="1"/>
  <c r="N1492" i="1"/>
  <c r="N1497" i="1"/>
  <c r="N1507" i="1"/>
  <c r="N1512" i="1"/>
  <c r="N1517" i="1"/>
  <c r="N1523" i="1"/>
  <c r="N1526" i="1"/>
  <c r="N1529" i="1"/>
  <c r="N1139" i="1"/>
  <c r="N1541" i="1"/>
  <c r="N1544" i="1"/>
  <c r="N31" i="1"/>
  <c r="N814" i="1"/>
  <c r="N918" i="1"/>
  <c r="N1032" i="1"/>
  <c r="N1072" i="1"/>
  <c r="N1136" i="1"/>
  <c r="N1468" i="1"/>
  <c r="N1210" i="1"/>
  <c r="N1213" i="1"/>
  <c r="N1217" i="1"/>
  <c r="N1231" i="1"/>
  <c r="N1246" i="1"/>
  <c r="N1262" i="1"/>
  <c r="N1274" i="1"/>
  <c r="N1293" i="1"/>
  <c r="N1311" i="1"/>
  <c r="N1340" i="1"/>
  <c r="N1356" i="1"/>
  <c r="N447" i="1"/>
  <c r="N1384" i="1"/>
  <c r="N1400" i="1"/>
  <c r="N1417" i="1"/>
  <c r="N1433" i="1"/>
  <c r="N1449" i="1"/>
  <c r="N1465" i="1"/>
  <c r="N1470" i="1"/>
  <c r="N1482" i="1"/>
  <c r="N343" i="1"/>
  <c r="N346" i="1"/>
  <c r="N1494" i="1"/>
  <c r="N1498" i="1"/>
  <c r="N1501" i="1"/>
  <c r="N1513" i="1"/>
  <c r="N1508" i="1"/>
  <c r="N1515" i="1"/>
  <c r="N1527" i="1"/>
  <c r="N1530" i="1"/>
  <c r="N1533" i="1"/>
  <c r="N1542" i="1"/>
  <c r="N1545" i="1"/>
  <c r="N1548" i="1"/>
  <c r="N715" i="1"/>
  <c r="N896" i="1"/>
  <c r="N1016" i="1"/>
  <c r="N922" i="1"/>
  <c r="N1120" i="1"/>
  <c r="N1188" i="1"/>
  <c r="N1227" i="1"/>
  <c r="N1242" i="1"/>
  <c r="N1258" i="1"/>
  <c r="N1287" i="1"/>
  <c r="N1307" i="1"/>
  <c r="N1323" i="1"/>
  <c r="N1336" i="1"/>
  <c r="N1352" i="1"/>
  <c r="N1366" i="1"/>
  <c r="N1380" i="1"/>
  <c r="N1396" i="1"/>
  <c r="N1413" i="1"/>
  <c r="N1429" i="1"/>
  <c r="N1445" i="1"/>
  <c r="N1461" i="1"/>
  <c r="N1475" i="1"/>
  <c r="N1476" i="1"/>
  <c r="N344" i="1"/>
  <c r="N347" i="1"/>
  <c r="N1487" i="1"/>
  <c r="N1499" i="1"/>
  <c r="N1502" i="1"/>
  <c r="N1505" i="1"/>
  <c r="N1509" i="1"/>
  <c r="N1518" i="1"/>
  <c r="N1521" i="1"/>
  <c r="N1531" i="1"/>
  <c r="N1535" i="1"/>
  <c r="N1538" i="1"/>
  <c r="N1546" i="1"/>
  <c r="N1549" i="1"/>
  <c r="N999" i="1"/>
  <c r="N1208" i="1"/>
  <c r="N1319" i="1"/>
  <c r="N1348" i="1"/>
  <c r="N1408" i="1"/>
  <c r="N1503" i="1"/>
  <c r="N1506" i="1"/>
  <c r="N1511" i="1"/>
  <c r="N1303" i="1"/>
  <c r="N1332" i="1"/>
  <c r="N1392" i="1"/>
  <c r="N1457" i="1"/>
  <c r="N1519" i="1"/>
  <c r="N1522" i="1"/>
  <c r="N1525" i="1"/>
  <c r="N1171" i="1"/>
  <c r="N1254" i="1"/>
  <c r="N1283" i="1"/>
  <c r="N1376" i="1"/>
  <c r="N1441" i="1"/>
  <c r="N1474" i="1"/>
  <c r="N1478" i="1"/>
  <c r="N1480" i="1"/>
  <c r="N1536" i="1"/>
  <c r="N1140" i="1"/>
  <c r="N1540" i="1"/>
  <c r="N1104" i="1"/>
  <c r="N112" i="1"/>
  <c r="N1362" i="1"/>
  <c r="N1425" i="1"/>
  <c r="N1485" i="1"/>
  <c r="N1488" i="1"/>
  <c r="N1491" i="1"/>
  <c r="N1550" i="1"/>
  <c r="F667" i="1" l="1"/>
  <c r="E803" i="1" l="1"/>
  <c r="F803" i="1"/>
  <c r="E802" i="1"/>
  <c r="F802" i="1"/>
  <c r="E805" i="1"/>
  <c r="F805" i="1"/>
  <c r="E804" i="1"/>
  <c r="F804" i="1"/>
  <c r="F582" i="1"/>
  <c r="E582" i="1"/>
  <c r="F206" i="1" l="1"/>
  <c r="F791" i="1"/>
  <c r="F555" i="1" l="1"/>
  <c r="E555" i="1"/>
  <c r="F17" i="1" l="1"/>
  <c r="E17" i="1"/>
  <c r="E320" i="1"/>
  <c r="F320" i="1"/>
  <c r="G320" i="1"/>
  <c r="E321" i="1"/>
  <c r="F321" i="1"/>
  <c r="G321" i="1"/>
  <c r="G1044" i="1"/>
  <c r="F1044" i="1"/>
  <c r="G1043" i="1"/>
  <c r="F1043" i="1"/>
  <c r="G1042" i="1"/>
  <c r="F1042" i="1"/>
  <c r="F316" i="1" l="1"/>
  <c r="F201" i="1" l="1"/>
  <c r="F200" i="1"/>
  <c r="F199" i="1"/>
  <c r="F202" i="1"/>
  <c r="F203" i="1"/>
  <c r="E203" i="1"/>
  <c r="E202" i="1"/>
  <c r="E199" i="1"/>
  <c r="E200" i="1"/>
  <c r="E201" i="1"/>
  <c r="F911" i="1" l="1"/>
  <c r="F910" i="1"/>
  <c r="F650" i="1" l="1"/>
  <c r="F734" i="1" l="1"/>
  <c r="E734" i="1"/>
  <c r="F1495" i="1" l="1"/>
  <c r="F1288" i="1"/>
  <c r="F1289" i="1"/>
  <c r="F1279" i="1"/>
  <c r="F955" i="1"/>
  <c r="E955" i="1"/>
  <c r="F954" i="1"/>
  <c r="E954" i="1"/>
  <c r="F953" i="1"/>
  <c r="E953" i="1"/>
  <c r="F381" i="1"/>
  <c r="E381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70" i="1"/>
  <c r="F870" i="1"/>
  <c r="E871" i="1"/>
  <c r="F871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03" i="1"/>
  <c r="F903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296" i="1"/>
  <c r="F1296" i="1"/>
  <c r="E1297" i="1"/>
  <c r="F1297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872" i="1"/>
  <c r="F872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748" i="1"/>
  <c r="F748" i="1"/>
  <c r="E274" i="1"/>
  <c r="F274" i="1"/>
  <c r="E275" i="1"/>
  <c r="F275" i="1"/>
  <c r="E276" i="1"/>
  <c r="F276" i="1"/>
  <c r="E277" i="1"/>
  <c r="F277" i="1"/>
  <c r="E280" i="1"/>
  <c r="F280" i="1"/>
  <c r="E281" i="1"/>
  <c r="F281" i="1"/>
  <c r="E282" i="1"/>
  <c r="F282" i="1"/>
  <c r="E278" i="1"/>
  <c r="F278" i="1"/>
  <c r="E279" i="1"/>
  <c r="F279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F311" i="1"/>
  <c r="E312" i="1"/>
  <c r="F312" i="1"/>
  <c r="E313" i="1"/>
  <c r="F313" i="1"/>
  <c r="E314" i="1"/>
  <c r="F314" i="1"/>
  <c r="E315" i="1"/>
  <c r="F315" i="1"/>
  <c r="E317" i="1"/>
  <c r="F317" i="1"/>
  <c r="E318" i="1"/>
  <c r="F318" i="1"/>
  <c r="E319" i="1"/>
  <c r="F319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F425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60" i="1"/>
  <c r="F460" i="1"/>
  <c r="E461" i="1"/>
  <c r="F461" i="1"/>
  <c r="E762" i="1"/>
  <c r="F762" i="1"/>
  <c r="E442" i="1"/>
  <c r="F442" i="1"/>
  <c r="E441" i="1"/>
  <c r="F441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3" i="1"/>
  <c r="F443" i="1"/>
  <c r="E444" i="1"/>
  <c r="F444" i="1"/>
  <c r="E445" i="1"/>
  <c r="F445" i="1"/>
  <c r="E446" i="1"/>
  <c r="F446" i="1"/>
  <c r="E448" i="1"/>
  <c r="F448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9" i="1"/>
  <c r="F459" i="1"/>
  <c r="E458" i="1"/>
  <c r="F458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687" i="1"/>
  <c r="F687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4" i="1"/>
  <c r="F484" i="1"/>
  <c r="E489" i="1"/>
  <c r="F489" i="1"/>
  <c r="E483" i="1"/>
  <c r="F483" i="1"/>
  <c r="E485" i="1"/>
  <c r="F485" i="1"/>
  <c r="E486" i="1"/>
  <c r="F486" i="1"/>
  <c r="E487" i="1"/>
  <c r="F487" i="1"/>
  <c r="E488" i="1"/>
  <c r="F488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F550" i="1"/>
  <c r="E551" i="1"/>
  <c r="F551" i="1"/>
  <c r="E552" i="1"/>
  <c r="F552" i="1"/>
  <c r="E553" i="1"/>
  <c r="F553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F595" i="1"/>
  <c r="F596" i="1"/>
  <c r="F597" i="1"/>
  <c r="E598" i="1"/>
  <c r="F598" i="1"/>
  <c r="E599" i="1"/>
  <c r="F599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1173" i="1"/>
  <c r="F1173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1" i="1"/>
  <c r="F651" i="1"/>
  <c r="E652" i="1"/>
  <c r="F652" i="1"/>
  <c r="E653" i="1"/>
  <c r="F653" i="1"/>
  <c r="E406" i="1"/>
  <c r="F406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3" i="1"/>
  <c r="F663" i="1"/>
  <c r="E665" i="1"/>
  <c r="F665" i="1"/>
  <c r="E662" i="1"/>
  <c r="F662" i="1"/>
  <c r="E664" i="1"/>
  <c r="F664" i="1"/>
  <c r="E666" i="1"/>
  <c r="F666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408" i="1"/>
  <c r="F408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8" i="1"/>
  <c r="F698" i="1"/>
  <c r="E699" i="1"/>
  <c r="F699" i="1"/>
  <c r="E697" i="1"/>
  <c r="F697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7" i="1"/>
  <c r="F707" i="1"/>
  <c r="E708" i="1"/>
  <c r="F708" i="1"/>
  <c r="E706" i="1"/>
  <c r="F706" i="1"/>
  <c r="E710" i="1"/>
  <c r="F710" i="1"/>
  <c r="E709" i="1"/>
  <c r="F709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130" i="1"/>
  <c r="F130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5" i="1"/>
  <c r="F735" i="1"/>
  <c r="E736" i="1"/>
  <c r="F736" i="1"/>
  <c r="E737" i="1"/>
  <c r="F737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3" i="1"/>
  <c r="F763" i="1"/>
  <c r="E768" i="1"/>
  <c r="F768" i="1"/>
  <c r="E769" i="1"/>
  <c r="F769" i="1"/>
  <c r="E770" i="1"/>
  <c r="F770" i="1"/>
  <c r="E771" i="1"/>
  <c r="F771" i="1"/>
  <c r="E775" i="1"/>
  <c r="F775" i="1"/>
  <c r="E764" i="1"/>
  <c r="F764" i="1"/>
  <c r="E765" i="1"/>
  <c r="F765" i="1"/>
  <c r="E766" i="1"/>
  <c r="F766" i="1"/>
  <c r="E767" i="1"/>
  <c r="F767" i="1"/>
  <c r="E772" i="1"/>
  <c r="F772" i="1"/>
  <c r="E773" i="1"/>
  <c r="F773" i="1"/>
  <c r="E774" i="1"/>
  <c r="F774" i="1"/>
  <c r="E776" i="1"/>
  <c r="F776" i="1"/>
  <c r="E777" i="1"/>
  <c r="F777" i="1"/>
  <c r="E778" i="1"/>
  <c r="F778" i="1"/>
  <c r="E779" i="1"/>
  <c r="F779" i="1"/>
  <c r="E780" i="1"/>
  <c r="F780" i="1"/>
  <c r="E554" i="1"/>
  <c r="F554" i="1"/>
  <c r="E1330" i="1"/>
  <c r="F133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F789" i="1"/>
  <c r="F902" i="1"/>
  <c r="E904" i="1"/>
  <c r="F904" i="1"/>
  <c r="E905" i="1"/>
  <c r="F905" i="1"/>
  <c r="E907" i="1"/>
  <c r="F907" i="1"/>
  <c r="E908" i="1"/>
  <c r="F908" i="1"/>
  <c r="E906" i="1"/>
  <c r="F906" i="1"/>
  <c r="F790" i="1"/>
  <c r="E792" i="1"/>
  <c r="F792" i="1"/>
  <c r="E793" i="1"/>
  <c r="F793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5" i="1"/>
  <c r="F5" i="1"/>
  <c r="E449" i="1"/>
  <c r="F449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F845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7" i="1"/>
  <c r="F867" i="1"/>
  <c r="E865" i="1"/>
  <c r="F865" i="1"/>
  <c r="E866" i="1"/>
  <c r="F866" i="1"/>
  <c r="E868" i="1"/>
  <c r="F868" i="1"/>
  <c r="E869" i="1"/>
  <c r="F869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9" i="1"/>
  <c r="F909" i="1"/>
  <c r="E912" i="1"/>
  <c r="F912" i="1"/>
  <c r="E913" i="1"/>
  <c r="F913" i="1"/>
  <c r="E159" i="1"/>
  <c r="F159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F966" i="1"/>
  <c r="F967" i="1"/>
  <c r="F968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80" i="1"/>
  <c r="F980" i="1"/>
  <c r="E981" i="1"/>
  <c r="F981" i="1"/>
  <c r="F982" i="1"/>
  <c r="F983" i="1"/>
  <c r="F984" i="1"/>
  <c r="F985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F1022" i="1"/>
  <c r="F1023" i="1"/>
  <c r="F1024" i="1"/>
  <c r="F1025" i="1"/>
  <c r="E1026" i="1"/>
  <c r="F1026" i="1"/>
  <c r="E1027" i="1"/>
  <c r="F1027" i="1"/>
  <c r="E1028" i="1"/>
  <c r="F1028" i="1"/>
  <c r="E1030" i="1"/>
  <c r="F1030" i="1"/>
  <c r="E1031" i="1"/>
  <c r="F1031" i="1"/>
  <c r="E1029" i="1"/>
  <c r="F1029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5" i="1"/>
  <c r="F1045" i="1"/>
  <c r="E1046" i="1"/>
  <c r="F1046" i="1"/>
  <c r="E1047" i="1"/>
  <c r="F1047" i="1"/>
  <c r="E1049" i="1"/>
  <c r="F1049" i="1"/>
  <c r="E1050" i="1"/>
  <c r="F1050" i="1"/>
  <c r="E1051" i="1"/>
  <c r="F1051" i="1"/>
  <c r="E1053" i="1"/>
  <c r="F1053" i="1"/>
  <c r="E1054" i="1"/>
  <c r="F1054" i="1"/>
  <c r="E1055" i="1"/>
  <c r="F1055" i="1"/>
  <c r="E1056" i="1"/>
  <c r="F1056" i="1"/>
  <c r="E38" i="1"/>
  <c r="F38" i="1"/>
  <c r="E922" i="1"/>
  <c r="F922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F1065" i="1"/>
  <c r="E1066" i="1"/>
  <c r="F1066" i="1"/>
  <c r="F1067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F1166" i="1"/>
  <c r="F1167" i="1"/>
  <c r="F1168" i="1"/>
  <c r="F1169" i="1"/>
  <c r="F1170" i="1"/>
  <c r="E1171" i="1"/>
  <c r="F1171" i="1"/>
  <c r="E1172" i="1"/>
  <c r="F1172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468" i="1"/>
  <c r="F1468" i="1"/>
  <c r="E1469" i="1"/>
  <c r="F1469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7" i="1"/>
  <c r="F1237" i="1"/>
  <c r="E1236" i="1"/>
  <c r="F1236" i="1"/>
  <c r="E1238" i="1"/>
  <c r="F1238" i="1"/>
  <c r="E112" i="1"/>
  <c r="F112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F1246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F1263" i="1"/>
  <c r="F1264" i="1"/>
  <c r="F1265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539" i="1"/>
  <c r="F539" i="1"/>
  <c r="E540" i="1"/>
  <c r="F540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447" i="1"/>
  <c r="F447" i="1"/>
  <c r="E1052" i="1"/>
  <c r="F1052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F1397" i="1"/>
  <c r="F1398" i="1"/>
  <c r="F1399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F1424" i="1"/>
  <c r="F1425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F1451" i="1"/>
  <c r="E1452" i="1"/>
  <c r="F1452" i="1"/>
  <c r="E1453" i="1"/>
  <c r="F1453" i="1"/>
  <c r="E1454" i="1"/>
  <c r="F1454" i="1"/>
  <c r="F1534" i="1"/>
  <c r="F1455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F1465" i="1"/>
  <c r="F1466" i="1"/>
  <c r="E1467" i="1"/>
  <c r="F1467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7" i="1"/>
  <c r="F1477" i="1"/>
  <c r="E1476" i="1"/>
  <c r="F1476" i="1"/>
  <c r="E1478" i="1"/>
  <c r="F1478" i="1"/>
  <c r="E1479" i="1"/>
  <c r="F1479" i="1"/>
  <c r="E794" i="1"/>
  <c r="F794" i="1"/>
  <c r="E1480" i="1"/>
  <c r="F1480" i="1"/>
  <c r="E1481" i="1"/>
  <c r="F1481" i="1"/>
  <c r="E1482" i="1"/>
  <c r="F1482" i="1"/>
  <c r="E1483" i="1"/>
  <c r="F1483" i="1"/>
  <c r="E1484" i="1"/>
  <c r="F1484" i="1"/>
  <c r="E343" i="1"/>
  <c r="F343" i="1"/>
  <c r="E344" i="1"/>
  <c r="F344" i="1"/>
  <c r="E345" i="1"/>
  <c r="F345" i="1"/>
  <c r="E346" i="1"/>
  <c r="F346" i="1"/>
  <c r="E347" i="1"/>
  <c r="F347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10" i="1"/>
  <c r="F1510" i="1"/>
  <c r="E1511" i="1"/>
  <c r="F1511" i="1"/>
  <c r="E1512" i="1"/>
  <c r="F1512" i="1"/>
  <c r="E1513" i="1"/>
  <c r="F1513" i="1"/>
  <c r="E1516" i="1"/>
  <c r="F1516" i="1"/>
  <c r="E1517" i="1"/>
  <c r="F1517" i="1"/>
  <c r="E1508" i="1"/>
  <c r="F1508" i="1"/>
  <c r="E1509" i="1"/>
  <c r="F1509" i="1"/>
  <c r="F1514" i="1"/>
  <c r="F1515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F1527" i="1"/>
  <c r="F1528" i="1"/>
  <c r="F1529" i="1"/>
  <c r="E1530" i="1"/>
  <c r="F1530" i="1"/>
  <c r="E1531" i="1"/>
  <c r="F1531" i="1"/>
  <c r="E1532" i="1"/>
  <c r="F1532" i="1"/>
  <c r="E1533" i="1"/>
  <c r="F1533" i="1"/>
  <c r="E1535" i="1"/>
  <c r="F1535" i="1"/>
  <c r="E1536" i="1"/>
  <c r="F1536" i="1"/>
  <c r="E1537" i="1"/>
  <c r="F1537" i="1"/>
  <c r="E1538" i="1"/>
  <c r="F1538" i="1"/>
  <c r="E1140" i="1"/>
  <c r="F1140" i="1"/>
  <c r="E1139" i="1"/>
  <c r="F1139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E330" i="1"/>
  <c r="F330" i="1"/>
  <c r="E331" i="1"/>
  <c r="F331" i="1"/>
  <c r="E50" i="1"/>
  <c r="F50" i="1"/>
  <c r="F1041" i="1"/>
  <c r="E986" i="1"/>
  <c r="F986" i="1"/>
  <c r="F1152" i="1"/>
  <c r="E399" i="1"/>
  <c r="F399" i="1"/>
  <c r="F3" i="1"/>
  <c r="E3" i="1"/>
  <c r="B331" i="1" l="1"/>
  <c r="B50" i="1"/>
  <c r="B1041" i="1"/>
  <c r="B986" i="1"/>
  <c r="B1152" i="1"/>
  <c r="B399" i="1"/>
  <c r="B330" i="1"/>
  <c r="G399" i="1"/>
  <c r="G1152" i="1" l="1"/>
  <c r="G986" i="1" l="1"/>
  <c r="G1041" i="1" l="1"/>
  <c r="G50" i="1" l="1"/>
  <c r="G331" i="1" l="1"/>
  <c r="G330" i="1"/>
</calcChain>
</file>

<file path=xl/sharedStrings.xml><?xml version="1.0" encoding="utf-8"?>
<sst xmlns="http://schemas.openxmlformats.org/spreadsheetml/2006/main" count="388" uniqueCount="127">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</sst>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5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</cellStyleXfs>
  <cellXfs count="25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5" fillId="0" borderId="0" xfId="2" applyNumberFormat="1"/>
    <xf numFmtId="0" fontId="0" fillId="0" borderId="0" xfId="0"/>
    <xf numFmtId="0" fontId="4" fillId="0" borderId="0" xfId="1" applyNumberFormat="1" applyBorder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6" fillId="0" borderId="0" xfId="4" applyNumberFormat="1"/>
  </cellXfs>
  <cellStyles count="5">
    <cellStyle name="Standaard" xfId="0" builtinId="0"/>
    <cellStyle name="Standaard 2" xfId="1"/>
    <cellStyle name="Standaard 3" xfId="2"/>
    <cellStyle name="Standaard 3 2" xfId="3"/>
    <cellStyle name="Standaard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5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5" sqref="E15"/>
    </sheetView>
  </sheetViews>
  <sheetFormatPr defaultRowHeight="1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ConcatenateRange(AZ4:BU4,"||")</f>
        <v/>
      </c>
      <c r="AZ4" t="str">
        <f t="shared" ref="AZ4:AZ59" si="22">IF(AA4&lt;&gt;0,AA$2,"")</f>
        <v/>
      </c>
      <c r="BA4" t="str">
        <f t="shared" ref="BA4:BA59" si="23">IF(AB4&lt;&gt;0,AB$2,"")</f>
        <v/>
      </c>
      <c r="BB4" t="str">
        <f t="shared" ref="BB4:BB59" si="24">IF(AC4&lt;&gt;0,AC$2,"")</f>
        <v/>
      </c>
      <c r="BC4" t="str">
        <f t="shared" ref="BC4:BC59" si="25">IF(AD4&lt;&gt;0,AD$2,"")</f>
        <v/>
      </c>
      <c r="BD4" t="str">
        <f t="shared" ref="BD4:BD59" si="26">IF(AE4&lt;&gt;0,AE$2,"")</f>
        <v/>
      </c>
      <c r="BE4" t="str">
        <f t="shared" ref="BE4:BE59" si="27">IF(AF4&lt;&gt;0,AF$2,"")</f>
        <v/>
      </c>
      <c r="BF4" t="str">
        <f t="shared" ref="BF4:BF59" si="28">IF(AG4&lt;&gt;0,AG$2,"")</f>
        <v/>
      </c>
      <c r="BG4" t="str">
        <f t="shared" ref="BG4:BG59" si="29">IF(AH4&lt;&gt;0,AH$2,"")</f>
        <v/>
      </c>
      <c r="BH4" t="str">
        <f t="shared" ref="BH4:BH59" si="30">IF(AI4&lt;&gt;0,AI$2,"")</f>
        <v/>
      </c>
      <c r="BI4" t="str">
        <f t="shared" ref="BI4:BI59" si="31">IF(AJ4&lt;&gt;0,AJ$2,"")</f>
        <v/>
      </c>
      <c r="BJ4" t="str">
        <f t="shared" ref="BJ4:BJ59" si="32">IF(AK4&lt;&gt;0,AK$2,"")</f>
        <v/>
      </c>
      <c r="BK4" t="str">
        <f t="shared" ref="BK4:BK59" si="33">IF(AL4&lt;&gt;0,AL$2,"")</f>
        <v/>
      </c>
      <c r="BL4" t="str">
        <f t="shared" ref="BL4:BL59" si="34">IF(AM4&lt;&gt;0,AM$2,"")</f>
        <v/>
      </c>
      <c r="BM4" t="str">
        <f t="shared" ref="BM4:BM59" si="35">IF(AN4&lt;&gt;0,AN$2,"")</f>
        <v/>
      </c>
      <c r="BN4" t="str">
        <f t="shared" ref="BN4:BN59" si="36">IF(AO4&lt;&gt;0,AO$2,"")</f>
        <v/>
      </c>
      <c r="BO4" t="str">
        <f t="shared" ref="BO4:BO59" si="37">IF(AP4&lt;&gt;0,AP$2,"")</f>
        <v/>
      </c>
      <c r="BP4" t="str">
        <f t="shared" ref="BP4:BP59" si="38">IF(AQ4&lt;&gt;0,AQ$2,"")</f>
        <v/>
      </c>
      <c r="BQ4" t="str">
        <f t="shared" ref="BQ4:BQ59" si="39">IF(AR4&lt;&gt;0,AR$2,"")</f>
        <v/>
      </c>
      <c r="BR4" t="str">
        <f t="shared" ref="BR4:BR59" si="40">IF(AS4&lt;&gt;0,AS$2,"")</f>
        <v/>
      </c>
      <c r="BS4" t="str">
        <f t="shared" ref="BS4:BS59" si="41">IF(AT4&lt;&gt;0,AT$2,"")</f>
        <v/>
      </c>
      <c r="BT4" t="str">
        <f t="shared" ref="BT4:BT59" si="42">IF(AU4&lt;&gt;0,AU$2,"")</f>
        <v/>
      </c>
      <c r="BU4" t="str">
        <f t="shared" ref="BU4:BU59" si="43">IF(AV4&lt;&gt;0,AV$2,"")</f>
        <v/>
      </c>
    </row>
    <row r="5" spans="1:76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>ConcatenateRange(AZ5:BU5,"||")</f>
        <v/>
      </c>
      <c r="AZ5" t="str">
        <f t="shared" si="22"/>
        <v/>
      </c>
      <c r="BA5" t="str">
        <f t="shared" si="23"/>
        <v/>
      </c>
      <c r="BB5" t="str">
        <f t="shared" si="24"/>
        <v/>
      </c>
      <c r="BC5" t="str">
        <f t="shared" si="25"/>
        <v/>
      </c>
      <c r="BD5" t="str">
        <f t="shared" si="26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</row>
    <row r="6" spans="1:76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ConcatenateRange(AZ6:BU6,"||")</f>
        <v/>
      </c>
      <c r="AZ6" t="str">
        <f t="shared" si="22"/>
        <v/>
      </c>
      <c r="BA6" t="str">
        <f t="shared" si="23"/>
        <v/>
      </c>
      <c r="BB6" t="str">
        <f t="shared" si="24"/>
        <v/>
      </c>
      <c r="BC6" t="str">
        <f t="shared" si="25"/>
        <v/>
      </c>
      <c r="BD6" t="str">
        <f t="shared" si="26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</row>
    <row r="7" spans="1:76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ConcatenateRange(AZ7:BU7,"||")</f>
        <v/>
      </c>
      <c r="AZ7" t="str">
        <f t="shared" si="22"/>
        <v/>
      </c>
      <c r="BA7" t="str">
        <f t="shared" si="23"/>
        <v/>
      </c>
      <c r="BB7" t="str">
        <f t="shared" si="24"/>
        <v/>
      </c>
      <c r="BC7" t="str">
        <f t="shared" si="25"/>
        <v/>
      </c>
      <c r="BD7" t="str">
        <f t="shared" si="26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</row>
    <row r="8" spans="1:76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ConcatenateRange(AZ8:BU8,"||")</f>
        <v/>
      </c>
      <c r="AZ8" t="str">
        <f t="shared" si="22"/>
        <v/>
      </c>
      <c r="BA8" t="str">
        <f t="shared" si="23"/>
        <v/>
      </c>
      <c r="BB8" t="str">
        <f t="shared" si="24"/>
        <v/>
      </c>
      <c r="BC8" t="str">
        <f t="shared" si="25"/>
        <v/>
      </c>
      <c r="BD8" t="str">
        <f t="shared" si="26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</row>
    <row r="9" spans="1:76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ConcatenateRange(AZ9:BU9,"||")</f>
        <v/>
      </c>
      <c r="AZ9" t="str">
        <f t="shared" si="22"/>
        <v/>
      </c>
      <c r="BA9" t="str">
        <f t="shared" si="23"/>
        <v/>
      </c>
      <c r="BB9" t="str">
        <f t="shared" si="24"/>
        <v/>
      </c>
      <c r="BC9" t="str">
        <f t="shared" si="25"/>
        <v/>
      </c>
      <c r="BD9" t="str">
        <f t="shared" si="26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</row>
    <row r="10" spans="1:76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ConcatenateRange(AZ10:BU10,"||")</f>
        <v/>
      </c>
      <c r="AZ10" t="str">
        <f t="shared" si="22"/>
        <v/>
      </c>
      <c r="BA10" t="str">
        <f t="shared" si="23"/>
        <v/>
      </c>
      <c r="BB10" t="str">
        <f t="shared" si="24"/>
        <v/>
      </c>
      <c r="BC10" t="str">
        <f t="shared" si="25"/>
        <v/>
      </c>
      <c r="BD10" t="str">
        <f t="shared" si="26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</row>
    <row r="11" spans="1:76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ConcatenateRange(AZ11:BU11,"||")</f>
        <v/>
      </c>
      <c r="AZ11" t="str">
        <f t="shared" si="22"/>
        <v/>
      </c>
      <c r="BA11" t="str">
        <f t="shared" si="23"/>
        <v/>
      </c>
      <c r="BB11" t="str">
        <f t="shared" si="24"/>
        <v/>
      </c>
      <c r="BC11" t="str">
        <f t="shared" si="25"/>
        <v/>
      </c>
      <c r="BD11" t="str">
        <f t="shared" si="26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</row>
    <row r="12" spans="1:76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ConcatenateRange(AZ12:BU12,"||")</f>
        <v/>
      </c>
      <c r="AZ12" t="str">
        <f t="shared" si="22"/>
        <v/>
      </c>
      <c r="BA12" t="str">
        <f t="shared" si="23"/>
        <v/>
      </c>
      <c r="BB12" t="str">
        <f t="shared" si="24"/>
        <v/>
      </c>
      <c r="BC12" t="str">
        <f t="shared" si="25"/>
        <v/>
      </c>
      <c r="BD12" t="str">
        <f t="shared" si="26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</row>
    <row r="13" spans="1:76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ConcatenateRange(AZ13:BU13,"||")</f>
        <v/>
      </c>
      <c r="AZ13" t="str">
        <f t="shared" si="22"/>
        <v/>
      </c>
      <c r="BA13" t="str">
        <f t="shared" si="23"/>
        <v/>
      </c>
      <c r="BB13" t="str">
        <f t="shared" si="24"/>
        <v/>
      </c>
      <c r="BC13" t="str">
        <f t="shared" si="25"/>
        <v/>
      </c>
      <c r="BD13" t="str">
        <f t="shared" si="26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</row>
    <row r="14" spans="1:76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ConcatenateRange(AZ14:BU14,"||")</f>
        <v/>
      </c>
      <c r="AZ14" t="str">
        <f t="shared" si="22"/>
        <v/>
      </c>
      <c r="BA14" t="str">
        <f t="shared" si="23"/>
        <v/>
      </c>
      <c r="BB14" t="str">
        <f t="shared" si="24"/>
        <v/>
      </c>
      <c r="BC14" t="str">
        <f t="shared" si="25"/>
        <v/>
      </c>
      <c r="BD14" t="str">
        <f t="shared" si="26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</row>
    <row r="15" spans="1:76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>ConcatenateRange(AZ15:BU15,"||")</f>
        <v/>
      </c>
      <c r="AZ15" t="str">
        <f t="shared" si="22"/>
        <v/>
      </c>
      <c r="BA15" t="str">
        <f t="shared" si="23"/>
        <v/>
      </c>
      <c r="BB15" t="str">
        <f t="shared" si="24"/>
        <v/>
      </c>
      <c r="BC15" t="str">
        <f t="shared" si="25"/>
        <v/>
      </c>
      <c r="BD15" t="str">
        <f t="shared" si="26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</row>
    <row r="16" spans="1:76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>ConcatenateRange(AZ16:BU16,"||")</f>
        <v/>
      </c>
      <c r="AZ16" t="str">
        <f t="shared" si="22"/>
        <v/>
      </c>
      <c r="BA16" t="str">
        <f t="shared" si="23"/>
        <v/>
      </c>
      <c r="BB16" t="str">
        <f t="shared" si="24"/>
        <v/>
      </c>
      <c r="BC16" t="str">
        <f t="shared" si="25"/>
        <v/>
      </c>
      <c r="BD16" t="str">
        <f t="shared" si="26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</row>
    <row r="17" spans="1:73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AZ17" t="str">
        <f t="shared" si="22"/>
        <v/>
      </c>
      <c r="BA17" t="str">
        <f t="shared" si="23"/>
        <v/>
      </c>
      <c r="BB17" t="str">
        <f t="shared" si="24"/>
        <v/>
      </c>
      <c r="BC17" t="str">
        <f t="shared" si="25"/>
        <v/>
      </c>
      <c r="BD17" t="str">
        <f t="shared" si="26"/>
        <v/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</row>
    <row r="18" spans="1:73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ConcatenateRange(AZ18:BU18,"||")</f>
        <v/>
      </c>
      <c r="AZ18" t="str">
        <f t="shared" si="22"/>
        <v/>
      </c>
      <c r="BA18" t="str">
        <f t="shared" si="23"/>
        <v/>
      </c>
      <c r="BB18" t="str">
        <f t="shared" si="24"/>
        <v/>
      </c>
      <c r="BC18" t="str">
        <f t="shared" si="25"/>
        <v/>
      </c>
      <c r="BD18" t="str">
        <f t="shared" si="26"/>
        <v/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</row>
    <row r="19" spans="1:73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ConcatenateRange(AZ19:BU19,"||")</f>
        <v/>
      </c>
      <c r="AZ19" t="str">
        <f t="shared" si="22"/>
        <v/>
      </c>
      <c r="BA19" t="str">
        <f t="shared" si="23"/>
        <v/>
      </c>
      <c r="BB19" t="str">
        <f t="shared" si="24"/>
        <v/>
      </c>
      <c r="BC19" t="str">
        <f t="shared" si="25"/>
        <v/>
      </c>
      <c r="BD19" t="str">
        <f t="shared" si="26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</row>
    <row r="20" spans="1:73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ConcatenateRange(AZ20:BU20,"||")</f>
        <v/>
      </c>
      <c r="AZ20" t="str">
        <f t="shared" si="22"/>
        <v/>
      </c>
      <c r="BA20" t="str">
        <f t="shared" si="23"/>
        <v/>
      </c>
      <c r="BB20" t="str">
        <f t="shared" si="24"/>
        <v/>
      </c>
      <c r="BC20" t="str">
        <f t="shared" si="25"/>
        <v/>
      </c>
      <c r="BD20" t="str">
        <f t="shared" si="26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</row>
    <row r="21" spans="1:73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ConcatenateRange(AZ21:BU21,"||")</f>
        <v/>
      </c>
      <c r="AZ21" t="str">
        <f t="shared" si="22"/>
        <v/>
      </c>
      <c r="BA21" t="str">
        <f t="shared" si="23"/>
        <v/>
      </c>
      <c r="BB21" t="str">
        <f t="shared" si="24"/>
        <v/>
      </c>
      <c r="BC21" t="str">
        <f t="shared" si="25"/>
        <v/>
      </c>
      <c r="BD21" t="str">
        <f t="shared" si="26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</row>
    <row r="22" spans="1:73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ConcatenateRange(AZ22:BU22,"||")</f>
        <v/>
      </c>
      <c r="AZ22" t="str">
        <f t="shared" si="22"/>
        <v/>
      </c>
      <c r="BA22" t="str">
        <f t="shared" si="23"/>
        <v/>
      </c>
      <c r="BB22" t="str">
        <f t="shared" si="24"/>
        <v/>
      </c>
      <c r="BC22" t="str">
        <f t="shared" si="25"/>
        <v/>
      </c>
      <c r="BD22" t="str">
        <f t="shared" si="26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</row>
    <row r="23" spans="1:73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ConcatenateRange(AZ23:BU23,"||")</f>
        <v/>
      </c>
      <c r="AZ23" t="str">
        <f t="shared" si="22"/>
        <v/>
      </c>
      <c r="BA23" t="str">
        <f t="shared" si="23"/>
        <v/>
      </c>
      <c r="BB23" t="str">
        <f t="shared" si="24"/>
        <v/>
      </c>
      <c r="BC23" t="str">
        <f t="shared" si="25"/>
        <v/>
      </c>
      <c r="BD23" t="str">
        <f t="shared" si="26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</row>
    <row r="24" spans="1:73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ConcatenateRange(AZ24:BU24,"||")</f>
        <v/>
      </c>
      <c r="AZ24" t="str">
        <f t="shared" si="22"/>
        <v/>
      </c>
      <c r="BA24" t="str">
        <f t="shared" si="23"/>
        <v/>
      </c>
      <c r="BB24" t="str">
        <f t="shared" si="24"/>
        <v/>
      </c>
      <c r="BC24" t="str">
        <f t="shared" si="25"/>
        <v/>
      </c>
      <c r="BD24" t="str">
        <f t="shared" si="26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</row>
    <row r="25" spans="1:73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ConcatenateRange(AZ25:BU25,"||")</f>
        <v/>
      </c>
      <c r="AZ25" t="str">
        <f t="shared" si="22"/>
        <v/>
      </c>
      <c r="BA25" t="str">
        <f t="shared" si="23"/>
        <v/>
      </c>
      <c r="BB25" t="str">
        <f t="shared" si="24"/>
        <v/>
      </c>
      <c r="BC25" t="str">
        <f t="shared" si="25"/>
        <v/>
      </c>
      <c r="BD25" t="str">
        <f t="shared" si="26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</row>
    <row r="26" spans="1:73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f>VLOOKUP($A26,[1]Table!$A$2:$N1701,L$1,FALSE)</f>
        <v>0.1</v>
      </c>
      <c r="M26" t="str">
        <f>VLOOKUP($A26,[1]Table!$A$2:$N1701,M$1,FALSE)</f>
        <v>mg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AZ26" t="str">
        <f t="shared" si="22"/>
        <v/>
      </c>
      <c r="BA26" t="str">
        <f t="shared" si="23"/>
        <v/>
      </c>
      <c r="BB26" t="str">
        <f t="shared" si="24"/>
        <v/>
      </c>
      <c r="BC26" t="str">
        <f t="shared" si="25"/>
        <v/>
      </c>
      <c r="BD26" t="str">
        <f t="shared" si="26"/>
        <v/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</row>
    <row r="27" spans="1:73">
      <c r="A27" s="16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AZ27" t="str">
        <f t="shared" si="22"/>
        <v/>
      </c>
      <c r="BA27" t="str">
        <f t="shared" si="23"/>
        <v/>
      </c>
      <c r="BB27" t="str">
        <f t="shared" si="24"/>
        <v/>
      </c>
      <c r="BC27" t="str">
        <f t="shared" si="25"/>
        <v/>
      </c>
      <c r="BD27" t="str">
        <f t="shared" si="26"/>
        <v/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</row>
    <row r="28" spans="1:73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AZ28" t="str">
        <f t="shared" si="22"/>
        <v/>
      </c>
      <c r="BA28" t="str">
        <f t="shared" si="23"/>
        <v/>
      </c>
      <c r="BB28" t="str">
        <f t="shared" si="24"/>
        <v/>
      </c>
      <c r="BC28" t="str">
        <f t="shared" si="25"/>
        <v/>
      </c>
      <c r="BD28" t="str">
        <f t="shared" si="26"/>
        <v/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</row>
    <row r="29" spans="1:73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ConcatenateRange(AZ29:BU29,"||")</f>
        <v/>
      </c>
      <c r="AZ29" t="str">
        <f t="shared" si="22"/>
        <v/>
      </c>
      <c r="BA29" t="str">
        <f t="shared" si="23"/>
        <v/>
      </c>
      <c r="BB29" t="str">
        <f t="shared" si="24"/>
        <v/>
      </c>
      <c r="BC29" t="str">
        <f t="shared" si="25"/>
        <v/>
      </c>
      <c r="BD29" t="str">
        <f t="shared" si="26"/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</row>
    <row r="30" spans="1:73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ConcatenateRange(AZ30:BU30,"||")</f>
        <v/>
      </c>
      <c r="AZ30" t="str">
        <f t="shared" si="22"/>
        <v/>
      </c>
      <c r="BA30" t="str">
        <f t="shared" si="23"/>
        <v/>
      </c>
      <c r="BB30" t="str">
        <f t="shared" si="24"/>
        <v/>
      </c>
      <c r="BC30" t="str">
        <f t="shared" si="25"/>
        <v/>
      </c>
      <c r="BD30" t="str">
        <f t="shared" si="26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</row>
    <row r="31" spans="1:73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ConcatenateRange(AZ31:BU31,"||")</f>
        <v/>
      </c>
      <c r="AZ31" t="str">
        <f t="shared" si="22"/>
        <v/>
      </c>
      <c r="BA31" t="str">
        <f t="shared" si="23"/>
        <v/>
      </c>
      <c r="BB31" t="str">
        <f t="shared" si="24"/>
        <v/>
      </c>
      <c r="BC31" t="str">
        <f t="shared" si="25"/>
        <v/>
      </c>
      <c r="BD31" t="str">
        <f t="shared" si="26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</row>
    <row r="32" spans="1:73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ConcatenateRange(AZ32:BU32,"||")</f>
        <v/>
      </c>
      <c r="AZ32" t="str">
        <f t="shared" si="22"/>
        <v/>
      </c>
      <c r="BA32" t="str">
        <f t="shared" si="23"/>
        <v/>
      </c>
      <c r="BB32" t="str">
        <f t="shared" si="24"/>
        <v/>
      </c>
      <c r="BC32" t="str">
        <f t="shared" si="25"/>
        <v/>
      </c>
      <c r="BD32" t="str">
        <f t="shared" si="26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</row>
    <row r="33" spans="1:73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ConcatenateRange(AZ33:BU33,"||")</f>
        <v/>
      </c>
      <c r="AZ33" t="str">
        <f t="shared" si="22"/>
        <v/>
      </c>
      <c r="BA33" t="str">
        <f t="shared" si="23"/>
        <v/>
      </c>
      <c r="BB33" t="str">
        <f t="shared" si="24"/>
        <v/>
      </c>
      <c r="BC33" t="str">
        <f t="shared" si="25"/>
        <v/>
      </c>
      <c r="BD33" t="str">
        <f t="shared" si="26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</row>
    <row r="34" spans="1:73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ConcatenateRange(AZ34:BU34,"||")</f>
        <v/>
      </c>
      <c r="AZ34" t="str">
        <f t="shared" si="22"/>
        <v/>
      </c>
      <c r="BA34" t="str">
        <f t="shared" si="23"/>
        <v/>
      </c>
      <c r="BB34" t="str">
        <f t="shared" si="24"/>
        <v/>
      </c>
      <c r="BC34" t="str">
        <f t="shared" si="25"/>
        <v/>
      </c>
      <c r="BD34" t="str">
        <f t="shared" si="26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</row>
    <row r="35" spans="1:73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ConcatenateRange(AZ35:BU35,"||")</f>
        <v/>
      </c>
      <c r="AZ35" t="str">
        <f t="shared" si="22"/>
        <v/>
      </c>
      <c r="BA35" t="str">
        <f t="shared" si="23"/>
        <v/>
      </c>
      <c r="BB35" t="str">
        <f t="shared" si="24"/>
        <v/>
      </c>
      <c r="BC35" t="str">
        <f t="shared" si="25"/>
        <v/>
      </c>
      <c r="BD35" t="str">
        <f t="shared" si="26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</row>
    <row r="36" spans="1:73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ConcatenateRange(AZ36:BU36,"||")</f>
        <v/>
      </c>
      <c r="AZ36" t="str">
        <f t="shared" si="22"/>
        <v/>
      </c>
      <c r="BA36" t="str">
        <f t="shared" si="23"/>
        <v/>
      </c>
      <c r="BB36" t="str">
        <f t="shared" si="24"/>
        <v/>
      </c>
      <c r="BC36" t="str">
        <f t="shared" si="25"/>
        <v/>
      </c>
      <c r="BD36" t="str">
        <f t="shared" si="26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</row>
    <row r="37" spans="1:73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ConcatenateRange(AZ37:BU37,"||")</f>
        <v/>
      </c>
      <c r="AZ37" t="str">
        <f t="shared" si="22"/>
        <v/>
      </c>
      <c r="BA37" t="str">
        <f t="shared" si="23"/>
        <v/>
      </c>
      <c r="BB37" t="str">
        <f t="shared" si="24"/>
        <v/>
      </c>
      <c r="BC37" t="str">
        <f t="shared" si="25"/>
        <v/>
      </c>
      <c r="BD37" t="str">
        <f t="shared" si="26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</row>
    <row r="38" spans="1:73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>ConcatenateRange(AZ38:BU38,"||")</f>
        <v/>
      </c>
      <c r="AZ38" t="str">
        <f t="shared" si="22"/>
        <v/>
      </c>
      <c r="BA38" t="str">
        <f t="shared" si="23"/>
        <v/>
      </c>
      <c r="BB38" t="str">
        <f t="shared" si="24"/>
        <v/>
      </c>
      <c r="BC38" t="str">
        <f t="shared" si="25"/>
        <v/>
      </c>
      <c r="BD38" t="str">
        <f t="shared" si="26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</row>
    <row r="39" spans="1:73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ConcatenateRange(AZ39:BU39,"||")</f>
        <v/>
      </c>
      <c r="AZ39" t="str">
        <f t="shared" si="22"/>
        <v/>
      </c>
      <c r="BA39" t="str">
        <f t="shared" si="23"/>
        <v/>
      </c>
      <c r="BB39" t="str">
        <f t="shared" si="24"/>
        <v/>
      </c>
      <c r="BC39" t="str">
        <f t="shared" si="25"/>
        <v/>
      </c>
      <c r="BD39" t="str">
        <f t="shared" si="26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</row>
    <row r="40" spans="1:73">
      <c r="A40" s="16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90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AZ40" t="str">
        <f t="shared" si="22"/>
        <v/>
      </c>
      <c r="BA40" t="str">
        <f t="shared" si="23"/>
        <v/>
      </c>
      <c r="BB40" t="str">
        <f t="shared" si="24"/>
        <v/>
      </c>
      <c r="BC40" t="str">
        <f t="shared" si="25"/>
        <v/>
      </c>
      <c r="BD40" t="str">
        <f t="shared" si="26"/>
        <v/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</row>
    <row r="41" spans="1:73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ConcatenateRange(AZ41:BU41,"||")</f>
        <v/>
      </c>
      <c r="AZ41" t="str">
        <f t="shared" si="22"/>
        <v/>
      </c>
      <c r="BA41" t="str">
        <f t="shared" si="23"/>
        <v/>
      </c>
      <c r="BB41" t="str">
        <f t="shared" si="24"/>
        <v/>
      </c>
      <c r="BC41" t="str">
        <f t="shared" si="25"/>
        <v/>
      </c>
      <c r="BD41" t="str">
        <f t="shared" si="26"/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</row>
    <row r="42" spans="1:73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ConcatenateRange(AZ42:BU42,"||")</f>
        <v/>
      </c>
      <c r="AZ42" t="str">
        <f t="shared" si="22"/>
        <v/>
      </c>
      <c r="BA42" t="str">
        <f t="shared" si="23"/>
        <v/>
      </c>
      <c r="BB42" t="str">
        <f t="shared" si="24"/>
        <v/>
      </c>
      <c r="BC42" t="str">
        <f t="shared" si="25"/>
        <v/>
      </c>
      <c r="BD42" t="str">
        <f t="shared" si="26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</row>
    <row r="43" spans="1:73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ConcatenateRange(AZ43:BU43,"||")</f>
        <v/>
      </c>
      <c r="AZ43" t="str">
        <f t="shared" si="22"/>
        <v/>
      </c>
      <c r="BA43" t="str">
        <f t="shared" si="23"/>
        <v/>
      </c>
      <c r="BB43" t="str">
        <f t="shared" si="24"/>
        <v/>
      </c>
      <c r="BC43" t="str">
        <f t="shared" si="25"/>
        <v/>
      </c>
      <c r="BD43" t="str">
        <f t="shared" si="26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</row>
    <row r="44" spans="1:73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ConcatenateRange(AZ44:BU44,"||")</f>
        <v/>
      </c>
      <c r="AZ44" t="str">
        <f t="shared" si="22"/>
        <v/>
      </c>
      <c r="BA44" t="str">
        <f t="shared" si="23"/>
        <v/>
      </c>
      <c r="BB44" t="str">
        <f t="shared" si="24"/>
        <v/>
      </c>
      <c r="BC44" t="str">
        <f t="shared" si="25"/>
        <v/>
      </c>
      <c r="BD44" t="str">
        <f t="shared" si="26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</row>
    <row r="45" spans="1:73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ConcatenateRange(AZ45:BU45,"||")</f>
        <v/>
      </c>
      <c r="AZ45" t="str">
        <f t="shared" si="22"/>
        <v/>
      </c>
      <c r="BA45" t="str">
        <f t="shared" si="23"/>
        <v/>
      </c>
      <c r="BB45" t="str">
        <f t="shared" si="24"/>
        <v/>
      </c>
      <c r="BC45" t="str">
        <f t="shared" si="25"/>
        <v/>
      </c>
      <c r="BD45" t="str">
        <f t="shared" si="26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</row>
    <row r="46" spans="1:73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ConcatenateRange(AZ46:BU46,"||")</f>
        <v/>
      </c>
      <c r="AZ46" t="str">
        <f t="shared" si="22"/>
        <v/>
      </c>
      <c r="BA46" t="str">
        <f t="shared" si="23"/>
        <v/>
      </c>
      <c r="BB46" t="str">
        <f t="shared" si="24"/>
        <v/>
      </c>
      <c r="BC46" t="str">
        <f t="shared" si="25"/>
        <v/>
      </c>
      <c r="BD46" t="str">
        <f t="shared" si="26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</row>
    <row r="47" spans="1:73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ConcatenateRange(AZ47:BU47,"||")</f>
        <v/>
      </c>
      <c r="AZ47" t="str">
        <f t="shared" si="22"/>
        <v/>
      </c>
      <c r="BA47" t="str">
        <f t="shared" si="23"/>
        <v/>
      </c>
      <c r="BB47" t="str">
        <f t="shared" si="24"/>
        <v/>
      </c>
      <c r="BC47" t="str">
        <f t="shared" si="25"/>
        <v/>
      </c>
      <c r="BD47" t="str">
        <f t="shared" si="26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</row>
    <row r="48" spans="1:73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ConcatenateRange(AZ48:BU48,"||")</f>
        <v/>
      </c>
      <c r="AZ48" t="str">
        <f t="shared" si="22"/>
        <v/>
      </c>
      <c r="BA48" t="str">
        <f t="shared" si="23"/>
        <v/>
      </c>
      <c r="BB48" t="str">
        <f t="shared" si="24"/>
        <v/>
      </c>
      <c r="BC48" t="str">
        <f t="shared" si="25"/>
        <v/>
      </c>
      <c r="BD48" t="str">
        <f t="shared" si="26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</row>
    <row r="49" spans="1:73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ConcatenateRange(AZ49:BU49,"||")</f>
        <v/>
      </c>
      <c r="AZ49" t="str">
        <f t="shared" si="22"/>
        <v/>
      </c>
      <c r="BA49" t="str">
        <f t="shared" si="23"/>
        <v/>
      </c>
      <c r="BB49" t="str">
        <f t="shared" si="24"/>
        <v/>
      </c>
      <c r="BC49" t="str">
        <f t="shared" si="25"/>
        <v/>
      </c>
      <c r="BD49" t="str">
        <f t="shared" si="26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</row>
    <row r="50" spans="1:73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f>VLOOKUP($A50,[1]Table!$A$2:$N1701,L$1,FALSE)</f>
        <v>100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AZ50" t="str">
        <f t="shared" si="22"/>
        <v/>
      </c>
      <c r="BA50" t="str">
        <f t="shared" si="23"/>
        <v/>
      </c>
      <c r="BB50" t="str">
        <f t="shared" si="24"/>
        <v/>
      </c>
      <c r="BC50" t="str">
        <f t="shared" si="25"/>
        <v/>
      </c>
      <c r="BD50" t="str">
        <f t="shared" si="26"/>
        <v/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</row>
    <row r="51" spans="1:73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ConcatenateRange(AZ51:BU51,"||")</f>
        <v/>
      </c>
      <c r="AZ51" t="str">
        <f t="shared" si="22"/>
        <v/>
      </c>
      <c r="BA51" t="str">
        <f t="shared" si="23"/>
        <v/>
      </c>
      <c r="BB51" t="str">
        <f t="shared" si="24"/>
        <v/>
      </c>
      <c r="BC51" t="str">
        <f t="shared" si="25"/>
        <v/>
      </c>
      <c r="BD51" t="str">
        <f t="shared" si="26"/>
        <v/>
      </c>
      <c r="BE51" t="str">
        <f t="shared" si="27"/>
        <v/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</row>
    <row r="52" spans="1:73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ConcatenateRange(AZ52:BU52,"||")</f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2"/>
        <v>1 x / dag</v>
      </c>
      <c r="BA52" t="str">
        <f t="shared" si="23"/>
        <v/>
      </c>
      <c r="BB52" t="str">
        <f t="shared" si="24"/>
        <v/>
      </c>
      <c r="BC52" t="str">
        <f t="shared" si="25"/>
        <v/>
      </c>
      <c r="BD52" t="str">
        <f t="shared" si="26"/>
        <v/>
      </c>
      <c r="BE52" t="str">
        <f t="shared" si="27"/>
        <v/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</row>
    <row r="53" spans="1:73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ConcatenateRange(AZ53:BU53,"||")</f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2"/>
        <v>1 x / dag</v>
      </c>
      <c r="BA53" t="str">
        <f t="shared" si="23"/>
        <v/>
      </c>
      <c r="BB53" t="str">
        <f t="shared" si="24"/>
        <v/>
      </c>
      <c r="BC53" t="str">
        <f t="shared" si="25"/>
        <v/>
      </c>
      <c r="BD53" t="str">
        <f t="shared" si="26"/>
        <v/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</row>
    <row r="54" spans="1:73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ConcatenateRange(AZ54:BU54,"||")</f>
        <v/>
      </c>
      <c r="AZ54" t="str">
        <f t="shared" si="22"/>
        <v/>
      </c>
      <c r="BA54" t="str">
        <f t="shared" si="23"/>
        <v/>
      </c>
      <c r="BB54" t="str">
        <f t="shared" si="24"/>
        <v/>
      </c>
      <c r="BC54" t="str">
        <f t="shared" si="25"/>
        <v/>
      </c>
      <c r="BD54" t="str">
        <f t="shared" si="26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</row>
    <row r="55" spans="1:73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ConcatenateRange(AZ55:BU55,"||")</f>
        <v/>
      </c>
      <c r="AZ55" t="str">
        <f t="shared" si="22"/>
        <v/>
      </c>
      <c r="BA55" t="str">
        <f t="shared" si="23"/>
        <v/>
      </c>
      <c r="BB55" t="str">
        <f t="shared" si="24"/>
        <v/>
      </c>
      <c r="BC55" t="str">
        <f t="shared" si="25"/>
        <v/>
      </c>
      <c r="BD55" t="str">
        <f t="shared" si="26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</row>
    <row r="56" spans="1:73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ConcatenateRange(AZ56:BU56,"||")</f>
        <v/>
      </c>
      <c r="AZ56" t="str">
        <f t="shared" si="22"/>
        <v/>
      </c>
      <c r="BA56" t="str">
        <f t="shared" si="23"/>
        <v/>
      </c>
      <c r="BB56" t="str">
        <f t="shared" si="24"/>
        <v/>
      </c>
      <c r="BC56" t="str">
        <f t="shared" si="25"/>
        <v/>
      </c>
      <c r="BD56" t="str">
        <f t="shared" si="26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</row>
    <row r="57" spans="1:73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ConcatenateRange(AZ57:BU57,"||")</f>
        <v/>
      </c>
      <c r="AZ57" t="str">
        <f t="shared" si="22"/>
        <v/>
      </c>
      <c r="BA57" t="str">
        <f t="shared" si="23"/>
        <v/>
      </c>
      <c r="BB57" t="str">
        <f t="shared" si="24"/>
        <v/>
      </c>
      <c r="BC57" t="str">
        <f t="shared" si="25"/>
        <v/>
      </c>
      <c r="BD57" t="str">
        <f t="shared" si="26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</row>
    <row r="58" spans="1:73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ConcatenateRange(AZ58:BU58,"||")</f>
        <v/>
      </c>
      <c r="AZ58" t="str">
        <f t="shared" si="22"/>
        <v/>
      </c>
      <c r="BA58" t="str">
        <f t="shared" si="23"/>
        <v/>
      </c>
      <c r="BB58" t="str">
        <f t="shared" si="24"/>
        <v/>
      </c>
      <c r="BC58" t="str">
        <f t="shared" si="25"/>
        <v/>
      </c>
      <c r="BD58" t="str">
        <f t="shared" si="26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</row>
    <row r="59" spans="1:73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ConcatenateRange(AZ59:BU59,"||")</f>
        <v/>
      </c>
      <c r="AZ59" t="str">
        <f t="shared" si="22"/>
        <v/>
      </c>
      <c r="BA59" t="str">
        <f t="shared" si="23"/>
        <v/>
      </c>
      <c r="BB59" t="str">
        <f t="shared" si="24"/>
        <v/>
      </c>
      <c r="BC59" t="str">
        <f t="shared" si="25"/>
        <v/>
      </c>
      <c r="BD59" t="str">
        <f t="shared" si="26"/>
        <v/>
      </c>
      <c r="BE59" t="str">
        <f t="shared" si="27"/>
        <v/>
      </c>
      <c r="BF59" t="str">
        <f t="shared" si="28"/>
        <v/>
      </c>
      <c r="BG59" t="str">
        <f t="shared" si="29"/>
        <v/>
      </c>
      <c r="BH59" t="str">
        <f t="shared" si="30"/>
        <v/>
      </c>
      <c r="BI59" t="str">
        <f t="shared" si="31"/>
        <v/>
      </c>
      <c r="BJ59" t="str">
        <f t="shared" si="32"/>
        <v/>
      </c>
      <c r="BK59" t="str">
        <f t="shared" si="33"/>
        <v/>
      </c>
      <c r="BL59" t="str">
        <f t="shared" si="34"/>
        <v/>
      </c>
      <c r="BM59" t="str">
        <f t="shared" si="35"/>
        <v/>
      </c>
      <c r="BN59" t="str">
        <f t="shared" si="36"/>
        <v/>
      </c>
      <c r="BO59" t="str">
        <f t="shared" si="37"/>
        <v/>
      </c>
      <c r="BP59" t="str">
        <f t="shared" si="38"/>
        <v/>
      </c>
      <c r="BQ59" t="str">
        <f t="shared" si="39"/>
        <v/>
      </c>
      <c r="BR59" t="str">
        <f t="shared" si="40"/>
        <v/>
      </c>
      <c r="BS59" t="str">
        <f t="shared" si="41"/>
        <v/>
      </c>
      <c r="BT59" t="str">
        <f t="shared" si="42"/>
        <v/>
      </c>
      <c r="BU59" t="str">
        <f t="shared" si="43"/>
        <v/>
      </c>
    </row>
    <row r="60" spans="1:73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ConcatenateRange(AZ60:BU60,"||")</f>
        <v/>
      </c>
      <c r="AZ60" t="str">
        <f t="shared" ref="AZ60:AZ119" si="44">IF(AA60&lt;&gt;0,AA$2,"")</f>
        <v/>
      </c>
      <c r="BA60" t="str">
        <f t="shared" ref="BA60:BA119" si="45">IF(AB60&lt;&gt;0,AB$2,"")</f>
        <v/>
      </c>
      <c r="BB60" t="str">
        <f t="shared" ref="BB60:BB119" si="46">IF(AC60&lt;&gt;0,AC$2,"")</f>
        <v/>
      </c>
      <c r="BC60" t="str">
        <f t="shared" ref="BC60:BC119" si="47">IF(AD60&lt;&gt;0,AD$2,"")</f>
        <v/>
      </c>
      <c r="BD60" t="str">
        <f t="shared" ref="BD60:BD119" si="48">IF(AE60&lt;&gt;0,AE$2,"")</f>
        <v/>
      </c>
      <c r="BE60" t="str">
        <f t="shared" ref="BE60:BE119" si="49">IF(AF60&lt;&gt;0,AF$2,"")</f>
        <v/>
      </c>
      <c r="BF60" t="str">
        <f t="shared" ref="BF60:BF119" si="50">IF(AG60&lt;&gt;0,AG$2,"")</f>
        <v/>
      </c>
      <c r="BG60" t="str">
        <f t="shared" ref="BG60:BG119" si="51">IF(AH60&lt;&gt;0,AH$2,"")</f>
        <v/>
      </c>
      <c r="BH60" t="str">
        <f t="shared" ref="BH60:BH119" si="52">IF(AI60&lt;&gt;0,AI$2,"")</f>
        <v/>
      </c>
      <c r="BI60" t="str">
        <f t="shared" ref="BI60:BI119" si="53">IF(AJ60&lt;&gt;0,AJ$2,"")</f>
        <v/>
      </c>
      <c r="BJ60" t="str">
        <f t="shared" ref="BJ60:BJ119" si="54">IF(AK60&lt;&gt;0,AK$2,"")</f>
        <v/>
      </c>
      <c r="BK60" t="str">
        <f t="shared" ref="BK60:BK119" si="55">IF(AL60&lt;&gt;0,AL$2,"")</f>
        <v/>
      </c>
      <c r="BL60" t="str">
        <f t="shared" ref="BL60:BL119" si="56">IF(AM60&lt;&gt;0,AM$2,"")</f>
        <v/>
      </c>
      <c r="BM60" t="str">
        <f t="shared" ref="BM60:BM119" si="57">IF(AN60&lt;&gt;0,AN$2,"")</f>
        <v/>
      </c>
      <c r="BN60" t="str">
        <f t="shared" ref="BN60:BN119" si="58">IF(AO60&lt;&gt;0,AO$2,"")</f>
        <v/>
      </c>
      <c r="BO60" t="str">
        <f t="shared" ref="BO60:BO119" si="59">IF(AP60&lt;&gt;0,AP$2,"")</f>
        <v/>
      </c>
      <c r="BP60" t="str">
        <f t="shared" ref="BP60:BP119" si="60">IF(AQ60&lt;&gt;0,AQ$2,"")</f>
        <v/>
      </c>
      <c r="BQ60" t="str">
        <f t="shared" ref="BQ60:BQ119" si="61">IF(AR60&lt;&gt;0,AR$2,"")</f>
        <v/>
      </c>
      <c r="BR60" t="str">
        <f t="shared" ref="BR60:BR119" si="62">IF(AS60&lt;&gt;0,AS$2,"")</f>
        <v/>
      </c>
      <c r="BS60" t="str">
        <f t="shared" ref="BS60:BS119" si="63">IF(AT60&lt;&gt;0,AT$2,"")</f>
        <v/>
      </c>
      <c r="BT60" t="str">
        <f t="shared" ref="BT60:BT119" si="64">IF(AU60&lt;&gt;0,AU$2,"")</f>
        <v/>
      </c>
      <c r="BU60" t="str">
        <f t="shared" ref="BU60:BU119" si="65">IF(AV60&lt;&gt;0,AV$2,"")</f>
        <v/>
      </c>
    </row>
    <row r="61" spans="1:73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ConcatenateRange(AZ61:BU61,"||")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tr">
        <f t="shared" si="50"/>
        <v/>
      </c>
      <c r="BG61" t="str">
        <f t="shared" si="51"/>
        <v/>
      </c>
      <c r="BH61" t="str">
        <f t="shared" si="52"/>
        <v/>
      </c>
      <c r="BI61" t="str">
        <f t="shared" si="53"/>
        <v/>
      </c>
      <c r="BJ61" t="str">
        <f t="shared" si="54"/>
        <v/>
      </c>
      <c r="BK61" t="str">
        <f t="shared" si="55"/>
        <v/>
      </c>
      <c r="BL61" t="str">
        <f t="shared" si="56"/>
        <v/>
      </c>
      <c r="BM61" t="str">
        <f t="shared" si="57"/>
        <v/>
      </c>
      <c r="BN61" t="str">
        <f t="shared" si="58"/>
        <v/>
      </c>
      <c r="BO61" t="str">
        <f t="shared" si="59"/>
        <v/>
      </c>
      <c r="BP61" t="str">
        <f t="shared" si="60"/>
        <v/>
      </c>
      <c r="BQ61" t="str">
        <f t="shared" si="61"/>
        <v/>
      </c>
      <c r="BR61" t="str">
        <f t="shared" si="62"/>
        <v/>
      </c>
      <c r="BS61" t="str">
        <f t="shared" si="63"/>
        <v/>
      </c>
      <c r="BT61" t="str">
        <f t="shared" si="64"/>
        <v/>
      </c>
      <c r="BU61" t="str">
        <f t="shared" si="65"/>
        <v/>
      </c>
    </row>
    <row r="62" spans="1:73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ConcatenateRange(AZ62:BU62,"||")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tr">
        <f t="shared" si="50"/>
        <v/>
      </c>
      <c r="BG62" t="str">
        <f t="shared" si="51"/>
        <v/>
      </c>
      <c r="BH62" t="str">
        <f t="shared" si="52"/>
        <v/>
      </c>
      <c r="BI62" t="str">
        <f t="shared" si="53"/>
        <v/>
      </c>
      <c r="BJ62" t="str">
        <f t="shared" si="54"/>
        <v/>
      </c>
      <c r="BK62" t="str">
        <f t="shared" si="55"/>
        <v/>
      </c>
      <c r="BL62" t="str">
        <f t="shared" si="56"/>
        <v/>
      </c>
      <c r="BM62" t="str">
        <f t="shared" si="57"/>
        <v/>
      </c>
      <c r="BN62" t="str">
        <f t="shared" si="58"/>
        <v/>
      </c>
      <c r="BO62" t="str">
        <f t="shared" si="59"/>
        <v/>
      </c>
      <c r="BP62" t="str">
        <f t="shared" si="60"/>
        <v/>
      </c>
      <c r="BQ62" t="str">
        <f t="shared" si="61"/>
        <v/>
      </c>
      <c r="BR62" t="str">
        <f t="shared" si="62"/>
        <v/>
      </c>
      <c r="BS62" t="str">
        <f t="shared" si="63"/>
        <v/>
      </c>
      <c r="BT62" t="str">
        <f t="shared" si="64"/>
        <v/>
      </c>
      <c r="BU62" t="str">
        <f t="shared" si="65"/>
        <v/>
      </c>
    </row>
    <row r="63" spans="1:73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ConcatenateRange(AZ63:BU63,"||")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 t="shared" si="47"/>
        <v/>
      </c>
      <c r="BD63" t="str">
        <f t="shared" si="48"/>
        <v/>
      </c>
      <c r="BE63" t="str">
        <f t="shared" si="49"/>
        <v/>
      </c>
      <c r="BF63" t="str">
        <f t="shared" si="50"/>
        <v/>
      </c>
      <c r="BG63" t="str">
        <f t="shared" si="51"/>
        <v/>
      </c>
      <c r="BH63" t="str">
        <f t="shared" si="52"/>
        <v/>
      </c>
      <c r="BI63" t="str">
        <f t="shared" si="53"/>
        <v/>
      </c>
      <c r="BJ63" t="str">
        <f t="shared" si="54"/>
        <v/>
      </c>
      <c r="BK63" t="str">
        <f t="shared" si="55"/>
        <v/>
      </c>
      <c r="BL63" t="str">
        <f t="shared" si="56"/>
        <v/>
      </c>
      <c r="BM63" t="str">
        <f t="shared" si="57"/>
        <v/>
      </c>
      <c r="BN63" t="str">
        <f t="shared" si="58"/>
        <v/>
      </c>
      <c r="BO63" t="str">
        <f t="shared" si="59"/>
        <v/>
      </c>
      <c r="BP63" t="str">
        <f t="shared" si="60"/>
        <v/>
      </c>
      <c r="BQ63" t="str">
        <f t="shared" si="61"/>
        <v/>
      </c>
      <c r="BR63" t="str">
        <f t="shared" si="62"/>
        <v/>
      </c>
      <c r="BS63" t="str">
        <f t="shared" si="63"/>
        <v/>
      </c>
      <c r="BT63" t="str">
        <f t="shared" si="64"/>
        <v/>
      </c>
      <c r="BU63" t="str">
        <f t="shared" si="65"/>
        <v/>
      </c>
    </row>
    <row r="64" spans="1:73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ConcatenateRange(AZ64:BU64,"||")</f>
        <v/>
      </c>
      <c r="AZ64" t="str">
        <f t="shared" si="44"/>
        <v/>
      </c>
      <c r="BA64" t="str">
        <f t="shared" si="45"/>
        <v/>
      </c>
      <c r="BB64" t="str">
        <f t="shared" si="46"/>
        <v/>
      </c>
      <c r="BC64" t="str">
        <f t="shared" si="47"/>
        <v/>
      </c>
      <c r="BD64" t="str">
        <f t="shared" si="48"/>
        <v/>
      </c>
      <c r="BE64" t="str">
        <f t="shared" si="49"/>
        <v/>
      </c>
      <c r="BF64" t="str">
        <f t="shared" si="50"/>
        <v/>
      </c>
      <c r="BG64" t="str">
        <f t="shared" si="51"/>
        <v/>
      </c>
      <c r="BH64" t="str">
        <f t="shared" si="52"/>
        <v/>
      </c>
      <c r="BI64" t="str">
        <f t="shared" si="53"/>
        <v/>
      </c>
      <c r="BJ64" t="str">
        <f t="shared" si="54"/>
        <v/>
      </c>
      <c r="BK64" t="str">
        <f t="shared" si="55"/>
        <v/>
      </c>
      <c r="BL64" t="str">
        <f t="shared" si="56"/>
        <v/>
      </c>
      <c r="BM64" t="str">
        <f t="shared" si="57"/>
        <v/>
      </c>
      <c r="BN64" t="str">
        <f t="shared" si="58"/>
        <v/>
      </c>
      <c r="BO64" t="str">
        <f t="shared" si="59"/>
        <v/>
      </c>
      <c r="BP64" t="str">
        <f t="shared" si="60"/>
        <v/>
      </c>
      <c r="BQ64" t="str">
        <f t="shared" si="61"/>
        <v/>
      </c>
      <c r="BR64" t="str">
        <f t="shared" si="62"/>
        <v/>
      </c>
      <c r="BS64" t="str">
        <f t="shared" si="63"/>
        <v/>
      </c>
      <c r="BT64" t="str">
        <f t="shared" si="64"/>
        <v/>
      </c>
      <c r="BU64" t="str">
        <f t="shared" si="65"/>
        <v/>
      </c>
    </row>
    <row r="65" spans="1:73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ConcatenateRange(AZ65:BU65,"||")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4"/>
        <v/>
      </c>
      <c r="BA65" t="str">
        <f t="shared" si="45"/>
        <v>2 x / dag</v>
      </c>
      <c r="BB65" t="str">
        <f t="shared" si="46"/>
        <v>3 x / dag</v>
      </c>
      <c r="BC65" t="str">
        <f t="shared" si="47"/>
        <v>4 x / dag</v>
      </c>
      <c r="BD65" t="str">
        <f t="shared" si="48"/>
        <v/>
      </c>
      <c r="BE65" t="str">
        <f t="shared" si="49"/>
        <v/>
      </c>
      <c r="BF65" t="str">
        <f t="shared" si="50"/>
        <v/>
      </c>
      <c r="BG65" t="str">
        <f t="shared" si="51"/>
        <v/>
      </c>
      <c r="BH65" t="str">
        <f t="shared" si="52"/>
        <v/>
      </c>
      <c r="BI65" t="str">
        <f t="shared" si="53"/>
        <v/>
      </c>
      <c r="BJ65" t="str">
        <f t="shared" si="54"/>
        <v/>
      </c>
      <c r="BK65" t="str">
        <f t="shared" si="55"/>
        <v/>
      </c>
      <c r="BL65" t="str">
        <f t="shared" si="56"/>
        <v/>
      </c>
      <c r="BM65" t="str">
        <f t="shared" si="57"/>
        <v/>
      </c>
      <c r="BN65" t="str">
        <f t="shared" si="58"/>
        <v/>
      </c>
      <c r="BO65" t="str">
        <f t="shared" si="59"/>
        <v/>
      </c>
      <c r="BP65" t="str">
        <f t="shared" si="60"/>
        <v/>
      </c>
      <c r="BQ65" t="str">
        <f t="shared" si="61"/>
        <v/>
      </c>
      <c r="BR65" t="str">
        <f t="shared" si="62"/>
        <v/>
      </c>
      <c r="BS65" t="str">
        <f t="shared" si="63"/>
        <v/>
      </c>
      <c r="BT65" t="str">
        <f t="shared" si="64"/>
        <v/>
      </c>
      <c r="BU65" t="str">
        <f t="shared" si="65"/>
        <v/>
      </c>
    </row>
    <row r="66" spans="1:73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ConcatenateRange(AZ66:BU66,"||")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4"/>
        <v/>
      </c>
      <c r="BA66" t="str">
        <f t="shared" si="45"/>
        <v>2 x / dag</v>
      </c>
      <c r="BB66" t="str">
        <f t="shared" si="46"/>
        <v>3 x / dag</v>
      </c>
      <c r="BC66" t="str">
        <f t="shared" si="47"/>
        <v>4 x / dag</v>
      </c>
      <c r="BD66" t="str">
        <f t="shared" si="48"/>
        <v/>
      </c>
      <c r="BE66" t="str">
        <f t="shared" si="49"/>
        <v/>
      </c>
      <c r="BF66" t="str">
        <f t="shared" si="50"/>
        <v/>
      </c>
      <c r="BG66" t="str">
        <f t="shared" si="51"/>
        <v/>
      </c>
      <c r="BH66" t="str">
        <f t="shared" si="52"/>
        <v/>
      </c>
      <c r="BI66" t="str">
        <f t="shared" si="53"/>
        <v/>
      </c>
      <c r="BJ66" t="str">
        <f t="shared" si="54"/>
        <v/>
      </c>
      <c r="BK66" t="str">
        <f t="shared" si="55"/>
        <v/>
      </c>
      <c r="BL66" t="str">
        <f t="shared" si="56"/>
        <v/>
      </c>
      <c r="BM66" t="str">
        <f t="shared" si="57"/>
        <v/>
      </c>
      <c r="BN66" t="str">
        <f t="shared" si="58"/>
        <v/>
      </c>
      <c r="BO66" t="str">
        <f t="shared" si="59"/>
        <v/>
      </c>
      <c r="BP66" t="str">
        <f t="shared" si="60"/>
        <v/>
      </c>
      <c r="BQ66" t="str">
        <f t="shared" si="61"/>
        <v/>
      </c>
      <c r="BR66" t="str">
        <f t="shared" si="62"/>
        <v/>
      </c>
      <c r="BS66" t="str">
        <f t="shared" si="63"/>
        <v/>
      </c>
      <c r="BT66" t="str">
        <f t="shared" si="64"/>
        <v/>
      </c>
      <c r="BU66" t="str">
        <f t="shared" si="65"/>
        <v/>
      </c>
    </row>
    <row r="67" spans="1:73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ConcatenateRange(AZ67:BU67,"||")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4"/>
        <v/>
      </c>
      <c r="BA67" t="str">
        <f t="shared" si="45"/>
        <v>2 x / dag</v>
      </c>
      <c r="BB67" t="str">
        <f t="shared" si="46"/>
        <v>3 x / dag</v>
      </c>
      <c r="BC67" t="str">
        <f t="shared" si="47"/>
        <v>4 x / dag</v>
      </c>
      <c r="BD67" t="str">
        <f t="shared" si="48"/>
        <v/>
      </c>
      <c r="BE67" t="str">
        <f t="shared" si="49"/>
        <v/>
      </c>
      <c r="BF67" t="str">
        <f t="shared" si="50"/>
        <v/>
      </c>
      <c r="BG67" t="str">
        <f t="shared" si="51"/>
        <v/>
      </c>
      <c r="BH67" t="str">
        <f t="shared" si="52"/>
        <v/>
      </c>
      <c r="BI67" t="str">
        <f t="shared" si="53"/>
        <v/>
      </c>
      <c r="BJ67" t="str">
        <f t="shared" si="54"/>
        <v/>
      </c>
      <c r="BK67" t="str">
        <f t="shared" si="55"/>
        <v/>
      </c>
      <c r="BL67" t="str">
        <f t="shared" si="56"/>
        <v/>
      </c>
      <c r="BM67" t="str">
        <f t="shared" si="57"/>
        <v/>
      </c>
      <c r="BN67" t="str">
        <f t="shared" si="58"/>
        <v/>
      </c>
      <c r="BO67" t="str">
        <f t="shared" si="59"/>
        <v/>
      </c>
      <c r="BP67" t="str">
        <f t="shared" si="60"/>
        <v/>
      </c>
      <c r="BQ67" t="str">
        <f t="shared" si="61"/>
        <v/>
      </c>
      <c r="BR67" t="str">
        <f t="shared" si="62"/>
        <v/>
      </c>
      <c r="BS67" t="str">
        <f t="shared" si="63"/>
        <v/>
      </c>
      <c r="BT67" t="str">
        <f t="shared" si="64"/>
        <v/>
      </c>
      <c r="BU67" t="str">
        <f t="shared" si="65"/>
        <v/>
      </c>
    </row>
    <row r="68" spans="1:73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ConcatenateRange(AZ68:BU68,"||")</f>
        <v/>
      </c>
      <c r="AZ68" t="str">
        <f t="shared" si="44"/>
        <v/>
      </c>
      <c r="BA68" t="str">
        <f t="shared" si="45"/>
        <v/>
      </c>
      <c r="BB68" t="str">
        <f t="shared" si="46"/>
        <v/>
      </c>
      <c r="BC68" t="str">
        <f t="shared" si="47"/>
        <v/>
      </c>
      <c r="BD68" t="str">
        <f t="shared" si="48"/>
        <v/>
      </c>
      <c r="BE68" t="str">
        <f t="shared" si="49"/>
        <v/>
      </c>
      <c r="BF68" t="str">
        <f t="shared" si="50"/>
        <v/>
      </c>
      <c r="BG68" t="str">
        <f t="shared" si="51"/>
        <v/>
      </c>
      <c r="BH68" t="str">
        <f t="shared" si="52"/>
        <v/>
      </c>
      <c r="BI68" t="str">
        <f t="shared" si="53"/>
        <v/>
      </c>
      <c r="BJ68" t="str">
        <f t="shared" si="54"/>
        <v/>
      </c>
      <c r="BK68" t="str">
        <f t="shared" si="55"/>
        <v/>
      </c>
      <c r="BL68" t="str">
        <f t="shared" si="56"/>
        <v/>
      </c>
      <c r="BM68" t="str">
        <f t="shared" si="57"/>
        <v/>
      </c>
      <c r="BN68" t="str">
        <f t="shared" si="58"/>
        <v/>
      </c>
      <c r="BO68" t="str">
        <f t="shared" si="59"/>
        <v/>
      </c>
      <c r="BP68" t="str">
        <f t="shared" si="60"/>
        <v/>
      </c>
      <c r="BQ68" t="str">
        <f t="shared" si="61"/>
        <v/>
      </c>
      <c r="BR68" t="str">
        <f t="shared" si="62"/>
        <v/>
      </c>
      <c r="BS68" t="str">
        <f t="shared" si="63"/>
        <v/>
      </c>
      <c r="BT68" t="str">
        <f t="shared" si="64"/>
        <v/>
      </c>
      <c r="BU68" t="str">
        <f t="shared" si="65"/>
        <v/>
      </c>
    </row>
    <row r="69" spans="1:73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ConcatenateRange(AZ69:BU69,"||")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4"/>
        <v/>
      </c>
      <c r="BA69" t="str">
        <f t="shared" si="45"/>
        <v>2 x / dag</v>
      </c>
      <c r="BB69" t="str">
        <f t="shared" si="46"/>
        <v>3 x / dag</v>
      </c>
      <c r="BC69" t="str">
        <f t="shared" si="47"/>
        <v>4 x / dag</v>
      </c>
      <c r="BD69" t="str">
        <f t="shared" si="48"/>
        <v/>
      </c>
      <c r="BE69" t="str">
        <f t="shared" si="49"/>
        <v/>
      </c>
      <c r="BF69" t="str">
        <f t="shared" si="50"/>
        <v/>
      </c>
      <c r="BG69" t="str">
        <f t="shared" si="51"/>
        <v/>
      </c>
      <c r="BH69" t="str">
        <f t="shared" si="52"/>
        <v/>
      </c>
      <c r="BI69" t="str">
        <f t="shared" si="53"/>
        <v/>
      </c>
      <c r="BJ69" t="str">
        <f t="shared" si="54"/>
        <v/>
      </c>
      <c r="BK69" t="str">
        <f t="shared" si="55"/>
        <v/>
      </c>
      <c r="BL69" t="str">
        <f t="shared" si="56"/>
        <v/>
      </c>
      <c r="BM69" t="str">
        <f t="shared" si="57"/>
        <v/>
      </c>
      <c r="BN69" t="str">
        <f t="shared" si="58"/>
        <v/>
      </c>
      <c r="BO69" t="str">
        <f t="shared" si="59"/>
        <v/>
      </c>
      <c r="BP69" t="str">
        <f t="shared" si="60"/>
        <v/>
      </c>
      <c r="BQ69" t="str">
        <f t="shared" si="61"/>
        <v/>
      </c>
      <c r="BR69" t="str">
        <f t="shared" si="62"/>
        <v/>
      </c>
      <c r="BS69" t="str">
        <f t="shared" si="63"/>
        <v/>
      </c>
      <c r="BT69" t="str">
        <f t="shared" si="64"/>
        <v/>
      </c>
      <c r="BU69" t="str">
        <f t="shared" si="65"/>
        <v/>
      </c>
    </row>
    <row r="70" spans="1:73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ConcatenateRange(AZ70:BU70,"||")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4"/>
        <v/>
      </c>
      <c r="BA70" t="str">
        <f t="shared" si="45"/>
        <v>2 x / dag</v>
      </c>
      <c r="BB70" t="str">
        <f t="shared" si="46"/>
        <v>3 x / dag</v>
      </c>
      <c r="BC70" t="str">
        <f t="shared" si="47"/>
        <v>4 x / dag</v>
      </c>
      <c r="BD70" t="str">
        <f t="shared" si="48"/>
        <v/>
      </c>
      <c r="BE70" t="str">
        <f t="shared" si="49"/>
        <v/>
      </c>
      <c r="BF70" t="str">
        <f t="shared" si="50"/>
        <v/>
      </c>
      <c r="BG70" t="str">
        <f t="shared" si="51"/>
        <v/>
      </c>
      <c r="BH70" t="str">
        <f t="shared" si="52"/>
        <v/>
      </c>
      <c r="BI70" t="str">
        <f t="shared" si="53"/>
        <v/>
      </c>
      <c r="BJ70" t="str">
        <f t="shared" si="54"/>
        <v/>
      </c>
      <c r="BK70" t="str">
        <f t="shared" si="55"/>
        <v/>
      </c>
      <c r="BL70" t="str">
        <f t="shared" si="56"/>
        <v/>
      </c>
      <c r="BM70" t="str">
        <f t="shared" si="57"/>
        <v/>
      </c>
      <c r="BN70" t="str">
        <f t="shared" si="58"/>
        <v/>
      </c>
      <c r="BO70" t="str">
        <f t="shared" si="59"/>
        <v/>
      </c>
      <c r="BP70" t="str">
        <f t="shared" si="60"/>
        <v/>
      </c>
      <c r="BQ70" t="str">
        <f t="shared" si="61"/>
        <v/>
      </c>
      <c r="BR70" t="str">
        <f t="shared" si="62"/>
        <v/>
      </c>
      <c r="BS70" t="str">
        <f t="shared" si="63"/>
        <v/>
      </c>
      <c r="BT70" t="str">
        <f t="shared" si="64"/>
        <v/>
      </c>
      <c r="BU70" t="str">
        <f t="shared" si="65"/>
        <v/>
      </c>
    </row>
    <row r="71" spans="1:73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ConcatenateRange(AZ71:BU71,"||")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4"/>
        <v/>
      </c>
      <c r="BA71" t="str">
        <f t="shared" si="45"/>
        <v>2 x / dag</v>
      </c>
      <c r="BB71" t="str">
        <f t="shared" si="46"/>
        <v>3 x / dag</v>
      </c>
      <c r="BC71" t="str">
        <f t="shared" si="47"/>
        <v>4 x / dag</v>
      </c>
      <c r="BD71" t="str">
        <f t="shared" si="48"/>
        <v/>
      </c>
      <c r="BE71" t="str">
        <f t="shared" si="49"/>
        <v/>
      </c>
      <c r="BF71" t="str">
        <f t="shared" si="50"/>
        <v/>
      </c>
      <c r="BG71" t="str">
        <f t="shared" si="51"/>
        <v/>
      </c>
      <c r="BH71" t="str">
        <f t="shared" si="52"/>
        <v/>
      </c>
      <c r="BI71" t="str">
        <f t="shared" si="53"/>
        <v/>
      </c>
      <c r="BJ71" t="str">
        <f t="shared" si="54"/>
        <v/>
      </c>
      <c r="BK71" t="str">
        <f t="shared" si="55"/>
        <v/>
      </c>
      <c r="BL71" t="str">
        <f t="shared" si="56"/>
        <v/>
      </c>
      <c r="BM71" t="str">
        <f t="shared" si="57"/>
        <v/>
      </c>
      <c r="BN71" t="str">
        <f t="shared" si="58"/>
        <v/>
      </c>
      <c r="BO71" t="str">
        <f t="shared" si="59"/>
        <v/>
      </c>
      <c r="BP71" t="str">
        <f t="shared" si="60"/>
        <v/>
      </c>
      <c r="BQ71" t="str">
        <f t="shared" si="61"/>
        <v/>
      </c>
      <c r="BR71" t="str">
        <f t="shared" si="62"/>
        <v/>
      </c>
      <c r="BS71" t="str">
        <f t="shared" si="63"/>
        <v/>
      </c>
      <c r="BT71" t="str">
        <f t="shared" si="64"/>
        <v/>
      </c>
      <c r="BU71" t="str">
        <f t="shared" si="65"/>
        <v/>
      </c>
    </row>
    <row r="72" spans="1:73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ConcatenateRange(AZ72:BU72,"||")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4"/>
        <v/>
      </c>
      <c r="BA72" t="str">
        <f t="shared" si="45"/>
        <v>2 x / dag</v>
      </c>
      <c r="BB72" t="str">
        <f t="shared" si="46"/>
        <v>3 x / dag</v>
      </c>
      <c r="BC72" t="str">
        <f t="shared" si="47"/>
        <v>4 x / dag</v>
      </c>
      <c r="BD72" t="str">
        <f t="shared" si="48"/>
        <v/>
      </c>
      <c r="BE72" t="str">
        <f t="shared" si="49"/>
        <v/>
      </c>
      <c r="BF72" t="str">
        <f t="shared" si="50"/>
        <v/>
      </c>
      <c r="BG72" t="str">
        <f t="shared" si="51"/>
        <v/>
      </c>
      <c r="BH72" t="str">
        <f t="shared" si="52"/>
        <v/>
      </c>
      <c r="BI72" t="str">
        <f t="shared" si="53"/>
        <v/>
      </c>
      <c r="BJ72" t="str">
        <f t="shared" si="54"/>
        <v/>
      </c>
      <c r="BK72" t="str">
        <f t="shared" si="55"/>
        <v/>
      </c>
      <c r="BL72" t="str">
        <f t="shared" si="56"/>
        <v/>
      </c>
      <c r="BM72" t="str">
        <f t="shared" si="57"/>
        <v/>
      </c>
      <c r="BN72" t="str">
        <f t="shared" si="58"/>
        <v/>
      </c>
      <c r="BO72" t="str">
        <f t="shared" si="59"/>
        <v/>
      </c>
      <c r="BP72" t="str">
        <f t="shared" si="60"/>
        <v/>
      </c>
      <c r="BQ72" t="str">
        <f t="shared" si="61"/>
        <v/>
      </c>
      <c r="BR72" t="str">
        <f t="shared" si="62"/>
        <v/>
      </c>
      <c r="BS72" t="str">
        <f t="shared" si="63"/>
        <v/>
      </c>
      <c r="BT72" t="str">
        <f t="shared" si="64"/>
        <v/>
      </c>
      <c r="BU72" t="str">
        <f t="shared" si="65"/>
        <v/>
      </c>
    </row>
    <row r="73" spans="1:73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ConcatenateRange(AZ73:BU73,"||")</f>
        <v/>
      </c>
      <c r="AZ73" t="str">
        <f t="shared" si="44"/>
        <v/>
      </c>
      <c r="BA73" t="str">
        <f t="shared" si="45"/>
        <v/>
      </c>
      <c r="BB73" t="str">
        <f t="shared" si="46"/>
        <v/>
      </c>
      <c r="BC73" t="str">
        <f t="shared" si="47"/>
        <v/>
      </c>
      <c r="BD73" t="str">
        <f t="shared" si="48"/>
        <v/>
      </c>
      <c r="BE73" t="str">
        <f t="shared" si="49"/>
        <v/>
      </c>
      <c r="BF73" t="str">
        <f t="shared" si="50"/>
        <v/>
      </c>
      <c r="BG73" t="str">
        <f t="shared" si="51"/>
        <v/>
      </c>
      <c r="BH73" t="str">
        <f t="shared" si="52"/>
        <v/>
      </c>
      <c r="BI73" t="str">
        <f t="shared" si="53"/>
        <v/>
      </c>
      <c r="BJ73" t="str">
        <f t="shared" si="54"/>
        <v/>
      </c>
      <c r="BK73" t="str">
        <f t="shared" si="55"/>
        <v/>
      </c>
      <c r="BL73" t="str">
        <f t="shared" si="56"/>
        <v/>
      </c>
      <c r="BM73" t="str">
        <f t="shared" si="57"/>
        <v/>
      </c>
      <c r="BN73" t="str">
        <f t="shared" si="58"/>
        <v/>
      </c>
      <c r="BO73" t="str">
        <f t="shared" si="59"/>
        <v/>
      </c>
      <c r="BP73" t="str">
        <f t="shared" si="60"/>
        <v/>
      </c>
      <c r="BQ73" t="str">
        <f t="shared" si="61"/>
        <v/>
      </c>
      <c r="BR73" t="str">
        <f t="shared" si="62"/>
        <v/>
      </c>
      <c r="BS73" t="str">
        <f t="shared" si="63"/>
        <v/>
      </c>
      <c r="BT73" t="str">
        <f t="shared" si="64"/>
        <v/>
      </c>
      <c r="BU73" t="str">
        <f t="shared" si="65"/>
        <v/>
      </c>
    </row>
    <row r="74" spans="1:73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ConcatenateRange(AZ74:BU74,"||")</f>
        <v/>
      </c>
      <c r="AZ74" t="str">
        <f t="shared" si="44"/>
        <v/>
      </c>
      <c r="BA74" t="str">
        <f t="shared" si="45"/>
        <v/>
      </c>
      <c r="BB74" t="str">
        <f t="shared" si="46"/>
        <v/>
      </c>
      <c r="BC74" t="str">
        <f t="shared" si="47"/>
        <v/>
      </c>
      <c r="BD74" t="str">
        <f t="shared" si="48"/>
        <v/>
      </c>
      <c r="BE74" t="str">
        <f t="shared" si="49"/>
        <v/>
      </c>
      <c r="BF74" t="str">
        <f t="shared" si="50"/>
        <v/>
      </c>
      <c r="BG74" t="str">
        <f t="shared" si="51"/>
        <v/>
      </c>
      <c r="BH74" t="str">
        <f t="shared" si="52"/>
        <v/>
      </c>
      <c r="BI74" t="str">
        <f t="shared" si="53"/>
        <v/>
      </c>
      <c r="BJ74" t="str">
        <f t="shared" si="54"/>
        <v/>
      </c>
      <c r="BK74" t="str">
        <f t="shared" si="55"/>
        <v/>
      </c>
      <c r="BL74" t="str">
        <f t="shared" si="56"/>
        <v/>
      </c>
      <c r="BM74" t="str">
        <f t="shared" si="57"/>
        <v/>
      </c>
      <c r="BN74" t="str">
        <f t="shared" si="58"/>
        <v/>
      </c>
      <c r="BO74" t="str">
        <f t="shared" si="59"/>
        <v/>
      </c>
      <c r="BP74" t="str">
        <f t="shared" si="60"/>
        <v/>
      </c>
      <c r="BQ74" t="str">
        <f t="shared" si="61"/>
        <v/>
      </c>
      <c r="BR74" t="str">
        <f t="shared" si="62"/>
        <v/>
      </c>
      <c r="BS74" t="str">
        <f t="shared" si="63"/>
        <v/>
      </c>
      <c r="BT74" t="str">
        <f t="shared" si="64"/>
        <v/>
      </c>
      <c r="BU74" t="str">
        <f t="shared" si="65"/>
        <v/>
      </c>
    </row>
    <row r="75" spans="1:73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ConcatenateRange(AZ75:BU75,"||")</f>
        <v/>
      </c>
      <c r="AZ75" t="str">
        <f t="shared" si="44"/>
        <v/>
      </c>
      <c r="BA75" t="str">
        <f t="shared" si="45"/>
        <v/>
      </c>
      <c r="BB75" t="str">
        <f t="shared" si="46"/>
        <v/>
      </c>
      <c r="BC75" t="str">
        <f t="shared" si="47"/>
        <v/>
      </c>
      <c r="BD75" t="str">
        <f t="shared" si="48"/>
        <v/>
      </c>
      <c r="BE75" t="str">
        <f t="shared" si="49"/>
        <v/>
      </c>
      <c r="BF75" t="str">
        <f t="shared" si="50"/>
        <v/>
      </c>
      <c r="BG75" t="str">
        <f t="shared" si="51"/>
        <v/>
      </c>
      <c r="BH75" t="str">
        <f t="shared" si="52"/>
        <v/>
      </c>
      <c r="BI75" t="str">
        <f t="shared" si="53"/>
        <v/>
      </c>
      <c r="BJ75" t="str">
        <f t="shared" si="54"/>
        <v/>
      </c>
      <c r="BK75" t="str">
        <f t="shared" si="55"/>
        <v/>
      </c>
      <c r="BL75" t="str">
        <f t="shared" si="56"/>
        <v/>
      </c>
      <c r="BM75" t="str">
        <f t="shared" si="57"/>
        <v/>
      </c>
      <c r="BN75" t="str">
        <f t="shared" si="58"/>
        <v/>
      </c>
      <c r="BO75" t="str">
        <f t="shared" si="59"/>
        <v/>
      </c>
      <c r="BP75" t="str">
        <f t="shared" si="60"/>
        <v/>
      </c>
      <c r="BQ75" t="str">
        <f t="shared" si="61"/>
        <v/>
      </c>
      <c r="BR75" t="str">
        <f t="shared" si="62"/>
        <v/>
      </c>
      <c r="BS75" t="str">
        <f t="shared" si="63"/>
        <v/>
      </c>
      <c r="BT75" t="str">
        <f t="shared" si="64"/>
        <v/>
      </c>
      <c r="BU75" t="str">
        <f t="shared" si="65"/>
        <v/>
      </c>
    </row>
    <row r="76" spans="1:73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ConcatenateRange(AZ76:BU76,"||")</f>
        <v/>
      </c>
      <c r="AZ76" t="str">
        <f t="shared" si="44"/>
        <v/>
      </c>
      <c r="BA76" t="str">
        <f t="shared" si="45"/>
        <v/>
      </c>
      <c r="BB76" t="str">
        <f t="shared" si="46"/>
        <v/>
      </c>
      <c r="BC76" t="str">
        <f t="shared" si="47"/>
        <v/>
      </c>
      <c r="BD76" t="str">
        <f t="shared" si="48"/>
        <v/>
      </c>
      <c r="BE76" t="str">
        <f t="shared" si="49"/>
        <v/>
      </c>
      <c r="BF76" t="str">
        <f t="shared" si="50"/>
        <v/>
      </c>
      <c r="BG76" t="str">
        <f t="shared" si="51"/>
        <v/>
      </c>
      <c r="BH76" t="str">
        <f t="shared" si="52"/>
        <v/>
      </c>
      <c r="BI76" t="str">
        <f t="shared" si="53"/>
        <v/>
      </c>
      <c r="BJ76" t="str">
        <f t="shared" si="54"/>
        <v/>
      </c>
      <c r="BK76" t="str">
        <f t="shared" si="55"/>
        <v/>
      </c>
      <c r="BL76" t="str">
        <f t="shared" si="56"/>
        <v/>
      </c>
      <c r="BM76" t="str">
        <f t="shared" si="57"/>
        <v/>
      </c>
      <c r="BN76" t="str">
        <f t="shared" si="58"/>
        <v/>
      </c>
      <c r="BO76" t="str">
        <f t="shared" si="59"/>
        <v/>
      </c>
      <c r="BP76" t="str">
        <f t="shared" si="60"/>
        <v/>
      </c>
      <c r="BQ76" t="str">
        <f t="shared" si="61"/>
        <v/>
      </c>
      <c r="BR76" t="str">
        <f t="shared" si="62"/>
        <v/>
      </c>
      <c r="BS76" t="str">
        <f t="shared" si="63"/>
        <v/>
      </c>
      <c r="BT76" t="str">
        <f t="shared" si="64"/>
        <v/>
      </c>
      <c r="BU76" t="str">
        <f t="shared" si="65"/>
        <v/>
      </c>
    </row>
    <row r="77" spans="1:73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ConcatenateRange(AZ77:BU77,"||")</f>
        <v/>
      </c>
      <c r="AZ77" t="str">
        <f t="shared" si="44"/>
        <v/>
      </c>
      <c r="BA77" t="str">
        <f t="shared" si="45"/>
        <v/>
      </c>
      <c r="BB77" t="str">
        <f t="shared" si="46"/>
        <v/>
      </c>
      <c r="BC77" t="str">
        <f t="shared" si="47"/>
        <v/>
      </c>
      <c r="BD77" t="str">
        <f t="shared" si="48"/>
        <v/>
      </c>
      <c r="BE77" t="str">
        <f t="shared" si="49"/>
        <v/>
      </c>
      <c r="BF77" t="str">
        <f t="shared" si="50"/>
        <v/>
      </c>
      <c r="BG77" t="str">
        <f t="shared" si="51"/>
        <v/>
      </c>
      <c r="BH77" t="str">
        <f t="shared" si="52"/>
        <v/>
      </c>
      <c r="BI77" t="str">
        <f t="shared" si="53"/>
        <v/>
      </c>
      <c r="BJ77" t="str">
        <f t="shared" si="54"/>
        <v/>
      </c>
      <c r="BK77" t="str">
        <f t="shared" si="55"/>
        <v/>
      </c>
      <c r="BL77" t="str">
        <f t="shared" si="56"/>
        <v/>
      </c>
      <c r="BM77" t="str">
        <f t="shared" si="57"/>
        <v/>
      </c>
      <c r="BN77" t="str">
        <f t="shared" si="58"/>
        <v/>
      </c>
      <c r="BO77" t="str">
        <f t="shared" si="59"/>
        <v/>
      </c>
      <c r="BP77" t="str">
        <f t="shared" si="60"/>
        <v/>
      </c>
      <c r="BQ77" t="str">
        <f t="shared" si="61"/>
        <v/>
      </c>
      <c r="BR77" t="str">
        <f t="shared" si="62"/>
        <v/>
      </c>
      <c r="BS77" t="str">
        <f t="shared" si="63"/>
        <v/>
      </c>
      <c r="BT77" t="str">
        <f t="shared" si="64"/>
        <v/>
      </c>
      <c r="BU77" t="str">
        <f t="shared" si="65"/>
        <v/>
      </c>
    </row>
    <row r="78" spans="1:73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ConcatenateRange(AZ78:BU78,"||")</f>
        <v/>
      </c>
      <c r="AZ78" t="str">
        <f t="shared" si="44"/>
        <v/>
      </c>
      <c r="BA78" t="str">
        <f t="shared" si="45"/>
        <v/>
      </c>
      <c r="BB78" t="str">
        <f t="shared" si="46"/>
        <v/>
      </c>
      <c r="BC78" t="str">
        <f t="shared" si="47"/>
        <v/>
      </c>
      <c r="BD78" t="str">
        <f t="shared" si="48"/>
        <v/>
      </c>
      <c r="BE78" t="str">
        <f t="shared" si="49"/>
        <v/>
      </c>
      <c r="BF78" t="str">
        <f t="shared" si="50"/>
        <v/>
      </c>
      <c r="BG78" t="str">
        <f t="shared" si="51"/>
        <v/>
      </c>
      <c r="BH78" t="str">
        <f t="shared" si="52"/>
        <v/>
      </c>
      <c r="BI78" t="str">
        <f t="shared" si="53"/>
        <v/>
      </c>
      <c r="BJ78" t="str">
        <f t="shared" si="54"/>
        <v/>
      </c>
      <c r="BK78" t="str">
        <f t="shared" si="55"/>
        <v/>
      </c>
      <c r="BL78" t="str">
        <f t="shared" si="56"/>
        <v/>
      </c>
      <c r="BM78" t="str">
        <f t="shared" si="57"/>
        <v/>
      </c>
      <c r="BN78" t="str">
        <f t="shared" si="58"/>
        <v/>
      </c>
      <c r="BO78" t="str">
        <f t="shared" si="59"/>
        <v/>
      </c>
      <c r="BP78" t="str">
        <f t="shared" si="60"/>
        <v/>
      </c>
      <c r="BQ78" t="str">
        <f t="shared" si="61"/>
        <v/>
      </c>
      <c r="BR78" t="str">
        <f t="shared" si="62"/>
        <v/>
      </c>
      <c r="BS78" t="str">
        <f t="shared" si="63"/>
        <v/>
      </c>
      <c r="BT78" t="str">
        <f t="shared" si="64"/>
        <v/>
      </c>
      <c r="BU78" t="str">
        <f t="shared" si="65"/>
        <v/>
      </c>
    </row>
    <row r="79" spans="1:73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ConcatenateRange(AZ79:BU79,"||")</f>
        <v/>
      </c>
      <c r="AZ79" t="str">
        <f t="shared" si="44"/>
        <v/>
      </c>
      <c r="BA79" t="str">
        <f t="shared" si="45"/>
        <v/>
      </c>
      <c r="BB79" t="str">
        <f t="shared" si="46"/>
        <v/>
      </c>
      <c r="BC79" t="str">
        <f t="shared" si="47"/>
        <v/>
      </c>
      <c r="BD79" t="str">
        <f t="shared" si="48"/>
        <v/>
      </c>
      <c r="BE79" t="str">
        <f t="shared" si="49"/>
        <v/>
      </c>
      <c r="BF79" t="str">
        <f t="shared" si="50"/>
        <v/>
      </c>
      <c r="BG79" t="str">
        <f t="shared" si="51"/>
        <v/>
      </c>
      <c r="BH79" t="str">
        <f t="shared" si="52"/>
        <v/>
      </c>
      <c r="BI79" t="str">
        <f t="shared" si="53"/>
        <v/>
      </c>
      <c r="BJ79" t="str">
        <f t="shared" si="54"/>
        <v/>
      </c>
      <c r="BK79" t="str">
        <f t="shared" si="55"/>
        <v/>
      </c>
      <c r="BL79" t="str">
        <f t="shared" si="56"/>
        <v/>
      </c>
      <c r="BM79" t="str">
        <f t="shared" si="57"/>
        <v/>
      </c>
      <c r="BN79" t="str">
        <f t="shared" si="58"/>
        <v/>
      </c>
      <c r="BO79" t="str">
        <f t="shared" si="59"/>
        <v/>
      </c>
      <c r="BP79" t="str">
        <f t="shared" si="60"/>
        <v/>
      </c>
      <c r="BQ79" t="str">
        <f t="shared" si="61"/>
        <v/>
      </c>
      <c r="BR79" t="str">
        <f t="shared" si="62"/>
        <v/>
      </c>
      <c r="BS79" t="str">
        <f t="shared" si="63"/>
        <v/>
      </c>
      <c r="BT79" t="str">
        <f t="shared" si="64"/>
        <v/>
      </c>
      <c r="BU79" t="str">
        <f t="shared" si="65"/>
        <v/>
      </c>
    </row>
    <row r="80" spans="1:73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ConcatenateRange(AZ80:BU80,"||")</f>
        <v/>
      </c>
      <c r="AZ80" t="str">
        <f t="shared" si="44"/>
        <v/>
      </c>
      <c r="BA80" t="str">
        <f t="shared" si="45"/>
        <v/>
      </c>
      <c r="BB80" t="str">
        <f t="shared" si="46"/>
        <v/>
      </c>
      <c r="BC80" t="str">
        <f t="shared" si="47"/>
        <v/>
      </c>
      <c r="BD80" t="str">
        <f t="shared" si="48"/>
        <v/>
      </c>
      <c r="BE80" t="str">
        <f t="shared" si="49"/>
        <v/>
      </c>
      <c r="BF80" t="str">
        <f t="shared" si="50"/>
        <v/>
      </c>
      <c r="BG80" t="str">
        <f t="shared" si="51"/>
        <v/>
      </c>
      <c r="BH80" t="str">
        <f t="shared" si="52"/>
        <v/>
      </c>
      <c r="BI80" t="str">
        <f t="shared" si="53"/>
        <v/>
      </c>
      <c r="BJ80" t="str">
        <f t="shared" si="54"/>
        <v/>
      </c>
      <c r="BK80" t="str">
        <f t="shared" si="55"/>
        <v/>
      </c>
      <c r="BL80" t="str">
        <f t="shared" si="56"/>
        <v/>
      </c>
      <c r="BM80" t="str">
        <f t="shared" si="57"/>
        <v/>
      </c>
      <c r="BN80" t="str">
        <f t="shared" si="58"/>
        <v/>
      </c>
      <c r="BO80" t="str">
        <f t="shared" si="59"/>
        <v/>
      </c>
      <c r="BP80" t="str">
        <f t="shared" si="60"/>
        <v/>
      </c>
      <c r="BQ80" t="str">
        <f t="shared" si="61"/>
        <v/>
      </c>
      <c r="BR80" t="str">
        <f t="shared" si="62"/>
        <v/>
      </c>
      <c r="BS80" t="str">
        <f t="shared" si="63"/>
        <v/>
      </c>
      <c r="BT80" t="str">
        <f t="shared" si="64"/>
        <v/>
      </c>
      <c r="BU80" t="str">
        <f t="shared" si="65"/>
        <v/>
      </c>
    </row>
    <row r="81" spans="1:73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ConcatenateRange(AZ81:BU81,"||")</f>
        <v/>
      </c>
      <c r="AZ81" t="str">
        <f t="shared" si="44"/>
        <v/>
      </c>
      <c r="BA81" t="str">
        <f t="shared" si="45"/>
        <v/>
      </c>
      <c r="BB81" t="str">
        <f t="shared" si="46"/>
        <v/>
      </c>
      <c r="BC81" t="str">
        <f t="shared" si="47"/>
        <v/>
      </c>
      <c r="BD81" t="str">
        <f t="shared" si="48"/>
        <v/>
      </c>
      <c r="BE81" t="str">
        <f t="shared" si="49"/>
        <v/>
      </c>
      <c r="BF81" t="str">
        <f t="shared" si="50"/>
        <v/>
      </c>
      <c r="BG81" t="str">
        <f t="shared" si="51"/>
        <v/>
      </c>
      <c r="BH81" t="str">
        <f t="shared" si="52"/>
        <v/>
      </c>
      <c r="BI81" t="str">
        <f t="shared" si="53"/>
        <v/>
      </c>
      <c r="BJ81" t="str">
        <f t="shared" si="54"/>
        <v/>
      </c>
      <c r="BK81" t="str">
        <f t="shared" si="55"/>
        <v/>
      </c>
      <c r="BL81" t="str">
        <f t="shared" si="56"/>
        <v/>
      </c>
      <c r="BM81" t="str">
        <f t="shared" si="57"/>
        <v/>
      </c>
      <c r="BN81" t="str">
        <f t="shared" si="58"/>
        <v/>
      </c>
      <c r="BO81" t="str">
        <f t="shared" si="59"/>
        <v/>
      </c>
      <c r="BP81" t="str">
        <f t="shared" si="60"/>
        <v/>
      </c>
      <c r="BQ81" t="str">
        <f t="shared" si="61"/>
        <v/>
      </c>
      <c r="BR81" t="str">
        <f t="shared" si="62"/>
        <v/>
      </c>
      <c r="BS81" t="str">
        <f t="shared" si="63"/>
        <v/>
      </c>
      <c r="BT81" t="str">
        <f t="shared" si="64"/>
        <v/>
      </c>
      <c r="BU81" t="str">
        <f t="shared" si="65"/>
        <v/>
      </c>
    </row>
    <row r="82" spans="1:73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ConcatenateRange(AZ82:BU82,"||")</f>
        <v/>
      </c>
      <c r="AZ82" t="str">
        <f t="shared" si="44"/>
        <v/>
      </c>
      <c r="BA82" t="str">
        <f t="shared" si="45"/>
        <v/>
      </c>
      <c r="BB82" t="str">
        <f t="shared" si="46"/>
        <v/>
      </c>
      <c r="BC82" t="str">
        <f t="shared" si="47"/>
        <v/>
      </c>
      <c r="BD82" t="str">
        <f t="shared" si="48"/>
        <v/>
      </c>
      <c r="BE82" t="str">
        <f t="shared" si="49"/>
        <v/>
      </c>
      <c r="BF82" t="str">
        <f t="shared" si="50"/>
        <v/>
      </c>
      <c r="BG82" t="str">
        <f t="shared" si="51"/>
        <v/>
      </c>
      <c r="BH82" t="str">
        <f t="shared" si="52"/>
        <v/>
      </c>
      <c r="BI82" t="str">
        <f t="shared" si="53"/>
        <v/>
      </c>
      <c r="BJ82" t="str">
        <f t="shared" si="54"/>
        <v/>
      </c>
      <c r="BK82" t="str">
        <f t="shared" si="55"/>
        <v/>
      </c>
      <c r="BL82" t="str">
        <f t="shared" si="56"/>
        <v/>
      </c>
      <c r="BM82" t="str">
        <f t="shared" si="57"/>
        <v/>
      </c>
      <c r="BN82" t="str">
        <f t="shared" si="58"/>
        <v/>
      </c>
      <c r="BO82" t="str">
        <f t="shared" si="59"/>
        <v/>
      </c>
      <c r="BP82" t="str">
        <f t="shared" si="60"/>
        <v/>
      </c>
      <c r="BQ82" t="str">
        <f t="shared" si="61"/>
        <v/>
      </c>
      <c r="BR82" t="str">
        <f t="shared" si="62"/>
        <v/>
      </c>
      <c r="BS82" t="str">
        <f t="shared" si="63"/>
        <v/>
      </c>
      <c r="BT82" t="str">
        <f t="shared" si="64"/>
        <v/>
      </c>
      <c r="BU82" t="str">
        <f t="shared" si="65"/>
        <v/>
      </c>
    </row>
    <row r="83" spans="1:73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ConcatenateRange(AZ83:BU83,"||")</f>
        <v/>
      </c>
      <c r="AZ83" t="str">
        <f t="shared" si="44"/>
        <v/>
      </c>
      <c r="BA83" t="str">
        <f t="shared" si="45"/>
        <v/>
      </c>
      <c r="BB83" t="str">
        <f t="shared" si="46"/>
        <v/>
      </c>
      <c r="BC83" t="str">
        <f t="shared" si="47"/>
        <v/>
      </c>
      <c r="BD83" t="str">
        <f t="shared" si="48"/>
        <v/>
      </c>
      <c r="BE83" t="str">
        <f t="shared" si="49"/>
        <v/>
      </c>
      <c r="BF83" t="str">
        <f t="shared" si="50"/>
        <v/>
      </c>
      <c r="BG83" t="str">
        <f t="shared" si="51"/>
        <v/>
      </c>
      <c r="BH83" t="str">
        <f t="shared" si="52"/>
        <v/>
      </c>
      <c r="BI83" t="str">
        <f t="shared" si="53"/>
        <v/>
      </c>
      <c r="BJ83" t="str">
        <f t="shared" si="54"/>
        <v/>
      </c>
      <c r="BK83" t="str">
        <f t="shared" si="55"/>
        <v/>
      </c>
      <c r="BL83" t="str">
        <f t="shared" si="56"/>
        <v/>
      </c>
      <c r="BM83" t="str">
        <f t="shared" si="57"/>
        <v/>
      </c>
      <c r="BN83" t="str">
        <f t="shared" si="58"/>
        <v/>
      </c>
      <c r="BO83" t="str">
        <f t="shared" si="59"/>
        <v/>
      </c>
      <c r="BP83" t="str">
        <f t="shared" si="60"/>
        <v/>
      </c>
      <c r="BQ83" t="str">
        <f t="shared" si="61"/>
        <v/>
      </c>
      <c r="BR83" t="str">
        <f t="shared" si="62"/>
        <v/>
      </c>
      <c r="BS83" t="str">
        <f t="shared" si="63"/>
        <v/>
      </c>
      <c r="BT83" t="str">
        <f t="shared" si="64"/>
        <v/>
      </c>
      <c r="BU83" t="str">
        <f t="shared" si="65"/>
        <v/>
      </c>
    </row>
    <row r="84" spans="1:73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ConcatenateRange(AZ84:BU84,"||")</f>
        <v/>
      </c>
      <c r="AZ84" t="str">
        <f t="shared" si="44"/>
        <v/>
      </c>
      <c r="BA84" t="str">
        <f t="shared" si="45"/>
        <v/>
      </c>
      <c r="BB84" t="str">
        <f t="shared" si="46"/>
        <v/>
      </c>
      <c r="BC84" t="str">
        <f t="shared" si="47"/>
        <v/>
      </c>
      <c r="BD84" t="str">
        <f t="shared" si="48"/>
        <v/>
      </c>
      <c r="BE84" t="str">
        <f t="shared" si="49"/>
        <v/>
      </c>
      <c r="BF84" t="str">
        <f t="shared" si="50"/>
        <v/>
      </c>
      <c r="BG84" t="str">
        <f t="shared" si="51"/>
        <v/>
      </c>
      <c r="BH84" t="str">
        <f t="shared" si="52"/>
        <v/>
      </c>
      <c r="BI84" t="str">
        <f t="shared" si="53"/>
        <v/>
      </c>
      <c r="BJ84" t="str">
        <f t="shared" si="54"/>
        <v/>
      </c>
      <c r="BK84" t="str">
        <f t="shared" si="55"/>
        <v/>
      </c>
      <c r="BL84" t="str">
        <f t="shared" si="56"/>
        <v/>
      </c>
      <c r="BM84" t="str">
        <f t="shared" si="57"/>
        <v/>
      </c>
      <c r="BN84" t="str">
        <f t="shared" si="58"/>
        <v/>
      </c>
      <c r="BO84" t="str">
        <f t="shared" si="59"/>
        <v/>
      </c>
      <c r="BP84" t="str">
        <f t="shared" si="60"/>
        <v/>
      </c>
      <c r="BQ84" t="str">
        <f t="shared" si="61"/>
        <v/>
      </c>
      <c r="BR84" t="str">
        <f t="shared" si="62"/>
        <v/>
      </c>
      <c r="BS84" t="str">
        <f t="shared" si="63"/>
        <v/>
      </c>
      <c r="BT84" t="str">
        <f t="shared" si="64"/>
        <v/>
      </c>
      <c r="BU84" t="str">
        <f t="shared" si="65"/>
        <v/>
      </c>
    </row>
    <row r="85" spans="1:73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ConcatenateRange(AZ85:BU85,"||")</f>
        <v/>
      </c>
      <c r="AZ85" t="str">
        <f t="shared" si="44"/>
        <v/>
      </c>
      <c r="BA85" t="str">
        <f t="shared" si="45"/>
        <v/>
      </c>
      <c r="BB85" t="str">
        <f t="shared" si="46"/>
        <v/>
      </c>
      <c r="BC85" t="str">
        <f t="shared" si="47"/>
        <v/>
      </c>
      <c r="BD85" t="str">
        <f t="shared" si="48"/>
        <v/>
      </c>
      <c r="BE85" t="str">
        <f t="shared" si="49"/>
        <v/>
      </c>
      <c r="BF85" t="str">
        <f t="shared" si="50"/>
        <v/>
      </c>
      <c r="BG85" t="str">
        <f t="shared" si="51"/>
        <v/>
      </c>
      <c r="BH85" t="str">
        <f t="shared" si="52"/>
        <v/>
      </c>
      <c r="BI85" t="str">
        <f t="shared" si="53"/>
        <v/>
      </c>
      <c r="BJ85" t="str">
        <f t="shared" si="54"/>
        <v/>
      </c>
      <c r="BK85" t="str">
        <f t="shared" si="55"/>
        <v/>
      </c>
      <c r="BL85" t="str">
        <f t="shared" si="56"/>
        <v/>
      </c>
      <c r="BM85" t="str">
        <f t="shared" si="57"/>
        <v/>
      </c>
      <c r="BN85" t="str">
        <f t="shared" si="58"/>
        <v/>
      </c>
      <c r="BO85" t="str">
        <f t="shared" si="59"/>
        <v/>
      </c>
      <c r="BP85" t="str">
        <f t="shared" si="60"/>
        <v/>
      </c>
      <c r="BQ85" t="str">
        <f t="shared" si="61"/>
        <v/>
      </c>
      <c r="BR85" t="str">
        <f t="shared" si="62"/>
        <v/>
      </c>
      <c r="BS85" t="str">
        <f t="shared" si="63"/>
        <v/>
      </c>
      <c r="BT85" t="str">
        <f t="shared" si="64"/>
        <v/>
      </c>
      <c r="BU85" t="str">
        <f t="shared" si="65"/>
        <v/>
      </c>
    </row>
    <row r="86" spans="1:73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ConcatenateRange(AZ86:BU86,"||")</f>
        <v/>
      </c>
      <c r="AZ86" t="str">
        <f t="shared" si="44"/>
        <v/>
      </c>
      <c r="BA86" t="str">
        <f t="shared" si="45"/>
        <v/>
      </c>
      <c r="BB86" t="str">
        <f t="shared" si="46"/>
        <v/>
      </c>
      <c r="BC86" t="str">
        <f t="shared" si="47"/>
        <v/>
      </c>
      <c r="BD86" t="str">
        <f t="shared" si="48"/>
        <v/>
      </c>
      <c r="BE86" t="str">
        <f t="shared" si="49"/>
        <v/>
      </c>
      <c r="BF86" t="str">
        <f t="shared" si="50"/>
        <v/>
      </c>
      <c r="BG86" t="str">
        <f t="shared" si="51"/>
        <v/>
      </c>
      <c r="BH86" t="str">
        <f t="shared" si="52"/>
        <v/>
      </c>
      <c r="BI86" t="str">
        <f t="shared" si="53"/>
        <v/>
      </c>
      <c r="BJ86" t="str">
        <f t="shared" si="54"/>
        <v/>
      </c>
      <c r="BK86" t="str">
        <f t="shared" si="55"/>
        <v/>
      </c>
      <c r="BL86" t="str">
        <f t="shared" si="56"/>
        <v/>
      </c>
      <c r="BM86" t="str">
        <f t="shared" si="57"/>
        <v/>
      </c>
      <c r="BN86" t="str">
        <f t="shared" si="58"/>
        <v/>
      </c>
      <c r="BO86" t="str">
        <f t="shared" si="59"/>
        <v/>
      </c>
      <c r="BP86" t="str">
        <f t="shared" si="60"/>
        <v/>
      </c>
      <c r="BQ86" t="str">
        <f t="shared" si="61"/>
        <v/>
      </c>
      <c r="BR86" t="str">
        <f t="shared" si="62"/>
        <v/>
      </c>
      <c r="BS86" t="str">
        <f t="shared" si="63"/>
        <v/>
      </c>
      <c r="BT86" t="str">
        <f t="shared" si="64"/>
        <v/>
      </c>
      <c r="BU86" t="str">
        <f t="shared" si="65"/>
        <v/>
      </c>
    </row>
    <row r="87" spans="1:73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ConcatenateRange(AZ87:BU87,"||")</f>
        <v/>
      </c>
      <c r="AZ87" t="str">
        <f t="shared" si="44"/>
        <v/>
      </c>
      <c r="BA87" t="str">
        <f t="shared" si="45"/>
        <v/>
      </c>
      <c r="BB87" t="str">
        <f t="shared" si="46"/>
        <v/>
      </c>
      <c r="BC87" t="str">
        <f t="shared" si="47"/>
        <v/>
      </c>
      <c r="BD87" t="str">
        <f t="shared" si="48"/>
        <v/>
      </c>
      <c r="BE87" t="str">
        <f t="shared" si="49"/>
        <v/>
      </c>
      <c r="BF87" t="str">
        <f t="shared" si="50"/>
        <v/>
      </c>
      <c r="BG87" t="str">
        <f t="shared" si="51"/>
        <v/>
      </c>
      <c r="BH87" t="str">
        <f t="shared" si="52"/>
        <v/>
      </c>
      <c r="BI87" t="str">
        <f t="shared" si="53"/>
        <v/>
      </c>
      <c r="BJ87" t="str">
        <f t="shared" si="54"/>
        <v/>
      </c>
      <c r="BK87" t="str">
        <f t="shared" si="55"/>
        <v/>
      </c>
      <c r="BL87" t="str">
        <f t="shared" si="56"/>
        <v/>
      </c>
      <c r="BM87" t="str">
        <f t="shared" si="57"/>
        <v/>
      </c>
      <c r="BN87" t="str">
        <f t="shared" si="58"/>
        <v/>
      </c>
      <c r="BO87" t="str">
        <f t="shared" si="59"/>
        <v/>
      </c>
      <c r="BP87" t="str">
        <f t="shared" si="60"/>
        <v/>
      </c>
      <c r="BQ87" t="str">
        <f t="shared" si="61"/>
        <v/>
      </c>
      <c r="BR87" t="str">
        <f t="shared" si="62"/>
        <v/>
      </c>
      <c r="BS87" t="str">
        <f t="shared" si="63"/>
        <v/>
      </c>
      <c r="BT87" t="str">
        <f t="shared" si="64"/>
        <v/>
      </c>
      <c r="BU87" t="str">
        <f t="shared" si="65"/>
        <v/>
      </c>
    </row>
    <row r="88" spans="1:73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ConcatenateRange(AZ88:BU88,"||")</f>
        <v/>
      </c>
      <c r="AZ88" t="str">
        <f t="shared" si="44"/>
        <v/>
      </c>
      <c r="BA88" t="str">
        <f t="shared" si="45"/>
        <v/>
      </c>
      <c r="BB88" t="str">
        <f t="shared" si="46"/>
        <v/>
      </c>
      <c r="BC88" t="str">
        <f t="shared" si="47"/>
        <v/>
      </c>
      <c r="BD88" t="str">
        <f t="shared" si="48"/>
        <v/>
      </c>
      <c r="BE88" t="str">
        <f t="shared" si="49"/>
        <v/>
      </c>
      <c r="BF88" t="str">
        <f t="shared" si="50"/>
        <v/>
      </c>
      <c r="BG88" t="str">
        <f t="shared" si="51"/>
        <v/>
      </c>
      <c r="BH88" t="str">
        <f t="shared" si="52"/>
        <v/>
      </c>
      <c r="BI88" t="str">
        <f t="shared" si="53"/>
        <v/>
      </c>
      <c r="BJ88" t="str">
        <f t="shared" si="54"/>
        <v/>
      </c>
      <c r="BK88" t="str">
        <f t="shared" si="55"/>
        <v/>
      </c>
      <c r="BL88" t="str">
        <f t="shared" si="56"/>
        <v/>
      </c>
      <c r="BM88" t="str">
        <f t="shared" si="57"/>
        <v/>
      </c>
      <c r="BN88" t="str">
        <f t="shared" si="58"/>
        <v/>
      </c>
      <c r="BO88" t="str">
        <f t="shared" si="59"/>
        <v/>
      </c>
      <c r="BP88" t="str">
        <f t="shared" si="60"/>
        <v/>
      </c>
      <c r="BQ88" t="str">
        <f t="shared" si="61"/>
        <v/>
      </c>
      <c r="BR88" t="str">
        <f t="shared" si="62"/>
        <v/>
      </c>
      <c r="BS88" t="str">
        <f t="shared" si="63"/>
        <v/>
      </c>
      <c r="BT88" t="str">
        <f t="shared" si="64"/>
        <v/>
      </c>
      <c r="BU88" t="str">
        <f t="shared" si="65"/>
        <v/>
      </c>
    </row>
    <row r="89" spans="1:73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ConcatenateRange(AZ89:BU89,"||")</f>
        <v/>
      </c>
      <c r="AZ89" t="str">
        <f t="shared" si="44"/>
        <v/>
      </c>
      <c r="BA89" t="str">
        <f t="shared" si="45"/>
        <v/>
      </c>
      <c r="BB89" t="str">
        <f t="shared" si="46"/>
        <v/>
      </c>
      <c r="BC89" t="str">
        <f t="shared" si="47"/>
        <v/>
      </c>
      <c r="BD89" t="str">
        <f t="shared" si="48"/>
        <v/>
      </c>
      <c r="BE89" t="str">
        <f t="shared" si="49"/>
        <v/>
      </c>
      <c r="BF89" t="str">
        <f t="shared" si="50"/>
        <v/>
      </c>
      <c r="BG89" t="str">
        <f t="shared" si="51"/>
        <v/>
      </c>
      <c r="BH89" t="str">
        <f t="shared" si="52"/>
        <v/>
      </c>
      <c r="BI89" t="str">
        <f t="shared" si="53"/>
        <v/>
      </c>
      <c r="BJ89" t="str">
        <f t="shared" si="54"/>
        <v/>
      </c>
      <c r="BK89" t="str">
        <f t="shared" si="55"/>
        <v/>
      </c>
      <c r="BL89" t="str">
        <f t="shared" si="56"/>
        <v/>
      </c>
      <c r="BM89" t="str">
        <f t="shared" si="57"/>
        <v/>
      </c>
      <c r="BN89" t="str">
        <f t="shared" si="58"/>
        <v/>
      </c>
      <c r="BO89" t="str">
        <f t="shared" si="59"/>
        <v/>
      </c>
      <c r="BP89" t="str">
        <f t="shared" si="60"/>
        <v/>
      </c>
      <c r="BQ89" t="str">
        <f t="shared" si="61"/>
        <v/>
      </c>
      <c r="BR89" t="str">
        <f t="shared" si="62"/>
        <v/>
      </c>
      <c r="BS89" t="str">
        <f t="shared" si="63"/>
        <v/>
      </c>
      <c r="BT89" t="str">
        <f t="shared" si="64"/>
        <v/>
      </c>
      <c r="BU89" t="str">
        <f t="shared" si="65"/>
        <v/>
      </c>
    </row>
    <row r="90" spans="1:73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ConcatenateRange(AZ90:BU90,"||")</f>
        <v/>
      </c>
      <c r="AZ90" t="str">
        <f t="shared" si="44"/>
        <v/>
      </c>
      <c r="BA90" t="str">
        <f t="shared" si="45"/>
        <v/>
      </c>
      <c r="BB90" t="str">
        <f t="shared" si="46"/>
        <v/>
      </c>
      <c r="BC90" t="str">
        <f t="shared" si="47"/>
        <v/>
      </c>
      <c r="BD90" t="str">
        <f t="shared" si="48"/>
        <v/>
      </c>
      <c r="BE90" t="str">
        <f t="shared" si="49"/>
        <v/>
      </c>
      <c r="BF90" t="str">
        <f t="shared" si="50"/>
        <v/>
      </c>
      <c r="BG90" t="str">
        <f t="shared" si="51"/>
        <v/>
      </c>
      <c r="BH90" t="str">
        <f t="shared" si="52"/>
        <v/>
      </c>
      <c r="BI90" t="str">
        <f t="shared" si="53"/>
        <v/>
      </c>
      <c r="BJ90" t="str">
        <f t="shared" si="54"/>
        <v/>
      </c>
      <c r="BK90" t="str">
        <f t="shared" si="55"/>
        <v/>
      </c>
      <c r="BL90" t="str">
        <f t="shared" si="56"/>
        <v/>
      </c>
      <c r="BM90" t="str">
        <f t="shared" si="57"/>
        <v/>
      </c>
      <c r="BN90" t="str">
        <f t="shared" si="58"/>
        <v/>
      </c>
      <c r="BO90" t="str">
        <f t="shared" si="59"/>
        <v/>
      </c>
      <c r="BP90" t="str">
        <f t="shared" si="60"/>
        <v/>
      </c>
      <c r="BQ90" t="str">
        <f t="shared" si="61"/>
        <v/>
      </c>
      <c r="BR90" t="str">
        <f t="shared" si="62"/>
        <v/>
      </c>
      <c r="BS90" t="str">
        <f t="shared" si="63"/>
        <v/>
      </c>
      <c r="BT90" t="str">
        <f t="shared" si="64"/>
        <v/>
      </c>
      <c r="BU90" t="str">
        <f t="shared" si="65"/>
        <v/>
      </c>
    </row>
    <row r="91" spans="1:73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ConcatenateRange(AZ91:BU91,"||")</f>
        <v/>
      </c>
      <c r="AZ91" t="str">
        <f t="shared" si="44"/>
        <v/>
      </c>
      <c r="BA91" t="str">
        <f t="shared" si="45"/>
        <v/>
      </c>
      <c r="BB91" t="str">
        <f t="shared" si="46"/>
        <v/>
      </c>
      <c r="BC91" t="str">
        <f t="shared" si="47"/>
        <v/>
      </c>
      <c r="BD91" t="str">
        <f t="shared" si="48"/>
        <v/>
      </c>
      <c r="BE91" t="str">
        <f t="shared" si="49"/>
        <v/>
      </c>
      <c r="BF91" t="str">
        <f t="shared" si="50"/>
        <v/>
      </c>
      <c r="BG91" t="str">
        <f t="shared" si="51"/>
        <v/>
      </c>
      <c r="BH91" t="str">
        <f t="shared" si="52"/>
        <v/>
      </c>
      <c r="BI91" t="str">
        <f t="shared" si="53"/>
        <v/>
      </c>
      <c r="BJ91" t="str">
        <f t="shared" si="54"/>
        <v/>
      </c>
      <c r="BK91" t="str">
        <f t="shared" si="55"/>
        <v/>
      </c>
      <c r="BL91" t="str">
        <f t="shared" si="56"/>
        <v/>
      </c>
      <c r="BM91" t="str">
        <f t="shared" si="57"/>
        <v/>
      </c>
      <c r="BN91" t="str">
        <f t="shared" si="58"/>
        <v/>
      </c>
      <c r="BO91" t="str">
        <f t="shared" si="59"/>
        <v/>
      </c>
      <c r="BP91" t="str">
        <f t="shared" si="60"/>
        <v/>
      </c>
      <c r="BQ91" t="str">
        <f t="shared" si="61"/>
        <v/>
      </c>
      <c r="BR91" t="str">
        <f t="shared" si="62"/>
        <v/>
      </c>
      <c r="BS91" t="str">
        <f t="shared" si="63"/>
        <v/>
      </c>
      <c r="BT91" t="str">
        <f t="shared" si="64"/>
        <v/>
      </c>
      <c r="BU91" t="str">
        <f t="shared" si="65"/>
        <v/>
      </c>
    </row>
    <row r="92" spans="1:73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ConcatenateRange(AZ92:BU92,"||")</f>
        <v/>
      </c>
      <c r="AZ92" t="str">
        <f t="shared" si="44"/>
        <v/>
      </c>
      <c r="BA92" t="str">
        <f t="shared" si="45"/>
        <v/>
      </c>
      <c r="BB92" t="str">
        <f t="shared" si="46"/>
        <v/>
      </c>
      <c r="BC92" t="str">
        <f t="shared" si="47"/>
        <v/>
      </c>
      <c r="BD92" t="str">
        <f t="shared" si="48"/>
        <v/>
      </c>
      <c r="BE92" t="str">
        <f t="shared" si="49"/>
        <v/>
      </c>
      <c r="BF92" t="str">
        <f t="shared" si="50"/>
        <v/>
      </c>
      <c r="BG92" t="str">
        <f t="shared" si="51"/>
        <v/>
      </c>
      <c r="BH92" t="str">
        <f t="shared" si="52"/>
        <v/>
      </c>
      <c r="BI92" t="str">
        <f t="shared" si="53"/>
        <v/>
      </c>
      <c r="BJ92" t="str">
        <f t="shared" si="54"/>
        <v/>
      </c>
      <c r="BK92" t="str">
        <f t="shared" si="55"/>
        <v/>
      </c>
      <c r="BL92" t="str">
        <f t="shared" si="56"/>
        <v/>
      </c>
      <c r="BM92" t="str">
        <f t="shared" si="57"/>
        <v/>
      </c>
      <c r="BN92" t="str">
        <f t="shared" si="58"/>
        <v/>
      </c>
      <c r="BO92" t="str">
        <f t="shared" si="59"/>
        <v/>
      </c>
      <c r="BP92" t="str">
        <f t="shared" si="60"/>
        <v/>
      </c>
      <c r="BQ92" t="str">
        <f t="shared" si="61"/>
        <v/>
      </c>
      <c r="BR92" t="str">
        <f t="shared" si="62"/>
        <v/>
      </c>
      <c r="BS92" t="str">
        <f t="shared" si="63"/>
        <v/>
      </c>
      <c r="BT92" t="str">
        <f t="shared" si="64"/>
        <v/>
      </c>
      <c r="BU92" t="str">
        <f t="shared" si="65"/>
        <v/>
      </c>
    </row>
    <row r="93" spans="1:73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ConcatenateRange(AZ93:BU93,"||")</f>
        <v/>
      </c>
      <c r="AZ93" t="str">
        <f t="shared" si="44"/>
        <v/>
      </c>
      <c r="BA93" t="str">
        <f t="shared" si="45"/>
        <v/>
      </c>
      <c r="BB93" t="str">
        <f t="shared" si="46"/>
        <v/>
      </c>
      <c r="BC93" t="str">
        <f t="shared" si="47"/>
        <v/>
      </c>
      <c r="BD93" t="str">
        <f t="shared" si="48"/>
        <v/>
      </c>
      <c r="BE93" t="str">
        <f t="shared" si="49"/>
        <v/>
      </c>
      <c r="BF93" t="str">
        <f t="shared" si="50"/>
        <v/>
      </c>
      <c r="BG93" t="str">
        <f t="shared" si="51"/>
        <v/>
      </c>
      <c r="BH93" t="str">
        <f t="shared" si="52"/>
        <v/>
      </c>
      <c r="BI93" t="str">
        <f t="shared" si="53"/>
        <v/>
      </c>
      <c r="BJ93" t="str">
        <f t="shared" si="54"/>
        <v/>
      </c>
      <c r="BK93" t="str">
        <f t="shared" si="55"/>
        <v/>
      </c>
      <c r="BL93" t="str">
        <f t="shared" si="56"/>
        <v/>
      </c>
      <c r="BM93" t="str">
        <f t="shared" si="57"/>
        <v/>
      </c>
      <c r="BN93" t="str">
        <f t="shared" si="58"/>
        <v/>
      </c>
      <c r="BO93" t="str">
        <f t="shared" si="59"/>
        <v/>
      </c>
      <c r="BP93" t="str">
        <f t="shared" si="60"/>
        <v/>
      </c>
      <c r="BQ93" t="str">
        <f t="shared" si="61"/>
        <v/>
      </c>
      <c r="BR93" t="str">
        <f t="shared" si="62"/>
        <v/>
      </c>
      <c r="BS93" t="str">
        <f t="shared" si="63"/>
        <v/>
      </c>
      <c r="BT93" t="str">
        <f t="shared" si="64"/>
        <v/>
      </c>
      <c r="BU93" t="str">
        <f t="shared" si="65"/>
        <v/>
      </c>
    </row>
    <row r="94" spans="1:73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ConcatenateRange(AZ94:BU94,"||")</f>
        <v/>
      </c>
      <c r="AZ94" t="str">
        <f t="shared" si="44"/>
        <v/>
      </c>
      <c r="BA94" t="str">
        <f t="shared" si="45"/>
        <v/>
      </c>
      <c r="BB94" t="str">
        <f t="shared" si="46"/>
        <v/>
      </c>
      <c r="BC94" t="str">
        <f t="shared" si="47"/>
        <v/>
      </c>
      <c r="BD94" t="str">
        <f t="shared" si="48"/>
        <v/>
      </c>
      <c r="BE94" t="str">
        <f t="shared" si="49"/>
        <v/>
      </c>
      <c r="BF94" t="str">
        <f t="shared" si="50"/>
        <v/>
      </c>
      <c r="BG94" t="str">
        <f t="shared" si="51"/>
        <v/>
      </c>
      <c r="BH94" t="str">
        <f t="shared" si="52"/>
        <v/>
      </c>
      <c r="BI94" t="str">
        <f t="shared" si="53"/>
        <v/>
      </c>
      <c r="BJ94" t="str">
        <f t="shared" si="54"/>
        <v/>
      </c>
      <c r="BK94" t="str">
        <f t="shared" si="55"/>
        <v/>
      </c>
      <c r="BL94" t="str">
        <f t="shared" si="56"/>
        <v/>
      </c>
      <c r="BM94" t="str">
        <f t="shared" si="57"/>
        <v/>
      </c>
      <c r="BN94" t="str">
        <f t="shared" si="58"/>
        <v/>
      </c>
      <c r="BO94" t="str">
        <f t="shared" si="59"/>
        <v/>
      </c>
      <c r="BP94" t="str">
        <f t="shared" si="60"/>
        <v/>
      </c>
      <c r="BQ94" t="str">
        <f t="shared" si="61"/>
        <v/>
      </c>
      <c r="BR94" t="str">
        <f t="shared" si="62"/>
        <v/>
      </c>
      <c r="BS94" t="str">
        <f t="shared" si="63"/>
        <v/>
      </c>
      <c r="BT94" t="str">
        <f t="shared" si="64"/>
        <v/>
      </c>
      <c r="BU94" t="str">
        <f t="shared" si="65"/>
        <v/>
      </c>
    </row>
    <row r="95" spans="1:73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ConcatenateRange(AZ95:BU95,"||")</f>
        <v/>
      </c>
      <c r="AZ95" t="str">
        <f t="shared" si="44"/>
        <v/>
      </c>
      <c r="BA95" t="str">
        <f t="shared" si="45"/>
        <v/>
      </c>
      <c r="BB95" t="str">
        <f t="shared" si="46"/>
        <v/>
      </c>
      <c r="BC95" t="str">
        <f t="shared" si="47"/>
        <v/>
      </c>
      <c r="BD95" t="str">
        <f t="shared" si="48"/>
        <v/>
      </c>
      <c r="BE95" t="str">
        <f t="shared" si="49"/>
        <v/>
      </c>
      <c r="BF95" t="str">
        <f t="shared" si="50"/>
        <v/>
      </c>
      <c r="BG95" t="str">
        <f t="shared" si="51"/>
        <v/>
      </c>
      <c r="BH95" t="str">
        <f t="shared" si="52"/>
        <v/>
      </c>
      <c r="BI95" t="str">
        <f t="shared" si="53"/>
        <v/>
      </c>
      <c r="BJ95" t="str">
        <f t="shared" si="54"/>
        <v/>
      </c>
      <c r="BK95" t="str">
        <f t="shared" si="55"/>
        <v/>
      </c>
      <c r="BL95" t="str">
        <f t="shared" si="56"/>
        <v/>
      </c>
      <c r="BM95" t="str">
        <f t="shared" si="57"/>
        <v/>
      </c>
      <c r="BN95" t="str">
        <f t="shared" si="58"/>
        <v/>
      </c>
      <c r="BO95" t="str">
        <f t="shared" si="59"/>
        <v/>
      </c>
      <c r="BP95" t="str">
        <f t="shared" si="60"/>
        <v/>
      </c>
      <c r="BQ95" t="str">
        <f t="shared" si="61"/>
        <v/>
      </c>
      <c r="BR95" t="str">
        <f t="shared" si="62"/>
        <v/>
      </c>
      <c r="BS95" t="str">
        <f t="shared" si="63"/>
        <v/>
      </c>
      <c r="BT95" t="str">
        <f t="shared" si="64"/>
        <v/>
      </c>
      <c r="BU95" t="str">
        <f t="shared" si="65"/>
        <v/>
      </c>
    </row>
    <row r="96" spans="1:73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ConcatenateRange(AZ96:BU96,"||")</f>
        <v/>
      </c>
      <c r="AZ96" t="str">
        <f t="shared" si="44"/>
        <v/>
      </c>
      <c r="BA96" t="str">
        <f t="shared" si="45"/>
        <v/>
      </c>
      <c r="BB96" t="str">
        <f t="shared" si="46"/>
        <v/>
      </c>
      <c r="BC96" t="str">
        <f t="shared" si="47"/>
        <v/>
      </c>
      <c r="BD96" t="str">
        <f t="shared" si="48"/>
        <v/>
      </c>
      <c r="BE96" t="str">
        <f t="shared" si="49"/>
        <v/>
      </c>
      <c r="BF96" t="str">
        <f t="shared" si="50"/>
        <v/>
      </c>
      <c r="BG96" t="str">
        <f t="shared" si="51"/>
        <v/>
      </c>
      <c r="BH96" t="str">
        <f t="shared" si="52"/>
        <v/>
      </c>
      <c r="BI96" t="str">
        <f t="shared" si="53"/>
        <v/>
      </c>
      <c r="BJ96" t="str">
        <f t="shared" si="54"/>
        <v/>
      </c>
      <c r="BK96" t="str">
        <f t="shared" si="55"/>
        <v/>
      </c>
      <c r="BL96" t="str">
        <f t="shared" si="56"/>
        <v/>
      </c>
      <c r="BM96" t="str">
        <f t="shared" si="57"/>
        <v/>
      </c>
      <c r="BN96" t="str">
        <f t="shared" si="58"/>
        <v/>
      </c>
      <c r="BO96" t="str">
        <f t="shared" si="59"/>
        <v/>
      </c>
      <c r="BP96" t="str">
        <f t="shared" si="60"/>
        <v/>
      </c>
      <c r="BQ96" t="str">
        <f t="shared" si="61"/>
        <v/>
      </c>
      <c r="BR96" t="str">
        <f t="shared" si="62"/>
        <v/>
      </c>
      <c r="BS96" t="str">
        <f t="shared" si="63"/>
        <v/>
      </c>
      <c r="BT96" t="str">
        <f t="shared" si="64"/>
        <v/>
      </c>
      <c r="BU96" t="str">
        <f t="shared" si="65"/>
        <v/>
      </c>
    </row>
    <row r="97" spans="1:73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ConcatenateRange(AZ97:BU97,"||")</f>
        <v/>
      </c>
      <c r="AZ97" t="str">
        <f t="shared" si="44"/>
        <v/>
      </c>
      <c r="BA97" t="str">
        <f t="shared" si="45"/>
        <v/>
      </c>
      <c r="BB97" t="str">
        <f t="shared" si="46"/>
        <v/>
      </c>
      <c r="BC97" t="str">
        <f t="shared" si="47"/>
        <v/>
      </c>
      <c r="BD97" t="str">
        <f t="shared" si="48"/>
        <v/>
      </c>
      <c r="BE97" t="str">
        <f t="shared" si="49"/>
        <v/>
      </c>
      <c r="BF97" t="str">
        <f t="shared" si="50"/>
        <v/>
      </c>
      <c r="BG97" t="str">
        <f t="shared" si="51"/>
        <v/>
      </c>
      <c r="BH97" t="str">
        <f t="shared" si="52"/>
        <v/>
      </c>
      <c r="BI97" t="str">
        <f t="shared" si="53"/>
        <v/>
      </c>
      <c r="BJ97" t="str">
        <f t="shared" si="54"/>
        <v/>
      </c>
      <c r="BK97" t="str">
        <f t="shared" si="55"/>
        <v/>
      </c>
      <c r="BL97" t="str">
        <f t="shared" si="56"/>
        <v/>
      </c>
      <c r="BM97" t="str">
        <f t="shared" si="57"/>
        <v/>
      </c>
      <c r="BN97" t="str">
        <f t="shared" si="58"/>
        <v/>
      </c>
      <c r="BO97" t="str">
        <f t="shared" si="59"/>
        <v/>
      </c>
      <c r="BP97" t="str">
        <f t="shared" si="60"/>
        <v/>
      </c>
      <c r="BQ97" t="str">
        <f t="shared" si="61"/>
        <v/>
      </c>
      <c r="BR97" t="str">
        <f t="shared" si="62"/>
        <v/>
      </c>
      <c r="BS97" t="str">
        <f t="shared" si="63"/>
        <v/>
      </c>
      <c r="BT97" t="str">
        <f t="shared" si="64"/>
        <v/>
      </c>
      <c r="BU97" t="str">
        <f t="shared" si="65"/>
        <v/>
      </c>
    </row>
    <row r="98" spans="1:73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ConcatenateRange(AZ98:BU98,"||")</f>
        <v/>
      </c>
      <c r="AZ98" t="str">
        <f t="shared" si="44"/>
        <v/>
      </c>
      <c r="BA98" t="str">
        <f t="shared" si="45"/>
        <v/>
      </c>
      <c r="BB98" t="str">
        <f t="shared" si="46"/>
        <v/>
      </c>
      <c r="BC98" t="str">
        <f t="shared" si="47"/>
        <v/>
      </c>
      <c r="BD98" t="str">
        <f t="shared" si="48"/>
        <v/>
      </c>
      <c r="BE98" t="str">
        <f t="shared" si="49"/>
        <v/>
      </c>
      <c r="BF98" t="str">
        <f t="shared" si="50"/>
        <v/>
      </c>
      <c r="BG98" t="str">
        <f t="shared" si="51"/>
        <v/>
      </c>
      <c r="BH98" t="str">
        <f t="shared" si="52"/>
        <v/>
      </c>
      <c r="BI98" t="str">
        <f t="shared" si="53"/>
        <v/>
      </c>
      <c r="BJ98" t="str">
        <f t="shared" si="54"/>
        <v/>
      </c>
      <c r="BK98" t="str">
        <f t="shared" si="55"/>
        <v/>
      </c>
      <c r="BL98" t="str">
        <f t="shared" si="56"/>
        <v/>
      </c>
      <c r="BM98" t="str">
        <f t="shared" si="57"/>
        <v/>
      </c>
      <c r="BN98" t="str">
        <f t="shared" si="58"/>
        <v/>
      </c>
      <c r="BO98" t="str">
        <f t="shared" si="59"/>
        <v/>
      </c>
      <c r="BP98" t="str">
        <f t="shared" si="60"/>
        <v/>
      </c>
      <c r="BQ98" t="str">
        <f t="shared" si="61"/>
        <v/>
      </c>
      <c r="BR98" t="str">
        <f t="shared" si="62"/>
        <v/>
      </c>
      <c r="BS98" t="str">
        <f t="shared" si="63"/>
        <v/>
      </c>
      <c r="BT98" t="str">
        <f t="shared" si="64"/>
        <v/>
      </c>
      <c r="BU98" t="str">
        <f t="shared" si="65"/>
        <v/>
      </c>
    </row>
    <row r="99" spans="1:73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ConcatenateRange(AZ99:BU99,"||")</f>
        <v/>
      </c>
      <c r="AZ99" t="str">
        <f t="shared" si="44"/>
        <v/>
      </c>
      <c r="BA99" t="str">
        <f t="shared" si="45"/>
        <v/>
      </c>
      <c r="BB99" t="str">
        <f t="shared" si="46"/>
        <v/>
      </c>
      <c r="BC99" t="str">
        <f t="shared" si="47"/>
        <v/>
      </c>
      <c r="BD99" t="str">
        <f t="shared" si="48"/>
        <v/>
      </c>
      <c r="BE99" t="str">
        <f t="shared" si="49"/>
        <v/>
      </c>
      <c r="BF99" t="str">
        <f t="shared" si="50"/>
        <v/>
      </c>
      <c r="BG99" t="str">
        <f t="shared" si="51"/>
        <v/>
      </c>
      <c r="BH99" t="str">
        <f t="shared" si="52"/>
        <v/>
      </c>
      <c r="BI99" t="str">
        <f t="shared" si="53"/>
        <v/>
      </c>
      <c r="BJ99" t="str">
        <f t="shared" si="54"/>
        <v/>
      </c>
      <c r="BK99" t="str">
        <f t="shared" si="55"/>
        <v/>
      </c>
      <c r="BL99" t="str">
        <f t="shared" si="56"/>
        <v/>
      </c>
      <c r="BM99" t="str">
        <f t="shared" si="57"/>
        <v/>
      </c>
      <c r="BN99" t="str">
        <f t="shared" si="58"/>
        <v/>
      </c>
      <c r="BO99" t="str">
        <f t="shared" si="59"/>
        <v/>
      </c>
      <c r="BP99" t="str">
        <f t="shared" si="60"/>
        <v/>
      </c>
      <c r="BQ99" t="str">
        <f t="shared" si="61"/>
        <v/>
      </c>
      <c r="BR99" t="str">
        <f t="shared" si="62"/>
        <v/>
      </c>
      <c r="BS99" t="str">
        <f t="shared" si="63"/>
        <v/>
      </c>
      <c r="BT99" t="str">
        <f t="shared" si="64"/>
        <v/>
      </c>
      <c r="BU99" t="str">
        <f t="shared" si="65"/>
        <v/>
      </c>
    </row>
    <row r="100" spans="1:73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ConcatenateRange(AZ100:BU100,"||")</f>
        <v/>
      </c>
      <c r="AZ100" t="str">
        <f t="shared" si="44"/>
        <v/>
      </c>
      <c r="BA100" t="str">
        <f t="shared" si="45"/>
        <v/>
      </c>
      <c r="BB100" t="str">
        <f t="shared" si="46"/>
        <v/>
      </c>
      <c r="BC100" t="str">
        <f t="shared" si="47"/>
        <v/>
      </c>
      <c r="BD100" t="str">
        <f t="shared" si="48"/>
        <v/>
      </c>
      <c r="BE100" t="str">
        <f t="shared" si="49"/>
        <v/>
      </c>
      <c r="BF100" t="str">
        <f t="shared" si="50"/>
        <v/>
      </c>
      <c r="BG100" t="str">
        <f t="shared" si="51"/>
        <v/>
      </c>
      <c r="BH100" t="str">
        <f t="shared" si="52"/>
        <v/>
      </c>
      <c r="BI100" t="str">
        <f t="shared" si="53"/>
        <v/>
      </c>
      <c r="BJ100" t="str">
        <f t="shared" si="54"/>
        <v/>
      </c>
      <c r="BK100" t="str">
        <f t="shared" si="55"/>
        <v/>
      </c>
      <c r="BL100" t="str">
        <f t="shared" si="56"/>
        <v/>
      </c>
      <c r="BM100" t="str">
        <f t="shared" si="57"/>
        <v/>
      </c>
      <c r="BN100" t="str">
        <f t="shared" si="58"/>
        <v/>
      </c>
      <c r="BO100" t="str">
        <f t="shared" si="59"/>
        <v/>
      </c>
      <c r="BP100" t="str">
        <f t="shared" si="60"/>
        <v/>
      </c>
      <c r="BQ100" t="str">
        <f t="shared" si="61"/>
        <v/>
      </c>
      <c r="BR100" t="str">
        <f t="shared" si="62"/>
        <v/>
      </c>
      <c r="BS100" t="str">
        <f t="shared" si="63"/>
        <v/>
      </c>
      <c r="BT100" t="str">
        <f t="shared" si="64"/>
        <v/>
      </c>
      <c r="BU100" t="str">
        <f t="shared" si="65"/>
        <v/>
      </c>
    </row>
    <row r="101" spans="1:73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ConcatenateRange(AZ101:BU101,"||")</f>
        <v/>
      </c>
      <c r="AZ101" t="str">
        <f t="shared" si="44"/>
        <v/>
      </c>
      <c r="BA101" t="str">
        <f t="shared" si="45"/>
        <v/>
      </c>
      <c r="BB101" t="str">
        <f t="shared" si="46"/>
        <v/>
      </c>
      <c r="BC101" t="str">
        <f t="shared" si="47"/>
        <v/>
      </c>
      <c r="BD101" t="str">
        <f t="shared" si="48"/>
        <v/>
      </c>
      <c r="BE101" t="str">
        <f t="shared" si="49"/>
        <v/>
      </c>
      <c r="BF101" t="str">
        <f t="shared" si="50"/>
        <v/>
      </c>
      <c r="BG101" t="str">
        <f t="shared" si="51"/>
        <v/>
      </c>
      <c r="BH101" t="str">
        <f t="shared" si="52"/>
        <v/>
      </c>
      <c r="BI101" t="str">
        <f t="shared" si="53"/>
        <v/>
      </c>
      <c r="BJ101" t="str">
        <f t="shared" si="54"/>
        <v/>
      </c>
      <c r="BK101" t="str">
        <f t="shared" si="55"/>
        <v/>
      </c>
      <c r="BL101" t="str">
        <f t="shared" si="56"/>
        <v/>
      </c>
      <c r="BM101" t="str">
        <f t="shared" si="57"/>
        <v/>
      </c>
      <c r="BN101" t="str">
        <f t="shared" si="58"/>
        <v/>
      </c>
      <c r="BO101" t="str">
        <f t="shared" si="59"/>
        <v/>
      </c>
      <c r="BP101" t="str">
        <f t="shared" si="60"/>
        <v/>
      </c>
      <c r="BQ101" t="str">
        <f t="shared" si="61"/>
        <v/>
      </c>
      <c r="BR101" t="str">
        <f t="shared" si="62"/>
        <v/>
      </c>
      <c r="BS101" t="str">
        <f t="shared" si="63"/>
        <v/>
      </c>
      <c r="BT101" t="str">
        <f t="shared" si="64"/>
        <v/>
      </c>
      <c r="BU101" t="str">
        <f t="shared" si="65"/>
        <v/>
      </c>
    </row>
    <row r="102" spans="1:73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ConcatenateRange(AZ102:BU102,"||")</f>
        <v/>
      </c>
      <c r="AZ102" t="str">
        <f t="shared" si="44"/>
        <v/>
      </c>
      <c r="BA102" t="str">
        <f t="shared" si="45"/>
        <v/>
      </c>
      <c r="BB102" t="str">
        <f t="shared" si="46"/>
        <v/>
      </c>
      <c r="BC102" t="str">
        <f t="shared" si="47"/>
        <v/>
      </c>
      <c r="BD102" t="str">
        <f t="shared" si="48"/>
        <v/>
      </c>
      <c r="BE102" t="str">
        <f t="shared" si="49"/>
        <v/>
      </c>
      <c r="BF102" t="str">
        <f t="shared" si="50"/>
        <v/>
      </c>
      <c r="BG102" t="str">
        <f t="shared" si="51"/>
        <v/>
      </c>
      <c r="BH102" t="str">
        <f t="shared" si="52"/>
        <v/>
      </c>
      <c r="BI102" t="str">
        <f t="shared" si="53"/>
        <v/>
      </c>
      <c r="BJ102" t="str">
        <f t="shared" si="54"/>
        <v/>
      </c>
      <c r="BK102" t="str">
        <f t="shared" si="55"/>
        <v/>
      </c>
      <c r="BL102" t="str">
        <f t="shared" si="56"/>
        <v/>
      </c>
      <c r="BM102" t="str">
        <f t="shared" si="57"/>
        <v/>
      </c>
      <c r="BN102" t="str">
        <f t="shared" si="58"/>
        <v/>
      </c>
      <c r="BO102" t="str">
        <f t="shared" si="59"/>
        <v/>
      </c>
      <c r="BP102" t="str">
        <f t="shared" si="60"/>
        <v/>
      </c>
      <c r="BQ102" t="str">
        <f t="shared" si="61"/>
        <v/>
      </c>
      <c r="BR102" t="str">
        <f t="shared" si="62"/>
        <v/>
      </c>
      <c r="BS102" t="str">
        <f t="shared" si="63"/>
        <v/>
      </c>
      <c r="BT102" t="str">
        <f t="shared" si="64"/>
        <v/>
      </c>
      <c r="BU102" t="str">
        <f t="shared" si="65"/>
        <v/>
      </c>
    </row>
    <row r="103" spans="1:73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ConcatenateRange(AZ103:BU103,"||")</f>
        <v/>
      </c>
      <c r="AZ103" t="str">
        <f t="shared" si="44"/>
        <v/>
      </c>
      <c r="BA103" t="str">
        <f t="shared" si="45"/>
        <v/>
      </c>
      <c r="BB103" t="str">
        <f t="shared" si="46"/>
        <v/>
      </c>
      <c r="BC103" t="str">
        <f t="shared" si="47"/>
        <v/>
      </c>
      <c r="BD103" t="str">
        <f t="shared" si="48"/>
        <v/>
      </c>
      <c r="BE103" t="str">
        <f t="shared" si="49"/>
        <v/>
      </c>
      <c r="BF103" t="str">
        <f t="shared" si="50"/>
        <v/>
      </c>
      <c r="BG103" t="str">
        <f t="shared" si="51"/>
        <v/>
      </c>
      <c r="BH103" t="str">
        <f t="shared" si="52"/>
        <v/>
      </c>
      <c r="BI103" t="str">
        <f t="shared" si="53"/>
        <v/>
      </c>
      <c r="BJ103" t="str">
        <f t="shared" si="54"/>
        <v/>
      </c>
      <c r="BK103" t="str">
        <f t="shared" si="55"/>
        <v/>
      </c>
      <c r="BL103" t="str">
        <f t="shared" si="56"/>
        <v/>
      </c>
      <c r="BM103" t="str">
        <f t="shared" si="57"/>
        <v/>
      </c>
      <c r="BN103" t="str">
        <f t="shared" si="58"/>
        <v/>
      </c>
      <c r="BO103" t="str">
        <f t="shared" si="59"/>
        <v/>
      </c>
      <c r="BP103" t="str">
        <f t="shared" si="60"/>
        <v/>
      </c>
      <c r="BQ103" t="str">
        <f t="shared" si="61"/>
        <v/>
      </c>
      <c r="BR103" t="str">
        <f t="shared" si="62"/>
        <v/>
      </c>
      <c r="BS103" t="str">
        <f t="shared" si="63"/>
        <v/>
      </c>
      <c r="BT103" t="str">
        <f t="shared" si="64"/>
        <v/>
      </c>
      <c r="BU103" t="str">
        <f t="shared" si="65"/>
        <v/>
      </c>
    </row>
    <row r="104" spans="1:73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ConcatenateRange(AZ104:BU104,"||")</f>
        <v/>
      </c>
      <c r="AZ104" t="str">
        <f t="shared" si="44"/>
        <v/>
      </c>
      <c r="BA104" t="str">
        <f t="shared" si="45"/>
        <v/>
      </c>
      <c r="BB104" t="str">
        <f t="shared" si="46"/>
        <v/>
      </c>
      <c r="BC104" t="str">
        <f t="shared" si="47"/>
        <v/>
      </c>
      <c r="BD104" t="str">
        <f t="shared" si="48"/>
        <v/>
      </c>
      <c r="BE104" t="str">
        <f t="shared" si="49"/>
        <v/>
      </c>
      <c r="BF104" t="str">
        <f t="shared" si="50"/>
        <v/>
      </c>
      <c r="BG104" t="str">
        <f t="shared" si="51"/>
        <v/>
      </c>
      <c r="BH104" t="str">
        <f t="shared" si="52"/>
        <v/>
      </c>
      <c r="BI104" t="str">
        <f t="shared" si="53"/>
        <v/>
      </c>
      <c r="BJ104" t="str">
        <f t="shared" si="54"/>
        <v/>
      </c>
      <c r="BK104" t="str">
        <f t="shared" si="55"/>
        <v/>
      </c>
      <c r="BL104" t="str">
        <f t="shared" si="56"/>
        <v/>
      </c>
      <c r="BM104" t="str">
        <f t="shared" si="57"/>
        <v/>
      </c>
      <c r="BN104" t="str">
        <f t="shared" si="58"/>
        <v/>
      </c>
      <c r="BO104" t="str">
        <f t="shared" si="59"/>
        <v/>
      </c>
      <c r="BP104" t="str">
        <f t="shared" si="60"/>
        <v/>
      </c>
      <c r="BQ104" t="str">
        <f t="shared" si="61"/>
        <v/>
      </c>
      <c r="BR104" t="str">
        <f t="shared" si="62"/>
        <v/>
      </c>
      <c r="BS104" t="str">
        <f t="shared" si="63"/>
        <v/>
      </c>
      <c r="BT104" t="str">
        <f t="shared" si="64"/>
        <v/>
      </c>
      <c r="BU104" t="str">
        <f t="shared" si="65"/>
        <v/>
      </c>
    </row>
    <row r="105" spans="1:73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ConcatenateRange(AZ105:BU105,"||")</f>
        <v/>
      </c>
      <c r="AZ105" t="str">
        <f t="shared" si="44"/>
        <v/>
      </c>
      <c r="BA105" t="str">
        <f t="shared" si="45"/>
        <v/>
      </c>
      <c r="BB105" t="str">
        <f t="shared" si="46"/>
        <v/>
      </c>
      <c r="BC105" t="str">
        <f t="shared" si="47"/>
        <v/>
      </c>
      <c r="BD105" t="str">
        <f t="shared" si="48"/>
        <v/>
      </c>
      <c r="BE105" t="str">
        <f t="shared" si="49"/>
        <v/>
      </c>
      <c r="BF105" t="str">
        <f t="shared" si="50"/>
        <v/>
      </c>
      <c r="BG105" t="str">
        <f t="shared" si="51"/>
        <v/>
      </c>
      <c r="BH105" t="str">
        <f t="shared" si="52"/>
        <v/>
      </c>
      <c r="BI105" t="str">
        <f t="shared" si="53"/>
        <v/>
      </c>
      <c r="BJ105" t="str">
        <f t="shared" si="54"/>
        <v/>
      </c>
      <c r="BK105" t="str">
        <f t="shared" si="55"/>
        <v/>
      </c>
      <c r="BL105" t="str">
        <f t="shared" si="56"/>
        <v/>
      </c>
      <c r="BM105" t="str">
        <f t="shared" si="57"/>
        <v/>
      </c>
      <c r="BN105" t="str">
        <f t="shared" si="58"/>
        <v/>
      </c>
      <c r="BO105" t="str">
        <f t="shared" si="59"/>
        <v/>
      </c>
      <c r="BP105" t="str">
        <f t="shared" si="60"/>
        <v/>
      </c>
      <c r="BQ105" t="str">
        <f t="shared" si="61"/>
        <v/>
      </c>
      <c r="BR105" t="str">
        <f t="shared" si="62"/>
        <v/>
      </c>
      <c r="BS105" t="str">
        <f t="shared" si="63"/>
        <v/>
      </c>
      <c r="BT105" t="str">
        <f t="shared" si="64"/>
        <v/>
      </c>
      <c r="BU105" t="str">
        <f t="shared" si="65"/>
        <v/>
      </c>
    </row>
    <row r="106" spans="1:73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ConcatenateRange(AZ106:BU106,"||")</f>
        <v/>
      </c>
      <c r="AZ106" t="str">
        <f t="shared" si="44"/>
        <v/>
      </c>
      <c r="BA106" t="str">
        <f t="shared" si="45"/>
        <v/>
      </c>
      <c r="BB106" t="str">
        <f t="shared" si="46"/>
        <v/>
      </c>
      <c r="BC106" t="str">
        <f t="shared" si="47"/>
        <v/>
      </c>
      <c r="BD106" t="str">
        <f t="shared" si="48"/>
        <v/>
      </c>
      <c r="BE106" t="str">
        <f t="shared" si="49"/>
        <v/>
      </c>
      <c r="BF106" t="str">
        <f t="shared" si="50"/>
        <v/>
      </c>
      <c r="BG106" t="str">
        <f t="shared" si="51"/>
        <v/>
      </c>
      <c r="BH106" t="str">
        <f t="shared" si="52"/>
        <v/>
      </c>
      <c r="BI106" t="str">
        <f t="shared" si="53"/>
        <v/>
      </c>
      <c r="BJ106" t="str">
        <f t="shared" si="54"/>
        <v/>
      </c>
      <c r="BK106" t="str">
        <f t="shared" si="55"/>
        <v/>
      </c>
      <c r="BL106" t="str">
        <f t="shared" si="56"/>
        <v/>
      </c>
      <c r="BM106" t="str">
        <f t="shared" si="57"/>
        <v/>
      </c>
      <c r="BN106" t="str">
        <f t="shared" si="58"/>
        <v/>
      </c>
      <c r="BO106" t="str">
        <f t="shared" si="59"/>
        <v/>
      </c>
      <c r="BP106" t="str">
        <f t="shared" si="60"/>
        <v/>
      </c>
      <c r="BQ106" t="str">
        <f t="shared" si="61"/>
        <v/>
      </c>
      <c r="BR106" t="str">
        <f t="shared" si="62"/>
        <v/>
      </c>
      <c r="BS106" t="str">
        <f t="shared" si="63"/>
        <v/>
      </c>
      <c r="BT106" t="str">
        <f t="shared" si="64"/>
        <v/>
      </c>
      <c r="BU106" t="str">
        <f t="shared" si="65"/>
        <v/>
      </c>
    </row>
    <row r="107" spans="1:73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ConcatenateRange(AZ107:BU107,"||")</f>
        <v/>
      </c>
      <c r="AZ107" t="str">
        <f t="shared" si="44"/>
        <v/>
      </c>
      <c r="BA107" t="str">
        <f t="shared" si="45"/>
        <v/>
      </c>
      <c r="BB107" t="str">
        <f t="shared" si="46"/>
        <v/>
      </c>
      <c r="BC107" t="str">
        <f t="shared" si="47"/>
        <v/>
      </c>
      <c r="BD107" t="str">
        <f t="shared" si="48"/>
        <v/>
      </c>
      <c r="BE107" t="str">
        <f t="shared" si="49"/>
        <v/>
      </c>
      <c r="BF107" t="str">
        <f t="shared" si="50"/>
        <v/>
      </c>
      <c r="BG107" t="str">
        <f t="shared" si="51"/>
        <v/>
      </c>
      <c r="BH107" t="str">
        <f t="shared" si="52"/>
        <v/>
      </c>
      <c r="BI107" t="str">
        <f t="shared" si="53"/>
        <v/>
      </c>
      <c r="BJ107" t="str">
        <f t="shared" si="54"/>
        <v/>
      </c>
      <c r="BK107" t="str">
        <f t="shared" si="55"/>
        <v/>
      </c>
      <c r="BL107" t="str">
        <f t="shared" si="56"/>
        <v/>
      </c>
      <c r="BM107" t="str">
        <f t="shared" si="57"/>
        <v/>
      </c>
      <c r="BN107" t="str">
        <f t="shared" si="58"/>
        <v/>
      </c>
      <c r="BO107" t="str">
        <f t="shared" si="59"/>
        <v/>
      </c>
      <c r="BP107" t="str">
        <f t="shared" si="60"/>
        <v/>
      </c>
      <c r="BQ107" t="str">
        <f t="shared" si="61"/>
        <v/>
      </c>
      <c r="BR107" t="str">
        <f t="shared" si="62"/>
        <v/>
      </c>
      <c r="BS107" t="str">
        <f t="shared" si="63"/>
        <v/>
      </c>
      <c r="BT107" t="str">
        <f t="shared" si="64"/>
        <v/>
      </c>
      <c r="BU107" t="str">
        <f t="shared" si="65"/>
        <v/>
      </c>
    </row>
    <row r="108" spans="1:73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ConcatenateRange(AZ108:BU108,"||")</f>
        <v/>
      </c>
      <c r="AZ108" t="str">
        <f t="shared" si="44"/>
        <v/>
      </c>
      <c r="BA108" t="str">
        <f t="shared" si="45"/>
        <v/>
      </c>
      <c r="BB108" t="str">
        <f t="shared" si="46"/>
        <v/>
      </c>
      <c r="BC108" t="str">
        <f t="shared" si="47"/>
        <v/>
      </c>
      <c r="BD108" t="str">
        <f t="shared" si="48"/>
        <v/>
      </c>
      <c r="BE108" t="str">
        <f t="shared" si="49"/>
        <v/>
      </c>
      <c r="BF108" t="str">
        <f t="shared" si="50"/>
        <v/>
      </c>
      <c r="BG108" t="str">
        <f t="shared" si="51"/>
        <v/>
      </c>
      <c r="BH108" t="str">
        <f t="shared" si="52"/>
        <v/>
      </c>
      <c r="BI108" t="str">
        <f t="shared" si="53"/>
        <v/>
      </c>
      <c r="BJ108" t="str">
        <f t="shared" si="54"/>
        <v/>
      </c>
      <c r="BK108" t="str">
        <f t="shared" si="55"/>
        <v/>
      </c>
      <c r="BL108" t="str">
        <f t="shared" si="56"/>
        <v/>
      </c>
      <c r="BM108" t="str">
        <f t="shared" si="57"/>
        <v/>
      </c>
      <c r="BN108" t="str">
        <f t="shared" si="58"/>
        <v/>
      </c>
      <c r="BO108" t="str">
        <f t="shared" si="59"/>
        <v/>
      </c>
      <c r="BP108" t="str">
        <f t="shared" si="60"/>
        <v/>
      </c>
      <c r="BQ108" t="str">
        <f t="shared" si="61"/>
        <v/>
      </c>
      <c r="BR108" t="str">
        <f t="shared" si="62"/>
        <v/>
      </c>
      <c r="BS108" t="str">
        <f t="shared" si="63"/>
        <v/>
      </c>
      <c r="BT108" t="str">
        <f t="shared" si="64"/>
        <v/>
      </c>
      <c r="BU108" t="str">
        <f t="shared" si="65"/>
        <v/>
      </c>
    </row>
    <row r="109" spans="1:73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ConcatenateRange(AZ109:BU109,"||")</f>
        <v/>
      </c>
      <c r="AZ109" t="str">
        <f t="shared" si="44"/>
        <v/>
      </c>
      <c r="BA109" t="str">
        <f t="shared" si="45"/>
        <v/>
      </c>
      <c r="BB109" t="str">
        <f t="shared" si="46"/>
        <v/>
      </c>
      <c r="BC109" t="str">
        <f t="shared" si="47"/>
        <v/>
      </c>
      <c r="BD109" t="str">
        <f t="shared" si="48"/>
        <v/>
      </c>
      <c r="BE109" t="str">
        <f t="shared" si="49"/>
        <v/>
      </c>
      <c r="BF109" t="str">
        <f t="shared" si="50"/>
        <v/>
      </c>
      <c r="BG109" t="str">
        <f t="shared" si="51"/>
        <v/>
      </c>
      <c r="BH109" t="str">
        <f t="shared" si="52"/>
        <v/>
      </c>
      <c r="BI109" t="str">
        <f t="shared" si="53"/>
        <v/>
      </c>
      <c r="BJ109" t="str">
        <f t="shared" si="54"/>
        <v/>
      </c>
      <c r="BK109" t="str">
        <f t="shared" si="55"/>
        <v/>
      </c>
      <c r="BL109" t="str">
        <f t="shared" si="56"/>
        <v/>
      </c>
      <c r="BM109" t="str">
        <f t="shared" si="57"/>
        <v/>
      </c>
      <c r="BN109" t="str">
        <f t="shared" si="58"/>
        <v/>
      </c>
      <c r="BO109" t="str">
        <f t="shared" si="59"/>
        <v/>
      </c>
      <c r="BP109" t="str">
        <f t="shared" si="60"/>
        <v/>
      </c>
      <c r="BQ109" t="str">
        <f t="shared" si="61"/>
        <v/>
      </c>
      <c r="BR109" t="str">
        <f t="shared" si="62"/>
        <v/>
      </c>
      <c r="BS109" t="str">
        <f t="shared" si="63"/>
        <v/>
      </c>
      <c r="BT109" t="str">
        <f t="shared" si="64"/>
        <v/>
      </c>
      <c r="BU109" t="str">
        <f t="shared" si="65"/>
        <v/>
      </c>
    </row>
    <row r="110" spans="1:73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ConcatenateRange(AZ110:BU110,"||")</f>
        <v/>
      </c>
      <c r="AZ110" t="str">
        <f t="shared" si="44"/>
        <v/>
      </c>
      <c r="BA110" t="str">
        <f t="shared" si="45"/>
        <v/>
      </c>
      <c r="BB110" t="str">
        <f t="shared" si="46"/>
        <v/>
      </c>
      <c r="BC110" t="str">
        <f t="shared" si="47"/>
        <v/>
      </c>
      <c r="BD110" t="str">
        <f t="shared" si="48"/>
        <v/>
      </c>
      <c r="BE110" t="str">
        <f t="shared" si="49"/>
        <v/>
      </c>
      <c r="BF110" t="str">
        <f t="shared" si="50"/>
        <v/>
      </c>
      <c r="BG110" t="str">
        <f t="shared" si="51"/>
        <v/>
      </c>
      <c r="BH110" t="str">
        <f t="shared" si="52"/>
        <v/>
      </c>
      <c r="BI110" t="str">
        <f t="shared" si="53"/>
        <v/>
      </c>
      <c r="BJ110" t="str">
        <f t="shared" si="54"/>
        <v/>
      </c>
      <c r="BK110" t="str">
        <f t="shared" si="55"/>
        <v/>
      </c>
      <c r="BL110" t="str">
        <f t="shared" si="56"/>
        <v/>
      </c>
      <c r="BM110" t="str">
        <f t="shared" si="57"/>
        <v/>
      </c>
      <c r="BN110" t="str">
        <f t="shared" si="58"/>
        <v/>
      </c>
      <c r="BO110" t="str">
        <f t="shared" si="59"/>
        <v/>
      </c>
      <c r="BP110" t="str">
        <f t="shared" si="60"/>
        <v/>
      </c>
      <c r="BQ110" t="str">
        <f t="shared" si="61"/>
        <v/>
      </c>
      <c r="BR110" t="str">
        <f t="shared" si="62"/>
        <v/>
      </c>
      <c r="BS110" t="str">
        <f t="shared" si="63"/>
        <v/>
      </c>
      <c r="BT110" t="str">
        <f t="shared" si="64"/>
        <v/>
      </c>
      <c r="BU110" t="str">
        <f t="shared" si="65"/>
        <v/>
      </c>
    </row>
    <row r="111" spans="1:73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ConcatenateRange(AZ111:BU111,"||")</f>
        <v/>
      </c>
      <c r="AZ111" t="str">
        <f t="shared" si="44"/>
        <v/>
      </c>
      <c r="BA111" t="str">
        <f t="shared" si="45"/>
        <v/>
      </c>
      <c r="BB111" t="str">
        <f t="shared" si="46"/>
        <v/>
      </c>
      <c r="BC111" t="str">
        <f t="shared" si="47"/>
        <v/>
      </c>
      <c r="BD111" t="str">
        <f t="shared" si="48"/>
        <v/>
      </c>
      <c r="BE111" t="str">
        <f t="shared" si="49"/>
        <v/>
      </c>
      <c r="BF111" t="str">
        <f t="shared" si="50"/>
        <v/>
      </c>
      <c r="BG111" t="str">
        <f t="shared" si="51"/>
        <v/>
      </c>
      <c r="BH111" t="str">
        <f t="shared" si="52"/>
        <v/>
      </c>
      <c r="BI111" t="str">
        <f t="shared" si="53"/>
        <v/>
      </c>
      <c r="BJ111" t="str">
        <f t="shared" si="54"/>
        <v/>
      </c>
      <c r="BK111" t="str">
        <f t="shared" si="55"/>
        <v/>
      </c>
      <c r="BL111" t="str">
        <f t="shared" si="56"/>
        <v/>
      </c>
      <c r="BM111" t="str">
        <f t="shared" si="57"/>
        <v/>
      </c>
      <c r="BN111" t="str">
        <f t="shared" si="58"/>
        <v/>
      </c>
      <c r="BO111" t="str">
        <f t="shared" si="59"/>
        <v/>
      </c>
      <c r="BP111" t="str">
        <f t="shared" si="60"/>
        <v/>
      </c>
      <c r="BQ111" t="str">
        <f t="shared" si="61"/>
        <v/>
      </c>
      <c r="BR111" t="str">
        <f t="shared" si="62"/>
        <v/>
      </c>
      <c r="BS111" t="str">
        <f t="shared" si="63"/>
        <v/>
      </c>
      <c r="BT111" t="str">
        <f t="shared" si="64"/>
        <v/>
      </c>
      <c r="BU111" t="str">
        <f t="shared" si="65"/>
        <v/>
      </c>
    </row>
    <row r="112" spans="1:73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>ConcatenateRange(AZ112:BU112,"||")</f>
        <v/>
      </c>
      <c r="AZ112" t="str">
        <f t="shared" si="44"/>
        <v/>
      </c>
      <c r="BA112" t="str">
        <f t="shared" si="45"/>
        <v/>
      </c>
      <c r="BB112" t="str">
        <f t="shared" si="46"/>
        <v/>
      </c>
      <c r="BC112" t="str">
        <f t="shared" si="47"/>
        <v/>
      </c>
      <c r="BD112" t="str">
        <f t="shared" si="48"/>
        <v/>
      </c>
      <c r="BE112" t="str">
        <f t="shared" si="49"/>
        <v/>
      </c>
      <c r="BF112" t="str">
        <f t="shared" si="50"/>
        <v/>
      </c>
      <c r="BG112" t="str">
        <f t="shared" si="51"/>
        <v/>
      </c>
      <c r="BH112" t="str">
        <f t="shared" si="52"/>
        <v/>
      </c>
      <c r="BI112" t="str">
        <f t="shared" si="53"/>
        <v/>
      </c>
      <c r="BJ112" t="str">
        <f t="shared" si="54"/>
        <v/>
      </c>
      <c r="BK112" t="str">
        <f t="shared" si="55"/>
        <v/>
      </c>
      <c r="BL112" t="str">
        <f t="shared" si="56"/>
        <v/>
      </c>
      <c r="BM112" t="str">
        <f t="shared" si="57"/>
        <v/>
      </c>
      <c r="BN112" t="str">
        <f t="shared" si="58"/>
        <v/>
      </c>
      <c r="BO112" t="str">
        <f t="shared" si="59"/>
        <v/>
      </c>
      <c r="BP112" t="str">
        <f t="shared" si="60"/>
        <v/>
      </c>
      <c r="BQ112" t="str">
        <f t="shared" si="61"/>
        <v/>
      </c>
      <c r="BR112" t="str">
        <f t="shared" si="62"/>
        <v/>
      </c>
      <c r="BS112" t="str">
        <f t="shared" si="63"/>
        <v/>
      </c>
      <c r="BT112" t="str">
        <f t="shared" si="64"/>
        <v/>
      </c>
      <c r="BU112" t="str">
        <f t="shared" si="65"/>
        <v/>
      </c>
    </row>
    <row r="113" spans="1:73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ConcatenateRange(AZ113:BU113,"||")</f>
        <v/>
      </c>
      <c r="AZ113" t="str">
        <f t="shared" si="44"/>
        <v/>
      </c>
      <c r="BA113" t="str">
        <f t="shared" si="45"/>
        <v/>
      </c>
      <c r="BB113" t="str">
        <f t="shared" si="46"/>
        <v/>
      </c>
      <c r="BC113" t="str">
        <f t="shared" si="47"/>
        <v/>
      </c>
      <c r="BD113" t="str">
        <f t="shared" si="48"/>
        <v/>
      </c>
      <c r="BE113" t="str">
        <f t="shared" si="49"/>
        <v/>
      </c>
      <c r="BF113" t="str">
        <f t="shared" si="50"/>
        <v/>
      </c>
      <c r="BG113" t="str">
        <f t="shared" si="51"/>
        <v/>
      </c>
      <c r="BH113" t="str">
        <f t="shared" si="52"/>
        <v/>
      </c>
      <c r="BI113" t="str">
        <f t="shared" si="53"/>
        <v/>
      </c>
      <c r="BJ113" t="str">
        <f t="shared" si="54"/>
        <v/>
      </c>
      <c r="BK113" t="str">
        <f t="shared" si="55"/>
        <v/>
      </c>
      <c r="BL113" t="str">
        <f t="shared" si="56"/>
        <v/>
      </c>
      <c r="BM113" t="str">
        <f t="shared" si="57"/>
        <v/>
      </c>
      <c r="BN113" t="str">
        <f t="shared" si="58"/>
        <v/>
      </c>
      <c r="BO113" t="str">
        <f t="shared" si="59"/>
        <v/>
      </c>
      <c r="BP113" t="str">
        <f t="shared" si="60"/>
        <v/>
      </c>
      <c r="BQ113" t="str">
        <f t="shared" si="61"/>
        <v/>
      </c>
      <c r="BR113" t="str">
        <f t="shared" si="62"/>
        <v/>
      </c>
      <c r="BS113" t="str">
        <f t="shared" si="63"/>
        <v/>
      </c>
      <c r="BT113" t="str">
        <f t="shared" si="64"/>
        <v/>
      </c>
      <c r="BU113" t="str">
        <f t="shared" si="65"/>
        <v/>
      </c>
    </row>
    <row r="114" spans="1:73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ConcatenateRange(AZ114:BU114,"||")</f>
        <v/>
      </c>
      <c r="AZ114" t="str">
        <f t="shared" si="44"/>
        <v/>
      </c>
      <c r="BA114" t="str">
        <f t="shared" si="45"/>
        <v/>
      </c>
      <c r="BB114" t="str">
        <f t="shared" si="46"/>
        <v/>
      </c>
      <c r="BC114" t="str">
        <f t="shared" si="47"/>
        <v/>
      </c>
      <c r="BD114" t="str">
        <f t="shared" si="48"/>
        <v/>
      </c>
      <c r="BE114" t="str">
        <f t="shared" si="49"/>
        <v/>
      </c>
      <c r="BF114" t="str">
        <f t="shared" si="50"/>
        <v/>
      </c>
      <c r="BG114" t="str">
        <f t="shared" si="51"/>
        <v/>
      </c>
      <c r="BH114" t="str">
        <f t="shared" si="52"/>
        <v/>
      </c>
      <c r="BI114" t="str">
        <f t="shared" si="53"/>
        <v/>
      </c>
      <c r="BJ114" t="str">
        <f t="shared" si="54"/>
        <v/>
      </c>
      <c r="BK114" t="str">
        <f t="shared" si="55"/>
        <v/>
      </c>
      <c r="BL114" t="str">
        <f t="shared" si="56"/>
        <v/>
      </c>
      <c r="BM114" t="str">
        <f t="shared" si="57"/>
        <v/>
      </c>
      <c r="BN114" t="str">
        <f t="shared" si="58"/>
        <v/>
      </c>
      <c r="BO114" t="str">
        <f t="shared" si="59"/>
        <v/>
      </c>
      <c r="BP114" t="str">
        <f t="shared" si="60"/>
        <v/>
      </c>
      <c r="BQ114" t="str">
        <f t="shared" si="61"/>
        <v/>
      </c>
      <c r="BR114" t="str">
        <f t="shared" si="62"/>
        <v/>
      </c>
      <c r="BS114" t="str">
        <f t="shared" si="63"/>
        <v/>
      </c>
      <c r="BT114" t="str">
        <f t="shared" si="64"/>
        <v/>
      </c>
      <c r="BU114" t="str">
        <f t="shared" si="65"/>
        <v/>
      </c>
    </row>
    <row r="115" spans="1:73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ConcatenateRange(AZ115:BU115,"||")</f>
        <v/>
      </c>
      <c r="AZ115" t="str">
        <f t="shared" si="44"/>
        <v/>
      </c>
      <c r="BA115" t="str">
        <f t="shared" si="45"/>
        <v/>
      </c>
      <c r="BB115" t="str">
        <f t="shared" si="46"/>
        <v/>
      </c>
      <c r="BC115" t="str">
        <f t="shared" si="47"/>
        <v/>
      </c>
      <c r="BD115" t="str">
        <f t="shared" si="48"/>
        <v/>
      </c>
      <c r="BE115" t="str">
        <f t="shared" si="49"/>
        <v/>
      </c>
      <c r="BF115" t="str">
        <f t="shared" si="50"/>
        <v/>
      </c>
      <c r="BG115" t="str">
        <f t="shared" si="51"/>
        <v/>
      </c>
      <c r="BH115" t="str">
        <f t="shared" si="52"/>
        <v/>
      </c>
      <c r="BI115" t="str">
        <f t="shared" si="53"/>
        <v/>
      </c>
      <c r="BJ115" t="str">
        <f t="shared" si="54"/>
        <v/>
      </c>
      <c r="BK115" t="str">
        <f t="shared" si="55"/>
        <v/>
      </c>
      <c r="BL115" t="str">
        <f t="shared" si="56"/>
        <v/>
      </c>
      <c r="BM115" t="str">
        <f t="shared" si="57"/>
        <v/>
      </c>
      <c r="BN115" t="str">
        <f t="shared" si="58"/>
        <v/>
      </c>
      <c r="BO115" t="str">
        <f t="shared" si="59"/>
        <v/>
      </c>
      <c r="BP115" t="str">
        <f t="shared" si="60"/>
        <v/>
      </c>
      <c r="BQ115" t="str">
        <f t="shared" si="61"/>
        <v/>
      </c>
      <c r="BR115" t="str">
        <f t="shared" si="62"/>
        <v/>
      </c>
      <c r="BS115" t="str">
        <f t="shared" si="63"/>
        <v/>
      </c>
      <c r="BT115" t="str">
        <f t="shared" si="64"/>
        <v/>
      </c>
      <c r="BU115" t="str">
        <f t="shared" si="65"/>
        <v/>
      </c>
    </row>
    <row r="116" spans="1:73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ConcatenateRange(AZ116:BU116,"||")</f>
        <v/>
      </c>
      <c r="AZ116" t="str">
        <f t="shared" si="44"/>
        <v/>
      </c>
      <c r="BA116" t="str">
        <f t="shared" si="45"/>
        <v/>
      </c>
      <c r="BB116" t="str">
        <f t="shared" si="46"/>
        <v/>
      </c>
      <c r="BC116" t="str">
        <f t="shared" si="47"/>
        <v/>
      </c>
      <c r="BD116" t="str">
        <f t="shared" si="48"/>
        <v/>
      </c>
      <c r="BE116" t="str">
        <f t="shared" si="49"/>
        <v/>
      </c>
      <c r="BF116" t="str">
        <f t="shared" si="50"/>
        <v/>
      </c>
      <c r="BG116" t="str">
        <f t="shared" si="51"/>
        <v/>
      </c>
      <c r="BH116" t="str">
        <f t="shared" si="52"/>
        <v/>
      </c>
      <c r="BI116" t="str">
        <f t="shared" si="53"/>
        <v/>
      </c>
      <c r="BJ116" t="str">
        <f t="shared" si="54"/>
        <v/>
      </c>
      <c r="BK116" t="str">
        <f t="shared" si="55"/>
        <v/>
      </c>
      <c r="BL116" t="str">
        <f t="shared" si="56"/>
        <v/>
      </c>
      <c r="BM116" t="str">
        <f t="shared" si="57"/>
        <v/>
      </c>
      <c r="BN116" t="str">
        <f t="shared" si="58"/>
        <v/>
      </c>
      <c r="BO116" t="str">
        <f t="shared" si="59"/>
        <v/>
      </c>
      <c r="BP116" t="str">
        <f t="shared" si="60"/>
        <v/>
      </c>
      <c r="BQ116" t="str">
        <f t="shared" si="61"/>
        <v/>
      </c>
      <c r="BR116" t="str">
        <f t="shared" si="62"/>
        <v/>
      </c>
      <c r="BS116" t="str">
        <f t="shared" si="63"/>
        <v/>
      </c>
      <c r="BT116" t="str">
        <f t="shared" si="64"/>
        <v/>
      </c>
      <c r="BU116" t="str">
        <f t="shared" si="65"/>
        <v/>
      </c>
    </row>
    <row r="117" spans="1:73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ConcatenateRange(AZ117:BU117,"||")</f>
        <v/>
      </c>
      <c r="AZ117" t="str">
        <f t="shared" si="44"/>
        <v/>
      </c>
      <c r="BA117" t="str">
        <f t="shared" si="45"/>
        <v/>
      </c>
      <c r="BB117" t="str">
        <f t="shared" si="46"/>
        <v/>
      </c>
      <c r="BC117" t="str">
        <f t="shared" si="47"/>
        <v/>
      </c>
      <c r="BD117" t="str">
        <f t="shared" si="48"/>
        <v/>
      </c>
      <c r="BE117" t="str">
        <f t="shared" si="49"/>
        <v/>
      </c>
      <c r="BF117" t="str">
        <f t="shared" si="50"/>
        <v/>
      </c>
      <c r="BG117" t="str">
        <f t="shared" si="51"/>
        <v/>
      </c>
      <c r="BH117" t="str">
        <f t="shared" si="52"/>
        <v/>
      </c>
      <c r="BI117" t="str">
        <f t="shared" si="53"/>
        <v/>
      </c>
      <c r="BJ117" t="str">
        <f t="shared" si="54"/>
        <v/>
      </c>
      <c r="BK117" t="str">
        <f t="shared" si="55"/>
        <v/>
      </c>
      <c r="BL117" t="str">
        <f t="shared" si="56"/>
        <v/>
      </c>
      <c r="BM117" t="str">
        <f t="shared" si="57"/>
        <v/>
      </c>
      <c r="BN117" t="str">
        <f t="shared" si="58"/>
        <v/>
      </c>
      <c r="BO117" t="str">
        <f t="shared" si="59"/>
        <v/>
      </c>
      <c r="BP117" t="str">
        <f t="shared" si="60"/>
        <v/>
      </c>
      <c r="BQ117" t="str">
        <f t="shared" si="61"/>
        <v/>
      </c>
      <c r="BR117" t="str">
        <f t="shared" si="62"/>
        <v/>
      </c>
      <c r="BS117" t="str">
        <f t="shared" si="63"/>
        <v/>
      </c>
      <c r="BT117" t="str">
        <f t="shared" si="64"/>
        <v/>
      </c>
      <c r="BU117" t="str">
        <f t="shared" si="65"/>
        <v/>
      </c>
    </row>
    <row r="118" spans="1:73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ConcatenateRange(AZ118:BU118,"||")</f>
        <v/>
      </c>
      <c r="AZ118" t="str">
        <f t="shared" si="44"/>
        <v/>
      </c>
      <c r="BA118" t="str">
        <f t="shared" si="45"/>
        <v/>
      </c>
      <c r="BB118" t="str">
        <f t="shared" si="46"/>
        <v/>
      </c>
      <c r="BC118" t="str">
        <f t="shared" si="47"/>
        <v/>
      </c>
      <c r="BD118" t="str">
        <f t="shared" si="48"/>
        <v/>
      </c>
      <c r="BE118" t="str">
        <f t="shared" si="49"/>
        <v/>
      </c>
      <c r="BF118" t="str">
        <f t="shared" si="50"/>
        <v/>
      </c>
      <c r="BG118" t="str">
        <f t="shared" si="51"/>
        <v/>
      </c>
      <c r="BH118" t="str">
        <f t="shared" si="52"/>
        <v/>
      </c>
      <c r="BI118" t="str">
        <f t="shared" si="53"/>
        <v/>
      </c>
      <c r="BJ118" t="str">
        <f t="shared" si="54"/>
        <v/>
      </c>
      <c r="BK118" t="str">
        <f t="shared" si="55"/>
        <v/>
      </c>
      <c r="BL118" t="str">
        <f t="shared" si="56"/>
        <v/>
      </c>
      <c r="BM118" t="str">
        <f t="shared" si="57"/>
        <v/>
      </c>
      <c r="BN118" t="str">
        <f t="shared" si="58"/>
        <v/>
      </c>
      <c r="BO118" t="str">
        <f t="shared" si="59"/>
        <v/>
      </c>
      <c r="BP118" t="str">
        <f t="shared" si="60"/>
        <v/>
      </c>
      <c r="BQ118" t="str">
        <f t="shared" si="61"/>
        <v/>
      </c>
      <c r="BR118" t="str">
        <f t="shared" si="62"/>
        <v/>
      </c>
      <c r="BS118" t="str">
        <f t="shared" si="63"/>
        <v/>
      </c>
      <c r="BT118" t="str">
        <f t="shared" si="64"/>
        <v/>
      </c>
      <c r="BU118" t="str">
        <f t="shared" si="65"/>
        <v/>
      </c>
    </row>
    <row r="119" spans="1:73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ConcatenateRange(AZ119:BU119,"||")</f>
        <v/>
      </c>
      <c r="AZ119" t="str">
        <f t="shared" si="44"/>
        <v/>
      </c>
      <c r="BA119" t="str">
        <f t="shared" si="45"/>
        <v/>
      </c>
      <c r="BB119" t="str">
        <f t="shared" si="46"/>
        <v/>
      </c>
      <c r="BC119" t="str">
        <f t="shared" si="47"/>
        <v/>
      </c>
      <c r="BD119" t="str">
        <f t="shared" si="48"/>
        <v/>
      </c>
      <c r="BE119" t="str">
        <f t="shared" si="49"/>
        <v/>
      </c>
      <c r="BF119" t="str">
        <f t="shared" si="50"/>
        <v/>
      </c>
      <c r="BG119" t="str">
        <f t="shared" si="51"/>
        <v/>
      </c>
      <c r="BH119" t="str">
        <f t="shared" si="52"/>
        <v/>
      </c>
      <c r="BI119" t="str">
        <f t="shared" si="53"/>
        <v/>
      </c>
      <c r="BJ119" t="str">
        <f t="shared" si="54"/>
        <v/>
      </c>
      <c r="BK119" t="str">
        <f t="shared" si="55"/>
        <v/>
      </c>
      <c r="BL119" t="str">
        <f t="shared" si="56"/>
        <v/>
      </c>
      <c r="BM119" t="str">
        <f t="shared" si="57"/>
        <v/>
      </c>
      <c r="BN119" t="str">
        <f t="shared" si="58"/>
        <v/>
      </c>
      <c r="BO119" t="str">
        <f t="shared" si="59"/>
        <v/>
      </c>
      <c r="BP119" t="str">
        <f t="shared" si="60"/>
        <v/>
      </c>
      <c r="BQ119" t="str">
        <f t="shared" si="61"/>
        <v/>
      </c>
      <c r="BR119" t="str">
        <f t="shared" si="62"/>
        <v/>
      </c>
      <c r="BS119" t="str">
        <f t="shared" si="63"/>
        <v/>
      </c>
      <c r="BT119" t="str">
        <f t="shared" si="64"/>
        <v/>
      </c>
      <c r="BU119" t="str">
        <f t="shared" si="65"/>
        <v/>
      </c>
    </row>
    <row r="120" spans="1:73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ConcatenateRange(AZ120:BU120,"||")</f>
        <v/>
      </c>
      <c r="AZ120" t="str">
        <f t="shared" ref="AZ120:AZ181" si="66">IF(AA120&lt;&gt;0,AA$2,"")</f>
        <v/>
      </c>
      <c r="BA120" t="str">
        <f t="shared" ref="BA120:BA181" si="67">IF(AB120&lt;&gt;0,AB$2,"")</f>
        <v/>
      </c>
      <c r="BB120" t="str">
        <f t="shared" ref="BB120:BB181" si="68">IF(AC120&lt;&gt;0,AC$2,"")</f>
        <v/>
      </c>
      <c r="BC120" t="str">
        <f t="shared" ref="BC120:BC181" si="69">IF(AD120&lt;&gt;0,AD$2,"")</f>
        <v/>
      </c>
      <c r="BD120" t="str">
        <f t="shared" ref="BD120:BD181" si="70">IF(AE120&lt;&gt;0,AE$2,"")</f>
        <v/>
      </c>
      <c r="BE120" t="str">
        <f t="shared" ref="BE120:BE181" si="71">IF(AF120&lt;&gt;0,AF$2,"")</f>
        <v/>
      </c>
      <c r="BF120" t="str">
        <f t="shared" ref="BF120:BF181" si="72">IF(AG120&lt;&gt;0,AG$2,"")</f>
        <v/>
      </c>
      <c r="BG120" t="str">
        <f t="shared" ref="BG120:BG181" si="73">IF(AH120&lt;&gt;0,AH$2,"")</f>
        <v/>
      </c>
      <c r="BH120" t="str">
        <f t="shared" ref="BH120:BH181" si="74">IF(AI120&lt;&gt;0,AI$2,"")</f>
        <v/>
      </c>
      <c r="BI120" t="str">
        <f t="shared" ref="BI120:BI181" si="75">IF(AJ120&lt;&gt;0,AJ$2,"")</f>
        <v/>
      </c>
      <c r="BJ120" t="str">
        <f t="shared" ref="BJ120:BJ181" si="76">IF(AK120&lt;&gt;0,AK$2,"")</f>
        <v/>
      </c>
      <c r="BK120" t="str">
        <f t="shared" ref="BK120:BK181" si="77">IF(AL120&lt;&gt;0,AL$2,"")</f>
        <v/>
      </c>
      <c r="BL120" t="str">
        <f t="shared" ref="BL120:BL181" si="78">IF(AM120&lt;&gt;0,AM$2,"")</f>
        <v/>
      </c>
      <c r="BM120" t="str">
        <f t="shared" ref="BM120:BM181" si="79">IF(AN120&lt;&gt;0,AN$2,"")</f>
        <v/>
      </c>
      <c r="BN120" t="str">
        <f t="shared" ref="BN120:BN181" si="80">IF(AO120&lt;&gt;0,AO$2,"")</f>
        <v/>
      </c>
      <c r="BO120" t="str">
        <f t="shared" ref="BO120:BO181" si="81">IF(AP120&lt;&gt;0,AP$2,"")</f>
        <v/>
      </c>
      <c r="BP120" t="str">
        <f t="shared" ref="BP120:BP181" si="82">IF(AQ120&lt;&gt;0,AQ$2,"")</f>
        <v/>
      </c>
      <c r="BQ120" t="str">
        <f t="shared" ref="BQ120:BQ181" si="83">IF(AR120&lt;&gt;0,AR$2,"")</f>
        <v/>
      </c>
      <c r="BR120" t="str">
        <f t="shared" ref="BR120:BR181" si="84">IF(AS120&lt;&gt;0,AS$2,"")</f>
        <v/>
      </c>
      <c r="BS120" t="str">
        <f t="shared" ref="BS120:BS181" si="85">IF(AT120&lt;&gt;0,AT$2,"")</f>
        <v/>
      </c>
      <c r="BT120" t="str">
        <f t="shared" ref="BT120:BT181" si="86">IF(AU120&lt;&gt;0,AU$2,"")</f>
        <v/>
      </c>
      <c r="BU120" t="str">
        <f t="shared" ref="BU120:BU181" si="87">IF(AV120&lt;&gt;0,AV$2,"")</f>
        <v/>
      </c>
    </row>
    <row r="121" spans="1:73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ConcatenateRange(AZ121:BU121,"||")</f>
        <v/>
      </c>
      <c r="AZ121" t="str">
        <f t="shared" si="66"/>
        <v/>
      </c>
      <c r="BA121" t="str">
        <f t="shared" si="67"/>
        <v/>
      </c>
      <c r="BB121" t="str">
        <f t="shared" si="68"/>
        <v/>
      </c>
      <c r="BC121" t="str">
        <f t="shared" si="69"/>
        <v/>
      </c>
      <c r="BD121" t="str">
        <f t="shared" si="70"/>
        <v/>
      </c>
      <c r="BE121" t="str">
        <f t="shared" si="71"/>
        <v/>
      </c>
      <c r="BF121" t="str">
        <f t="shared" si="72"/>
        <v/>
      </c>
      <c r="BG121" t="str">
        <f t="shared" si="73"/>
        <v/>
      </c>
      <c r="BH121" t="str">
        <f t="shared" si="74"/>
        <v/>
      </c>
      <c r="BI121" t="str">
        <f t="shared" si="75"/>
        <v/>
      </c>
      <c r="BJ121" t="str">
        <f t="shared" si="76"/>
        <v/>
      </c>
      <c r="BK121" t="str">
        <f t="shared" si="77"/>
        <v/>
      </c>
      <c r="BL121" t="str">
        <f t="shared" si="78"/>
        <v/>
      </c>
      <c r="BM121" t="str">
        <f t="shared" si="79"/>
        <v/>
      </c>
      <c r="BN121" t="str">
        <f t="shared" si="80"/>
        <v/>
      </c>
      <c r="BO121" t="str">
        <f t="shared" si="81"/>
        <v/>
      </c>
      <c r="BP121" t="str">
        <f t="shared" si="82"/>
        <v/>
      </c>
      <c r="BQ121" t="str">
        <f t="shared" si="83"/>
        <v/>
      </c>
      <c r="BR121" t="str">
        <f t="shared" si="84"/>
        <v/>
      </c>
      <c r="BS121" t="str">
        <f t="shared" si="85"/>
        <v/>
      </c>
      <c r="BT121" t="str">
        <f t="shared" si="86"/>
        <v/>
      </c>
      <c r="BU121" t="str">
        <f t="shared" si="87"/>
        <v/>
      </c>
    </row>
    <row r="122" spans="1:73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ConcatenateRange(AZ122:BU122,"||")</f>
        <v/>
      </c>
      <c r="AZ122" t="str">
        <f t="shared" si="66"/>
        <v/>
      </c>
      <c r="BA122" t="str">
        <f t="shared" si="67"/>
        <v/>
      </c>
      <c r="BB122" t="str">
        <f t="shared" si="68"/>
        <v/>
      </c>
      <c r="BC122" t="str">
        <f t="shared" si="69"/>
        <v/>
      </c>
      <c r="BD122" t="str">
        <f t="shared" si="70"/>
        <v/>
      </c>
      <c r="BE122" t="str">
        <f t="shared" si="71"/>
        <v/>
      </c>
      <c r="BF122" t="str">
        <f t="shared" si="72"/>
        <v/>
      </c>
      <c r="BG122" t="str">
        <f t="shared" si="73"/>
        <v/>
      </c>
      <c r="BH122" t="str">
        <f t="shared" si="74"/>
        <v/>
      </c>
      <c r="BI122" t="str">
        <f t="shared" si="75"/>
        <v/>
      </c>
      <c r="BJ122" t="str">
        <f t="shared" si="76"/>
        <v/>
      </c>
      <c r="BK122" t="str">
        <f t="shared" si="77"/>
        <v/>
      </c>
      <c r="BL122" t="str">
        <f t="shared" si="78"/>
        <v/>
      </c>
      <c r="BM122" t="str">
        <f t="shared" si="79"/>
        <v/>
      </c>
      <c r="BN122" t="str">
        <f t="shared" si="80"/>
        <v/>
      </c>
      <c r="BO122" t="str">
        <f t="shared" si="81"/>
        <v/>
      </c>
      <c r="BP122" t="str">
        <f t="shared" si="82"/>
        <v/>
      </c>
      <c r="BQ122" t="str">
        <f t="shared" si="83"/>
        <v/>
      </c>
      <c r="BR122" t="str">
        <f t="shared" si="84"/>
        <v/>
      </c>
      <c r="BS122" t="str">
        <f t="shared" si="85"/>
        <v/>
      </c>
      <c r="BT122" t="str">
        <f t="shared" si="86"/>
        <v/>
      </c>
      <c r="BU122" t="str">
        <f t="shared" si="87"/>
        <v/>
      </c>
    </row>
    <row r="123" spans="1:73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ConcatenateRange(AZ123:BU123,"||")</f>
        <v/>
      </c>
      <c r="AZ123" t="str">
        <f t="shared" si="66"/>
        <v/>
      </c>
      <c r="BA123" t="str">
        <f t="shared" si="67"/>
        <v/>
      </c>
      <c r="BB123" t="str">
        <f t="shared" si="68"/>
        <v/>
      </c>
      <c r="BC123" t="str">
        <f t="shared" si="69"/>
        <v/>
      </c>
      <c r="BD123" t="str">
        <f t="shared" si="70"/>
        <v/>
      </c>
      <c r="BE123" t="str">
        <f t="shared" si="71"/>
        <v/>
      </c>
      <c r="BF123" t="str">
        <f t="shared" si="72"/>
        <v/>
      </c>
      <c r="BG123" t="str">
        <f t="shared" si="73"/>
        <v/>
      </c>
      <c r="BH123" t="str">
        <f t="shared" si="74"/>
        <v/>
      </c>
      <c r="BI123" t="str">
        <f t="shared" si="75"/>
        <v/>
      </c>
      <c r="BJ123" t="str">
        <f t="shared" si="76"/>
        <v/>
      </c>
      <c r="BK123" t="str">
        <f t="shared" si="77"/>
        <v/>
      </c>
      <c r="BL123" t="str">
        <f t="shared" si="78"/>
        <v/>
      </c>
      <c r="BM123" t="str">
        <f t="shared" si="79"/>
        <v/>
      </c>
      <c r="BN123" t="str">
        <f t="shared" si="80"/>
        <v/>
      </c>
      <c r="BO123" t="str">
        <f t="shared" si="81"/>
        <v/>
      </c>
      <c r="BP123" t="str">
        <f t="shared" si="82"/>
        <v/>
      </c>
      <c r="BQ123" t="str">
        <f t="shared" si="83"/>
        <v/>
      </c>
      <c r="BR123" t="str">
        <f t="shared" si="84"/>
        <v/>
      </c>
      <c r="BS123" t="str">
        <f t="shared" si="85"/>
        <v/>
      </c>
      <c r="BT123" t="str">
        <f t="shared" si="86"/>
        <v/>
      </c>
      <c r="BU123" t="str">
        <f t="shared" si="87"/>
        <v/>
      </c>
    </row>
    <row r="124" spans="1:73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ConcatenateRange(AZ124:BU124,"||")</f>
        <v/>
      </c>
      <c r="AZ124" t="str">
        <f t="shared" si="66"/>
        <v/>
      </c>
      <c r="BA124" t="str">
        <f t="shared" si="67"/>
        <v/>
      </c>
      <c r="BB124" t="str">
        <f t="shared" si="68"/>
        <v/>
      </c>
      <c r="BC124" t="str">
        <f t="shared" si="69"/>
        <v/>
      </c>
      <c r="BD124" t="str">
        <f t="shared" si="70"/>
        <v/>
      </c>
      <c r="BE124" t="str">
        <f t="shared" si="71"/>
        <v/>
      </c>
      <c r="BF124" t="str">
        <f t="shared" si="72"/>
        <v/>
      </c>
      <c r="BG124" t="str">
        <f t="shared" si="73"/>
        <v/>
      </c>
      <c r="BH124" t="str">
        <f t="shared" si="74"/>
        <v/>
      </c>
      <c r="BI124" t="str">
        <f t="shared" si="75"/>
        <v/>
      </c>
      <c r="BJ124" t="str">
        <f t="shared" si="76"/>
        <v/>
      </c>
      <c r="BK124" t="str">
        <f t="shared" si="77"/>
        <v/>
      </c>
      <c r="BL124" t="str">
        <f t="shared" si="78"/>
        <v/>
      </c>
      <c r="BM124" t="str">
        <f t="shared" si="79"/>
        <v/>
      </c>
      <c r="BN124" t="str">
        <f t="shared" si="80"/>
        <v/>
      </c>
      <c r="BO124" t="str">
        <f t="shared" si="81"/>
        <v/>
      </c>
      <c r="BP124" t="str">
        <f t="shared" si="82"/>
        <v/>
      </c>
      <c r="BQ124" t="str">
        <f t="shared" si="83"/>
        <v/>
      </c>
      <c r="BR124" t="str">
        <f t="shared" si="84"/>
        <v/>
      </c>
      <c r="BS124" t="str">
        <f t="shared" si="85"/>
        <v/>
      </c>
      <c r="BT124" t="str">
        <f t="shared" si="86"/>
        <v/>
      </c>
      <c r="BU124" t="str">
        <f t="shared" si="87"/>
        <v/>
      </c>
    </row>
    <row r="125" spans="1:73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ConcatenateRange(AZ125:BU125,"||")</f>
        <v/>
      </c>
      <c r="AZ125" t="str">
        <f t="shared" si="66"/>
        <v/>
      </c>
      <c r="BA125" t="str">
        <f t="shared" si="67"/>
        <v/>
      </c>
      <c r="BB125" t="str">
        <f t="shared" si="68"/>
        <v/>
      </c>
      <c r="BC125" t="str">
        <f t="shared" si="69"/>
        <v/>
      </c>
      <c r="BD125" t="str">
        <f t="shared" si="70"/>
        <v/>
      </c>
      <c r="BE125" t="str">
        <f t="shared" si="71"/>
        <v/>
      </c>
      <c r="BF125" t="str">
        <f t="shared" si="72"/>
        <v/>
      </c>
      <c r="BG125" t="str">
        <f t="shared" si="73"/>
        <v/>
      </c>
      <c r="BH125" t="str">
        <f t="shared" si="74"/>
        <v/>
      </c>
      <c r="BI125" t="str">
        <f t="shared" si="75"/>
        <v/>
      </c>
      <c r="BJ125" t="str">
        <f t="shared" si="76"/>
        <v/>
      </c>
      <c r="BK125" t="str">
        <f t="shared" si="77"/>
        <v/>
      </c>
      <c r="BL125" t="str">
        <f t="shared" si="78"/>
        <v/>
      </c>
      <c r="BM125" t="str">
        <f t="shared" si="79"/>
        <v/>
      </c>
      <c r="BN125" t="str">
        <f t="shared" si="80"/>
        <v/>
      </c>
      <c r="BO125" t="str">
        <f t="shared" si="81"/>
        <v/>
      </c>
      <c r="BP125" t="str">
        <f t="shared" si="82"/>
        <v/>
      </c>
      <c r="BQ125" t="str">
        <f t="shared" si="83"/>
        <v/>
      </c>
      <c r="BR125" t="str">
        <f t="shared" si="84"/>
        <v/>
      </c>
      <c r="BS125" t="str">
        <f t="shared" si="85"/>
        <v/>
      </c>
      <c r="BT125" t="str">
        <f t="shared" si="86"/>
        <v/>
      </c>
      <c r="BU125" t="str">
        <f t="shared" si="87"/>
        <v/>
      </c>
    </row>
    <row r="126" spans="1:73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ConcatenateRange(AZ126:BU126,"||")</f>
        <v/>
      </c>
      <c r="AZ126" t="str">
        <f t="shared" si="66"/>
        <v/>
      </c>
      <c r="BA126" t="str">
        <f t="shared" si="67"/>
        <v/>
      </c>
      <c r="BB126" t="str">
        <f t="shared" si="68"/>
        <v/>
      </c>
      <c r="BC126" t="str">
        <f t="shared" si="69"/>
        <v/>
      </c>
      <c r="BD126" t="str">
        <f t="shared" si="70"/>
        <v/>
      </c>
      <c r="BE126" t="str">
        <f t="shared" si="71"/>
        <v/>
      </c>
      <c r="BF126" t="str">
        <f t="shared" si="72"/>
        <v/>
      </c>
      <c r="BG126" t="str">
        <f t="shared" si="73"/>
        <v/>
      </c>
      <c r="BH126" t="str">
        <f t="shared" si="74"/>
        <v/>
      </c>
      <c r="BI126" t="str">
        <f t="shared" si="75"/>
        <v/>
      </c>
      <c r="BJ126" t="str">
        <f t="shared" si="76"/>
        <v/>
      </c>
      <c r="BK126" t="str">
        <f t="shared" si="77"/>
        <v/>
      </c>
      <c r="BL126" t="str">
        <f t="shared" si="78"/>
        <v/>
      </c>
      <c r="BM126" t="str">
        <f t="shared" si="79"/>
        <v/>
      </c>
      <c r="BN126" t="str">
        <f t="shared" si="80"/>
        <v/>
      </c>
      <c r="BO126" t="str">
        <f t="shared" si="81"/>
        <v/>
      </c>
      <c r="BP126" t="str">
        <f t="shared" si="82"/>
        <v/>
      </c>
      <c r="BQ126" t="str">
        <f t="shared" si="83"/>
        <v/>
      </c>
      <c r="BR126" t="str">
        <f t="shared" si="84"/>
        <v/>
      </c>
      <c r="BS126" t="str">
        <f t="shared" si="85"/>
        <v/>
      </c>
      <c r="BT126" t="str">
        <f t="shared" si="86"/>
        <v/>
      </c>
      <c r="BU126" t="str">
        <f t="shared" si="87"/>
        <v/>
      </c>
    </row>
    <row r="127" spans="1:73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ConcatenateRange(AZ127:BU127,"||")</f>
        <v/>
      </c>
      <c r="AZ127" t="str">
        <f t="shared" si="66"/>
        <v/>
      </c>
      <c r="BA127" t="str">
        <f t="shared" si="67"/>
        <v/>
      </c>
      <c r="BB127" t="str">
        <f t="shared" si="68"/>
        <v/>
      </c>
      <c r="BC127" t="str">
        <f t="shared" si="69"/>
        <v/>
      </c>
      <c r="BD127" t="str">
        <f t="shared" si="70"/>
        <v/>
      </c>
      <c r="BE127" t="str">
        <f t="shared" si="71"/>
        <v/>
      </c>
      <c r="BF127" t="str">
        <f t="shared" si="72"/>
        <v/>
      </c>
      <c r="BG127" t="str">
        <f t="shared" si="73"/>
        <v/>
      </c>
      <c r="BH127" t="str">
        <f t="shared" si="74"/>
        <v/>
      </c>
      <c r="BI127" t="str">
        <f t="shared" si="75"/>
        <v/>
      </c>
      <c r="BJ127" t="str">
        <f t="shared" si="76"/>
        <v/>
      </c>
      <c r="BK127" t="str">
        <f t="shared" si="77"/>
        <v/>
      </c>
      <c r="BL127" t="str">
        <f t="shared" si="78"/>
        <v/>
      </c>
      <c r="BM127" t="str">
        <f t="shared" si="79"/>
        <v/>
      </c>
      <c r="BN127" t="str">
        <f t="shared" si="80"/>
        <v/>
      </c>
      <c r="BO127" t="str">
        <f t="shared" si="81"/>
        <v/>
      </c>
      <c r="BP127" t="str">
        <f t="shared" si="82"/>
        <v/>
      </c>
      <c r="BQ127" t="str">
        <f t="shared" si="83"/>
        <v/>
      </c>
      <c r="BR127" t="str">
        <f t="shared" si="84"/>
        <v/>
      </c>
      <c r="BS127" t="str">
        <f t="shared" si="85"/>
        <v/>
      </c>
      <c r="BT127" t="str">
        <f t="shared" si="86"/>
        <v/>
      </c>
      <c r="BU127" t="str">
        <f t="shared" si="87"/>
        <v/>
      </c>
    </row>
    <row r="128" spans="1:73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ConcatenateRange(AZ128:BU128,"||")</f>
        <v/>
      </c>
      <c r="AZ128" t="str">
        <f t="shared" si="66"/>
        <v/>
      </c>
      <c r="BA128" t="str">
        <f t="shared" si="67"/>
        <v/>
      </c>
      <c r="BB128" t="str">
        <f t="shared" si="68"/>
        <v/>
      </c>
      <c r="BC128" t="str">
        <f t="shared" si="69"/>
        <v/>
      </c>
      <c r="BD128" t="str">
        <f t="shared" si="70"/>
        <v/>
      </c>
      <c r="BE128" t="str">
        <f t="shared" si="71"/>
        <v/>
      </c>
      <c r="BF128" t="str">
        <f t="shared" si="72"/>
        <v/>
      </c>
      <c r="BG128" t="str">
        <f t="shared" si="73"/>
        <v/>
      </c>
      <c r="BH128" t="str">
        <f t="shared" si="74"/>
        <v/>
      </c>
      <c r="BI128" t="str">
        <f t="shared" si="75"/>
        <v/>
      </c>
      <c r="BJ128" t="str">
        <f t="shared" si="76"/>
        <v/>
      </c>
      <c r="BK128" t="str">
        <f t="shared" si="77"/>
        <v/>
      </c>
      <c r="BL128" t="str">
        <f t="shared" si="78"/>
        <v/>
      </c>
      <c r="BM128" t="str">
        <f t="shared" si="79"/>
        <v/>
      </c>
      <c r="BN128" t="str">
        <f t="shared" si="80"/>
        <v/>
      </c>
      <c r="BO128" t="str">
        <f t="shared" si="81"/>
        <v/>
      </c>
      <c r="BP128" t="str">
        <f t="shared" si="82"/>
        <v/>
      </c>
      <c r="BQ128" t="str">
        <f t="shared" si="83"/>
        <v/>
      </c>
      <c r="BR128" t="str">
        <f t="shared" si="84"/>
        <v/>
      </c>
      <c r="BS128" t="str">
        <f t="shared" si="85"/>
        <v/>
      </c>
      <c r="BT128" t="str">
        <f t="shared" si="86"/>
        <v/>
      </c>
      <c r="BU128" t="str">
        <f t="shared" si="87"/>
        <v/>
      </c>
    </row>
    <row r="129" spans="1:73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ConcatenateRange(AZ129:BU129,"||")</f>
        <v/>
      </c>
      <c r="AZ129" t="str">
        <f t="shared" si="66"/>
        <v/>
      </c>
      <c r="BA129" t="str">
        <f t="shared" si="67"/>
        <v/>
      </c>
      <c r="BB129" t="str">
        <f t="shared" si="68"/>
        <v/>
      </c>
      <c r="BC129" t="str">
        <f t="shared" si="69"/>
        <v/>
      </c>
      <c r="BD129" t="str">
        <f t="shared" si="70"/>
        <v/>
      </c>
      <c r="BE129" t="str">
        <f t="shared" si="71"/>
        <v/>
      </c>
      <c r="BF129" t="str">
        <f t="shared" si="72"/>
        <v/>
      </c>
      <c r="BG129" t="str">
        <f t="shared" si="73"/>
        <v/>
      </c>
      <c r="BH129" t="str">
        <f t="shared" si="74"/>
        <v/>
      </c>
      <c r="BI129" t="str">
        <f t="shared" si="75"/>
        <v/>
      </c>
      <c r="BJ129" t="str">
        <f t="shared" si="76"/>
        <v/>
      </c>
      <c r="BK129" t="str">
        <f t="shared" si="77"/>
        <v/>
      </c>
      <c r="BL129" t="str">
        <f t="shared" si="78"/>
        <v/>
      </c>
      <c r="BM129" t="str">
        <f t="shared" si="79"/>
        <v/>
      </c>
      <c r="BN129" t="str">
        <f t="shared" si="80"/>
        <v/>
      </c>
      <c r="BO129" t="str">
        <f t="shared" si="81"/>
        <v/>
      </c>
      <c r="BP129" t="str">
        <f t="shared" si="82"/>
        <v/>
      </c>
      <c r="BQ129" t="str">
        <f t="shared" si="83"/>
        <v/>
      </c>
      <c r="BR129" t="str">
        <f t="shared" si="84"/>
        <v/>
      </c>
      <c r="BS129" t="str">
        <f t="shared" si="85"/>
        <v/>
      </c>
      <c r="BT129" t="str">
        <f t="shared" si="86"/>
        <v/>
      </c>
      <c r="BU129" t="str">
        <f t="shared" si="87"/>
        <v/>
      </c>
    </row>
    <row r="130" spans="1:73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ConcatenateRange(AZ130:BU130,"||")</f>
        <v/>
      </c>
      <c r="AZ130" t="str">
        <f t="shared" si="66"/>
        <v/>
      </c>
      <c r="BA130" t="str">
        <f t="shared" si="67"/>
        <v/>
      </c>
      <c r="BB130" t="str">
        <f t="shared" si="68"/>
        <v/>
      </c>
      <c r="BC130" t="str">
        <f t="shared" si="69"/>
        <v/>
      </c>
      <c r="BD130" t="str">
        <f t="shared" si="70"/>
        <v/>
      </c>
      <c r="BE130" t="str">
        <f t="shared" si="71"/>
        <v/>
      </c>
      <c r="BF130" t="str">
        <f t="shared" si="72"/>
        <v/>
      </c>
      <c r="BG130" t="str">
        <f t="shared" si="73"/>
        <v/>
      </c>
      <c r="BH130" t="str">
        <f t="shared" si="74"/>
        <v/>
      </c>
      <c r="BI130" t="str">
        <f t="shared" si="75"/>
        <v/>
      </c>
      <c r="BJ130" t="str">
        <f t="shared" si="76"/>
        <v/>
      </c>
      <c r="BK130" t="str">
        <f t="shared" si="77"/>
        <v/>
      </c>
      <c r="BL130" t="str">
        <f t="shared" si="78"/>
        <v/>
      </c>
      <c r="BM130" t="str">
        <f t="shared" si="79"/>
        <v/>
      </c>
      <c r="BN130" t="str">
        <f t="shared" si="80"/>
        <v/>
      </c>
      <c r="BO130" t="str">
        <f t="shared" si="81"/>
        <v/>
      </c>
      <c r="BP130" t="str">
        <f t="shared" si="82"/>
        <v/>
      </c>
      <c r="BQ130" t="str">
        <f t="shared" si="83"/>
        <v/>
      </c>
      <c r="BR130" t="str">
        <f t="shared" si="84"/>
        <v/>
      </c>
      <c r="BS130" t="str">
        <f t="shared" si="85"/>
        <v/>
      </c>
      <c r="BT130" t="str">
        <f t="shared" si="86"/>
        <v/>
      </c>
      <c r="BU130" t="str">
        <f t="shared" si="87"/>
        <v/>
      </c>
    </row>
    <row r="131" spans="1:73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ConcatenateRange(AZ131:BU131,"||")</f>
        <v/>
      </c>
      <c r="AZ131" t="str">
        <f t="shared" si="66"/>
        <v/>
      </c>
      <c r="BA131" t="str">
        <f t="shared" si="67"/>
        <v/>
      </c>
      <c r="BB131" t="str">
        <f t="shared" si="68"/>
        <v/>
      </c>
      <c r="BC131" t="str">
        <f t="shared" si="69"/>
        <v/>
      </c>
      <c r="BD131" t="str">
        <f t="shared" si="70"/>
        <v/>
      </c>
      <c r="BE131" t="str">
        <f t="shared" si="71"/>
        <v/>
      </c>
      <c r="BF131" t="str">
        <f t="shared" si="72"/>
        <v/>
      </c>
      <c r="BG131" t="str">
        <f t="shared" si="73"/>
        <v/>
      </c>
      <c r="BH131" t="str">
        <f t="shared" si="74"/>
        <v/>
      </c>
      <c r="BI131" t="str">
        <f t="shared" si="75"/>
        <v/>
      </c>
      <c r="BJ131" t="str">
        <f t="shared" si="76"/>
        <v/>
      </c>
      <c r="BK131" t="str">
        <f t="shared" si="77"/>
        <v/>
      </c>
      <c r="BL131" t="str">
        <f t="shared" si="78"/>
        <v/>
      </c>
      <c r="BM131" t="str">
        <f t="shared" si="79"/>
        <v/>
      </c>
      <c r="BN131" t="str">
        <f t="shared" si="80"/>
        <v/>
      </c>
      <c r="BO131" t="str">
        <f t="shared" si="81"/>
        <v/>
      </c>
      <c r="BP131" t="str">
        <f t="shared" si="82"/>
        <v/>
      </c>
      <c r="BQ131" t="str">
        <f t="shared" si="83"/>
        <v/>
      </c>
      <c r="BR131" t="str">
        <f t="shared" si="84"/>
        <v/>
      </c>
      <c r="BS131" t="str">
        <f t="shared" si="85"/>
        <v/>
      </c>
      <c r="BT131" t="str">
        <f t="shared" si="86"/>
        <v/>
      </c>
      <c r="BU131" t="str">
        <f t="shared" si="87"/>
        <v/>
      </c>
    </row>
    <row r="132" spans="1:73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ConcatenateRange(AZ132:BU132,"||")</f>
        <v/>
      </c>
      <c r="AZ132" t="str">
        <f t="shared" si="66"/>
        <v/>
      </c>
      <c r="BA132" t="str">
        <f t="shared" si="67"/>
        <v/>
      </c>
      <c r="BB132" t="str">
        <f t="shared" si="68"/>
        <v/>
      </c>
      <c r="BC132" t="str">
        <f t="shared" si="69"/>
        <v/>
      </c>
      <c r="BD132" t="str">
        <f t="shared" si="70"/>
        <v/>
      </c>
      <c r="BE132" t="str">
        <f t="shared" si="71"/>
        <v/>
      </c>
      <c r="BF132" t="str">
        <f t="shared" si="72"/>
        <v/>
      </c>
      <c r="BG132" t="str">
        <f t="shared" si="73"/>
        <v/>
      </c>
      <c r="BH132" t="str">
        <f t="shared" si="74"/>
        <v/>
      </c>
      <c r="BI132" t="str">
        <f t="shared" si="75"/>
        <v/>
      </c>
      <c r="BJ132" t="str">
        <f t="shared" si="76"/>
        <v/>
      </c>
      <c r="BK132" t="str">
        <f t="shared" si="77"/>
        <v/>
      </c>
      <c r="BL132" t="str">
        <f t="shared" si="78"/>
        <v/>
      </c>
      <c r="BM132" t="str">
        <f t="shared" si="79"/>
        <v/>
      </c>
      <c r="BN132" t="str">
        <f t="shared" si="80"/>
        <v/>
      </c>
      <c r="BO132" t="str">
        <f t="shared" si="81"/>
        <v/>
      </c>
      <c r="BP132" t="str">
        <f t="shared" si="82"/>
        <v/>
      </c>
      <c r="BQ132" t="str">
        <f t="shared" si="83"/>
        <v/>
      </c>
      <c r="BR132" t="str">
        <f t="shared" si="84"/>
        <v/>
      </c>
      <c r="BS132" t="str">
        <f t="shared" si="85"/>
        <v/>
      </c>
      <c r="BT132" t="str">
        <f t="shared" si="86"/>
        <v/>
      </c>
      <c r="BU132" t="str">
        <f t="shared" si="87"/>
        <v/>
      </c>
    </row>
    <row r="133" spans="1:73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ConcatenateRange(AZ133:BU133,"||")</f>
        <v/>
      </c>
      <c r="AZ133" t="str">
        <f t="shared" si="66"/>
        <v/>
      </c>
      <c r="BA133" t="str">
        <f t="shared" si="67"/>
        <v/>
      </c>
      <c r="BB133" t="str">
        <f t="shared" si="68"/>
        <v/>
      </c>
      <c r="BC133" t="str">
        <f t="shared" si="69"/>
        <v/>
      </c>
      <c r="BD133" t="str">
        <f t="shared" si="70"/>
        <v/>
      </c>
      <c r="BE133" t="str">
        <f t="shared" si="71"/>
        <v/>
      </c>
      <c r="BF133" t="str">
        <f t="shared" si="72"/>
        <v/>
      </c>
      <c r="BG133" t="str">
        <f t="shared" si="73"/>
        <v/>
      </c>
      <c r="BH133" t="str">
        <f t="shared" si="74"/>
        <v/>
      </c>
      <c r="BI133" t="str">
        <f t="shared" si="75"/>
        <v/>
      </c>
      <c r="BJ133" t="str">
        <f t="shared" si="76"/>
        <v/>
      </c>
      <c r="BK133" t="str">
        <f t="shared" si="77"/>
        <v/>
      </c>
      <c r="BL133" t="str">
        <f t="shared" si="78"/>
        <v/>
      </c>
      <c r="BM133" t="str">
        <f t="shared" si="79"/>
        <v/>
      </c>
      <c r="BN133" t="str">
        <f t="shared" si="80"/>
        <v/>
      </c>
      <c r="BO133" t="str">
        <f t="shared" si="81"/>
        <v/>
      </c>
      <c r="BP133" t="str">
        <f t="shared" si="82"/>
        <v/>
      </c>
      <c r="BQ133" t="str">
        <f t="shared" si="83"/>
        <v/>
      </c>
      <c r="BR133" t="str">
        <f t="shared" si="84"/>
        <v/>
      </c>
      <c r="BS133" t="str">
        <f t="shared" si="85"/>
        <v/>
      </c>
      <c r="BT133" t="str">
        <f t="shared" si="86"/>
        <v/>
      </c>
      <c r="BU133" t="str">
        <f t="shared" si="87"/>
        <v/>
      </c>
    </row>
    <row r="134" spans="1:73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ConcatenateRange(AZ134:BU134,"||")</f>
        <v/>
      </c>
      <c r="AZ134" t="str">
        <f t="shared" si="66"/>
        <v/>
      </c>
      <c r="BA134" t="str">
        <f t="shared" si="67"/>
        <v/>
      </c>
      <c r="BB134" t="str">
        <f t="shared" si="68"/>
        <v/>
      </c>
      <c r="BC134" t="str">
        <f t="shared" si="69"/>
        <v/>
      </c>
      <c r="BD134" t="str">
        <f t="shared" si="70"/>
        <v/>
      </c>
      <c r="BE134" t="str">
        <f t="shared" si="71"/>
        <v/>
      </c>
      <c r="BF134" t="str">
        <f t="shared" si="72"/>
        <v/>
      </c>
      <c r="BG134" t="str">
        <f t="shared" si="73"/>
        <v/>
      </c>
      <c r="BH134" t="str">
        <f t="shared" si="74"/>
        <v/>
      </c>
      <c r="BI134" t="str">
        <f t="shared" si="75"/>
        <v/>
      </c>
      <c r="BJ134" t="str">
        <f t="shared" si="76"/>
        <v/>
      </c>
      <c r="BK134" t="str">
        <f t="shared" si="77"/>
        <v/>
      </c>
      <c r="BL134" t="str">
        <f t="shared" si="78"/>
        <v/>
      </c>
      <c r="BM134" t="str">
        <f t="shared" si="79"/>
        <v/>
      </c>
      <c r="BN134" t="str">
        <f t="shared" si="80"/>
        <v/>
      </c>
      <c r="BO134" t="str">
        <f t="shared" si="81"/>
        <v/>
      </c>
      <c r="BP134" t="str">
        <f t="shared" si="82"/>
        <v/>
      </c>
      <c r="BQ134" t="str">
        <f t="shared" si="83"/>
        <v/>
      </c>
      <c r="BR134" t="str">
        <f t="shared" si="84"/>
        <v/>
      </c>
      <c r="BS134" t="str">
        <f t="shared" si="85"/>
        <v/>
      </c>
      <c r="BT134" t="str">
        <f t="shared" si="86"/>
        <v/>
      </c>
      <c r="BU134" t="str">
        <f t="shared" si="87"/>
        <v/>
      </c>
    </row>
    <row r="135" spans="1:73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ConcatenateRange(AZ135:BU135,"||")</f>
        <v/>
      </c>
      <c r="AZ135" t="str">
        <f t="shared" si="66"/>
        <v/>
      </c>
      <c r="BA135" t="str">
        <f t="shared" si="67"/>
        <v/>
      </c>
      <c r="BB135" t="str">
        <f t="shared" si="68"/>
        <v/>
      </c>
      <c r="BC135" t="str">
        <f t="shared" si="69"/>
        <v/>
      </c>
      <c r="BD135" t="str">
        <f t="shared" si="70"/>
        <v/>
      </c>
      <c r="BE135" t="str">
        <f t="shared" si="71"/>
        <v/>
      </c>
      <c r="BF135" t="str">
        <f t="shared" si="72"/>
        <v/>
      </c>
      <c r="BG135" t="str">
        <f t="shared" si="73"/>
        <v/>
      </c>
      <c r="BH135" t="str">
        <f t="shared" si="74"/>
        <v/>
      </c>
      <c r="BI135" t="str">
        <f t="shared" si="75"/>
        <v/>
      </c>
      <c r="BJ135" t="str">
        <f t="shared" si="76"/>
        <v/>
      </c>
      <c r="BK135" t="str">
        <f t="shared" si="77"/>
        <v/>
      </c>
      <c r="BL135" t="str">
        <f t="shared" si="78"/>
        <v/>
      </c>
      <c r="BM135" t="str">
        <f t="shared" si="79"/>
        <v/>
      </c>
      <c r="BN135" t="str">
        <f t="shared" si="80"/>
        <v/>
      </c>
      <c r="BO135" t="str">
        <f t="shared" si="81"/>
        <v/>
      </c>
      <c r="BP135" t="str">
        <f t="shared" si="82"/>
        <v/>
      </c>
      <c r="BQ135" t="str">
        <f t="shared" si="83"/>
        <v/>
      </c>
      <c r="BR135" t="str">
        <f t="shared" si="84"/>
        <v/>
      </c>
      <c r="BS135" t="str">
        <f t="shared" si="85"/>
        <v/>
      </c>
      <c r="BT135" t="str">
        <f t="shared" si="86"/>
        <v/>
      </c>
      <c r="BU135" t="str">
        <f t="shared" si="87"/>
        <v/>
      </c>
    </row>
    <row r="136" spans="1:73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ConcatenateRange(AZ136:BU136,"||")</f>
        <v/>
      </c>
      <c r="AZ136" t="str">
        <f t="shared" si="66"/>
        <v/>
      </c>
      <c r="BA136" t="str">
        <f t="shared" si="67"/>
        <v/>
      </c>
      <c r="BB136" t="str">
        <f t="shared" si="68"/>
        <v/>
      </c>
      <c r="BC136" t="str">
        <f t="shared" si="69"/>
        <v/>
      </c>
      <c r="BD136" t="str">
        <f t="shared" si="70"/>
        <v/>
      </c>
      <c r="BE136" t="str">
        <f t="shared" si="71"/>
        <v/>
      </c>
      <c r="BF136" t="str">
        <f t="shared" si="72"/>
        <v/>
      </c>
      <c r="BG136" t="str">
        <f t="shared" si="73"/>
        <v/>
      </c>
      <c r="BH136" t="str">
        <f t="shared" si="74"/>
        <v/>
      </c>
      <c r="BI136" t="str">
        <f t="shared" si="75"/>
        <v/>
      </c>
      <c r="BJ136" t="str">
        <f t="shared" si="76"/>
        <v/>
      </c>
      <c r="BK136" t="str">
        <f t="shared" si="77"/>
        <v/>
      </c>
      <c r="BL136" t="str">
        <f t="shared" si="78"/>
        <v/>
      </c>
      <c r="BM136" t="str">
        <f t="shared" si="79"/>
        <v/>
      </c>
      <c r="BN136" t="str">
        <f t="shared" si="80"/>
        <v/>
      </c>
      <c r="BO136" t="str">
        <f t="shared" si="81"/>
        <v/>
      </c>
      <c r="BP136" t="str">
        <f t="shared" si="82"/>
        <v/>
      </c>
      <c r="BQ136" t="str">
        <f t="shared" si="83"/>
        <v/>
      </c>
      <c r="BR136" t="str">
        <f t="shared" si="84"/>
        <v/>
      </c>
      <c r="BS136" t="str">
        <f t="shared" si="85"/>
        <v/>
      </c>
      <c r="BT136" t="str">
        <f t="shared" si="86"/>
        <v/>
      </c>
      <c r="BU136" t="str">
        <f t="shared" si="87"/>
        <v/>
      </c>
    </row>
    <row r="137" spans="1:73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ConcatenateRange(AZ137:BU137,"||")</f>
        <v/>
      </c>
      <c r="AZ137" t="str">
        <f t="shared" si="66"/>
        <v/>
      </c>
      <c r="BA137" t="str">
        <f t="shared" si="67"/>
        <v/>
      </c>
      <c r="BB137" t="str">
        <f t="shared" si="68"/>
        <v/>
      </c>
      <c r="BC137" t="str">
        <f t="shared" si="69"/>
        <v/>
      </c>
      <c r="BD137" t="str">
        <f t="shared" si="70"/>
        <v/>
      </c>
      <c r="BE137" t="str">
        <f t="shared" si="71"/>
        <v/>
      </c>
      <c r="BF137" t="str">
        <f t="shared" si="72"/>
        <v/>
      </c>
      <c r="BG137" t="str">
        <f t="shared" si="73"/>
        <v/>
      </c>
      <c r="BH137" t="str">
        <f t="shared" si="74"/>
        <v/>
      </c>
      <c r="BI137" t="str">
        <f t="shared" si="75"/>
        <v/>
      </c>
      <c r="BJ137" t="str">
        <f t="shared" si="76"/>
        <v/>
      </c>
      <c r="BK137" t="str">
        <f t="shared" si="77"/>
        <v/>
      </c>
      <c r="BL137" t="str">
        <f t="shared" si="78"/>
        <v/>
      </c>
      <c r="BM137" t="str">
        <f t="shared" si="79"/>
        <v/>
      </c>
      <c r="BN137" t="str">
        <f t="shared" si="80"/>
        <v/>
      </c>
      <c r="BO137" t="str">
        <f t="shared" si="81"/>
        <v/>
      </c>
      <c r="BP137" t="str">
        <f t="shared" si="82"/>
        <v/>
      </c>
      <c r="BQ137" t="str">
        <f t="shared" si="83"/>
        <v/>
      </c>
      <c r="BR137" t="str">
        <f t="shared" si="84"/>
        <v/>
      </c>
      <c r="BS137" t="str">
        <f t="shared" si="85"/>
        <v/>
      </c>
      <c r="BT137" t="str">
        <f t="shared" si="86"/>
        <v/>
      </c>
      <c r="BU137" t="str">
        <f t="shared" si="87"/>
        <v/>
      </c>
    </row>
    <row r="138" spans="1:73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ConcatenateRange(AZ138:BU138,"||")</f>
        <v/>
      </c>
      <c r="AZ138" t="str">
        <f t="shared" si="66"/>
        <v/>
      </c>
      <c r="BA138" t="str">
        <f t="shared" si="67"/>
        <v/>
      </c>
      <c r="BB138" t="str">
        <f t="shared" si="68"/>
        <v/>
      </c>
      <c r="BC138" t="str">
        <f t="shared" si="69"/>
        <v/>
      </c>
      <c r="BD138" t="str">
        <f t="shared" si="70"/>
        <v/>
      </c>
      <c r="BE138" t="str">
        <f t="shared" si="71"/>
        <v/>
      </c>
      <c r="BF138" t="str">
        <f t="shared" si="72"/>
        <v/>
      </c>
      <c r="BG138" t="str">
        <f t="shared" si="73"/>
        <v/>
      </c>
      <c r="BH138" t="str">
        <f t="shared" si="74"/>
        <v/>
      </c>
      <c r="BI138" t="str">
        <f t="shared" si="75"/>
        <v/>
      </c>
      <c r="BJ138" t="str">
        <f t="shared" si="76"/>
        <v/>
      </c>
      <c r="BK138" t="str">
        <f t="shared" si="77"/>
        <v/>
      </c>
      <c r="BL138" t="str">
        <f t="shared" si="78"/>
        <v/>
      </c>
      <c r="BM138" t="str">
        <f t="shared" si="79"/>
        <v/>
      </c>
      <c r="BN138" t="str">
        <f t="shared" si="80"/>
        <v/>
      </c>
      <c r="BO138" t="str">
        <f t="shared" si="81"/>
        <v/>
      </c>
      <c r="BP138" t="str">
        <f t="shared" si="82"/>
        <v/>
      </c>
      <c r="BQ138" t="str">
        <f t="shared" si="83"/>
        <v/>
      </c>
      <c r="BR138" t="str">
        <f t="shared" si="84"/>
        <v/>
      </c>
      <c r="BS138" t="str">
        <f t="shared" si="85"/>
        <v/>
      </c>
      <c r="BT138" t="str">
        <f t="shared" si="86"/>
        <v/>
      </c>
      <c r="BU138" t="str">
        <f t="shared" si="87"/>
        <v/>
      </c>
    </row>
    <row r="139" spans="1:73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ConcatenateRange(AZ139:BU139,"||")</f>
        <v/>
      </c>
      <c r="AZ139" t="str">
        <f t="shared" si="66"/>
        <v/>
      </c>
      <c r="BA139" t="str">
        <f t="shared" si="67"/>
        <v/>
      </c>
      <c r="BB139" t="str">
        <f t="shared" si="68"/>
        <v/>
      </c>
      <c r="BC139" t="str">
        <f t="shared" si="69"/>
        <v/>
      </c>
      <c r="BD139" t="str">
        <f t="shared" si="70"/>
        <v/>
      </c>
      <c r="BE139" t="str">
        <f t="shared" si="71"/>
        <v/>
      </c>
      <c r="BF139" t="str">
        <f t="shared" si="72"/>
        <v/>
      </c>
      <c r="BG139" t="str">
        <f t="shared" si="73"/>
        <v/>
      </c>
      <c r="BH139" t="str">
        <f t="shared" si="74"/>
        <v/>
      </c>
      <c r="BI139" t="str">
        <f t="shared" si="75"/>
        <v/>
      </c>
      <c r="BJ139" t="str">
        <f t="shared" si="76"/>
        <v/>
      </c>
      <c r="BK139" t="str">
        <f t="shared" si="77"/>
        <v/>
      </c>
      <c r="BL139" t="str">
        <f t="shared" si="78"/>
        <v/>
      </c>
      <c r="BM139" t="str">
        <f t="shared" si="79"/>
        <v/>
      </c>
      <c r="BN139" t="str">
        <f t="shared" si="80"/>
        <v/>
      </c>
      <c r="BO139" t="str">
        <f t="shared" si="81"/>
        <v/>
      </c>
      <c r="BP139" t="str">
        <f t="shared" si="82"/>
        <v/>
      </c>
      <c r="BQ139" t="str">
        <f t="shared" si="83"/>
        <v/>
      </c>
      <c r="BR139" t="str">
        <f t="shared" si="84"/>
        <v/>
      </c>
      <c r="BS139" t="str">
        <f t="shared" si="85"/>
        <v/>
      </c>
      <c r="BT139" t="str">
        <f t="shared" si="86"/>
        <v/>
      </c>
      <c r="BU139" t="str">
        <f t="shared" si="87"/>
        <v/>
      </c>
    </row>
    <row r="140" spans="1:73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ConcatenateRange(AZ140:BU140,"||")</f>
        <v/>
      </c>
      <c r="AZ140" t="str">
        <f t="shared" si="66"/>
        <v/>
      </c>
      <c r="BA140" t="str">
        <f t="shared" si="67"/>
        <v/>
      </c>
      <c r="BB140" t="str">
        <f t="shared" si="68"/>
        <v/>
      </c>
      <c r="BC140" t="str">
        <f t="shared" si="69"/>
        <v/>
      </c>
      <c r="BD140" t="str">
        <f t="shared" si="70"/>
        <v/>
      </c>
      <c r="BE140" t="str">
        <f t="shared" si="71"/>
        <v/>
      </c>
      <c r="BF140" t="str">
        <f t="shared" si="72"/>
        <v/>
      </c>
      <c r="BG140" t="str">
        <f t="shared" si="73"/>
        <v/>
      </c>
      <c r="BH140" t="str">
        <f t="shared" si="74"/>
        <v/>
      </c>
      <c r="BI140" t="str">
        <f t="shared" si="75"/>
        <v/>
      </c>
      <c r="BJ140" t="str">
        <f t="shared" si="76"/>
        <v/>
      </c>
      <c r="BK140" t="str">
        <f t="shared" si="77"/>
        <v/>
      </c>
      <c r="BL140" t="str">
        <f t="shared" si="78"/>
        <v/>
      </c>
      <c r="BM140" t="str">
        <f t="shared" si="79"/>
        <v/>
      </c>
      <c r="BN140" t="str">
        <f t="shared" si="80"/>
        <v/>
      </c>
      <c r="BO140" t="str">
        <f t="shared" si="81"/>
        <v/>
      </c>
      <c r="BP140" t="str">
        <f t="shared" si="82"/>
        <v/>
      </c>
      <c r="BQ140" t="str">
        <f t="shared" si="83"/>
        <v/>
      </c>
      <c r="BR140" t="str">
        <f t="shared" si="84"/>
        <v/>
      </c>
      <c r="BS140" t="str">
        <f t="shared" si="85"/>
        <v/>
      </c>
      <c r="BT140" t="str">
        <f t="shared" si="86"/>
        <v/>
      </c>
      <c r="BU140" t="str">
        <f t="shared" si="87"/>
        <v/>
      </c>
    </row>
    <row r="141" spans="1:73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ConcatenateRange(AZ141:BU141,"||")</f>
        <v/>
      </c>
      <c r="AZ141" t="str">
        <f t="shared" si="66"/>
        <v/>
      </c>
      <c r="BA141" t="str">
        <f t="shared" si="67"/>
        <v/>
      </c>
      <c r="BB141" t="str">
        <f t="shared" si="68"/>
        <v/>
      </c>
      <c r="BC141" t="str">
        <f t="shared" si="69"/>
        <v/>
      </c>
      <c r="BD141" t="str">
        <f t="shared" si="70"/>
        <v/>
      </c>
      <c r="BE141" t="str">
        <f t="shared" si="71"/>
        <v/>
      </c>
      <c r="BF141" t="str">
        <f t="shared" si="72"/>
        <v/>
      </c>
      <c r="BG141" t="str">
        <f t="shared" si="73"/>
        <v/>
      </c>
      <c r="BH141" t="str">
        <f t="shared" si="74"/>
        <v/>
      </c>
      <c r="BI141" t="str">
        <f t="shared" si="75"/>
        <v/>
      </c>
      <c r="BJ141" t="str">
        <f t="shared" si="76"/>
        <v/>
      </c>
      <c r="BK141" t="str">
        <f t="shared" si="77"/>
        <v/>
      </c>
      <c r="BL141" t="str">
        <f t="shared" si="78"/>
        <v/>
      </c>
      <c r="BM141" t="str">
        <f t="shared" si="79"/>
        <v/>
      </c>
      <c r="BN141" t="str">
        <f t="shared" si="80"/>
        <v/>
      </c>
      <c r="BO141" t="str">
        <f t="shared" si="81"/>
        <v/>
      </c>
      <c r="BP141" t="str">
        <f t="shared" si="82"/>
        <v/>
      </c>
      <c r="BQ141" t="str">
        <f t="shared" si="83"/>
        <v/>
      </c>
      <c r="BR141" t="str">
        <f t="shared" si="84"/>
        <v/>
      </c>
      <c r="BS141" t="str">
        <f t="shared" si="85"/>
        <v/>
      </c>
      <c r="BT141" t="str">
        <f t="shared" si="86"/>
        <v/>
      </c>
      <c r="BU141" t="str">
        <f t="shared" si="87"/>
        <v/>
      </c>
    </row>
    <row r="142" spans="1:73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ConcatenateRange(AZ142:BU142,"||")</f>
        <v/>
      </c>
      <c r="AZ142" t="str">
        <f t="shared" si="66"/>
        <v/>
      </c>
      <c r="BA142" t="str">
        <f t="shared" si="67"/>
        <v/>
      </c>
      <c r="BB142" t="str">
        <f t="shared" si="68"/>
        <v/>
      </c>
      <c r="BC142" t="str">
        <f t="shared" si="69"/>
        <v/>
      </c>
      <c r="BD142" t="str">
        <f t="shared" si="70"/>
        <v/>
      </c>
      <c r="BE142" t="str">
        <f t="shared" si="71"/>
        <v/>
      </c>
      <c r="BF142" t="str">
        <f t="shared" si="72"/>
        <v/>
      </c>
      <c r="BG142" t="str">
        <f t="shared" si="73"/>
        <v/>
      </c>
      <c r="BH142" t="str">
        <f t="shared" si="74"/>
        <v/>
      </c>
      <c r="BI142" t="str">
        <f t="shared" si="75"/>
        <v/>
      </c>
      <c r="BJ142" t="str">
        <f t="shared" si="76"/>
        <v/>
      </c>
      <c r="BK142" t="str">
        <f t="shared" si="77"/>
        <v/>
      </c>
      <c r="BL142" t="str">
        <f t="shared" si="78"/>
        <v/>
      </c>
      <c r="BM142" t="str">
        <f t="shared" si="79"/>
        <v/>
      </c>
      <c r="BN142" t="str">
        <f t="shared" si="80"/>
        <v/>
      </c>
      <c r="BO142" t="str">
        <f t="shared" si="81"/>
        <v/>
      </c>
      <c r="BP142" t="str">
        <f t="shared" si="82"/>
        <v/>
      </c>
      <c r="BQ142" t="str">
        <f t="shared" si="83"/>
        <v/>
      </c>
      <c r="BR142" t="str">
        <f t="shared" si="84"/>
        <v/>
      </c>
      <c r="BS142" t="str">
        <f t="shared" si="85"/>
        <v/>
      </c>
      <c r="BT142" t="str">
        <f t="shared" si="86"/>
        <v/>
      </c>
      <c r="BU142" t="str">
        <f t="shared" si="87"/>
        <v/>
      </c>
    </row>
    <row r="143" spans="1:73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ConcatenateRange(AZ143:BU143,"||")</f>
        <v/>
      </c>
      <c r="AZ143" t="str">
        <f t="shared" si="66"/>
        <v/>
      </c>
      <c r="BA143" t="str">
        <f t="shared" si="67"/>
        <v/>
      </c>
      <c r="BB143" t="str">
        <f t="shared" si="68"/>
        <v/>
      </c>
      <c r="BC143" t="str">
        <f t="shared" si="69"/>
        <v/>
      </c>
      <c r="BD143" t="str">
        <f t="shared" si="70"/>
        <v/>
      </c>
      <c r="BE143" t="str">
        <f t="shared" si="71"/>
        <v/>
      </c>
      <c r="BF143" t="str">
        <f t="shared" si="72"/>
        <v/>
      </c>
      <c r="BG143" t="str">
        <f t="shared" si="73"/>
        <v/>
      </c>
      <c r="BH143" t="str">
        <f t="shared" si="74"/>
        <v/>
      </c>
      <c r="BI143" t="str">
        <f t="shared" si="75"/>
        <v/>
      </c>
      <c r="BJ143" t="str">
        <f t="shared" si="76"/>
        <v/>
      </c>
      <c r="BK143" t="str">
        <f t="shared" si="77"/>
        <v/>
      </c>
      <c r="BL143" t="str">
        <f t="shared" si="78"/>
        <v/>
      </c>
      <c r="BM143" t="str">
        <f t="shared" si="79"/>
        <v/>
      </c>
      <c r="BN143" t="str">
        <f t="shared" si="80"/>
        <v/>
      </c>
      <c r="BO143" t="str">
        <f t="shared" si="81"/>
        <v/>
      </c>
      <c r="BP143" t="str">
        <f t="shared" si="82"/>
        <v/>
      </c>
      <c r="BQ143" t="str">
        <f t="shared" si="83"/>
        <v/>
      </c>
      <c r="BR143" t="str">
        <f t="shared" si="84"/>
        <v/>
      </c>
      <c r="BS143" t="str">
        <f t="shared" si="85"/>
        <v/>
      </c>
      <c r="BT143" t="str">
        <f t="shared" si="86"/>
        <v/>
      </c>
      <c r="BU143" t="str">
        <f t="shared" si="87"/>
        <v/>
      </c>
    </row>
    <row r="144" spans="1:73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ConcatenateRange(AZ144:BU144,"||")</f>
        <v/>
      </c>
      <c r="AZ144" t="str">
        <f t="shared" si="66"/>
        <v/>
      </c>
      <c r="BA144" t="str">
        <f t="shared" si="67"/>
        <v/>
      </c>
      <c r="BB144" t="str">
        <f t="shared" si="68"/>
        <v/>
      </c>
      <c r="BC144" t="str">
        <f t="shared" si="69"/>
        <v/>
      </c>
      <c r="BD144" t="str">
        <f t="shared" si="70"/>
        <v/>
      </c>
      <c r="BE144" t="str">
        <f t="shared" si="71"/>
        <v/>
      </c>
      <c r="BF144" t="str">
        <f t="shared" si="72"/>
        <v/>
      </c>
      <c r="BG144" t="str">
        <f t="shared" si="73"/>
        <v/>
      </c>
      <c r="BH144" t="str">
        <f t="shared" si="74"/>
        <v/>
      </c>
      <c r="BI144" t="str">
        <f t="shared" si="75"/>
        <v/>
      </c>
      <c r="BJ144" t="str">
        <f t="shared" si="76"/>
        <v/>
      </c>
      <c r="BK144" t="str">
        <f t="shared" si="77"/>
        <v/>
      </c>
      <c r="BL144" t="str">
        <f t="shared" si="78"/>
        <v/>
      </c>
      <c r="BM144" t="str">
        <f t="shared" si="79"/>
        <v/>
      </c>
      <c r="BN144" t="str">
        <f t="shared" si="80"/>
        <v/>
      </c>
      <c r="BO144" t="str">
        <f t="shared" si="81"/>
        <v/>
      </c>
      <c r="BP144" t="str">
        <f t="shared" si="82"/>
        <v/>
      </c>
      <c r="BQ144" t="str">
        <f t="shared" si="83"/>
        <v/>
      </c>
      <c r="BR144" t="str">
        <f t="shared" si="84"/>
        <v/>
      </c>
      <c r="BS144" t="str">
        <f t="shared" si="85"/>
        <v/>
      </c>
      <c r="BT144" t="str">
        <f t="shared" si="86"/>
        <v/>
      </c>
      <c r="BU144" t="str">
        <f t="shared" si="87"/>
        <v/>
      </c>
    </row>
    <row r="145" spans="1:73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ConcatenateRange(AZ145:BU145,"||")</f>
        <v/>
      </c>
      <c r="AZ145" t="str">
        <f t="shared" si="66"/>
        <v/>
      </c>
      <c r="BA145" t="str">
        <f t="shared" si="67"/>
        <v/>
      </c>
      <c r="BB145" t="str">
        <f t="shared" si="68"/>
        <v/>
      </c>
      <c r="BC145" t="str">
        <f t="shared" si="69"/>
        <v/>
      </c>
      <c r="BD145" t="str">
        <f t="shared" si="70"/>
        <v/>
      </c>
      <c r="BE145" t="str">
        <f t="shared" si="71"/>
        <v/>
      </c>
      <c r="BF145" t="str">
        <f t="shared" si="72"/>
        <v/>
      </c>
      <c r="BG145" t="str">
        <f t="shared" si="73"/>
        <v/>
      </c>
      <c r="BH145" t="str">
        <f t="shared" si="74"/>
        <v/>
      </c>
      <c r="BI145" t="str">
        <f t="shared" si="75"/>
        <v/>
      </c>
      <c r="BJ145" t="str">
        <f t="shared" si="76"/>
        <v/>
      </c>
      <c r="BK145" t="str">
        <f t="shared" si="77"/>
        <v/>
      </c>
      <c r="BL145" t="str">
        <f t="shared" si="78"/>
        <v/>
      </c>
      <c r="BM145" t="str">
        <f t="shared" si="79"/>
        <v/>
      </c>
      <c r="BN145" t="str">
        <f t="shared" si="80"/>
        <v/>
      </c>
      <c r="BO145" t="str">
        <f t="shared" si="81"/>
        <v/>
      </c>
      <c r="BP145" t="str">
        <f t="shared" si="82"/>
        <v/>
      </c>
      <c r="BQ145" t="str">
        <f t="shared" si="83"/>
        <v/>
      </c>
      <c r="BR145" t="str">
        <f t="shared" si="84"/>
        <v/>
      </c>
      <c r="BS145" t="str">
        <f t="shared" si="85"/>
        <v/>
      </c>
      <c r="BT145" t="str">
        <f t="shared" si="86"/>
        <v/>
      </c>
      <c r="BU145" t="str">
        <f t="shared" si="87"/>
        <v/>
      </c>
    </row>
    <row r="146" spans="1:73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ConcatenateRange(AZ146:BU146,"||")</f>
        <v/>
      </c>
      <c r="AZ146" t="str">
        <f t="shared" si="66"/>
        <v/>
      </c>
      <c r="BA146" t="str">
        <f t="shared" si="67"/>
        <v/>
      </c>
      <c r="BB146" t="str">
        <f t="shared" si="68"/>
        <v/>
      </c>
      <c r="BC146" t="str">
        <f t="shared" si="69"/>
        <v/>
      </c>
      <c r="BD146" t="str">
        <f t="shared" si="70"/>
        <v/>
      </c>
      <c r="BE146" t="str">
        <f t="shared" si="71"/>
        <v/>
      </c>
      <c r="BF146" t="str">
        <f t="shared" si="72"/>
        <v/>
      </c>
      <c r="BG146" t="str">
        <f t="shared" si="73"/>
        <v/>
      </c>
      <c r="BH146" t="str">
        <f t="shared" si="74"/>
        <v/>
      </c>
      <c r="BI146" t="str">
        <f t="shared" si="75"/>
        <v/>
      </c>
      <c r="BJ146" t="str">
        <f t="shared" si="76"/>
        <v/>
      </c>
      <c r="BK146" t="str">
        <f t="shared" si="77"/>
        <v/>
      </c>
      <c r="BL146" t="str">
        <f t="shared" si="78"/>
        <v/>
      </c>
      <c r="BM146" t="str">
        <f t="shared" si="79"/>
        <v/>
      </c>
      <c r="BN146" t="str">
        <f t="shared" si="80"/>
        <v/>
      </c>
      <c r="BO146" t="str">
        <f t="shared" si="81"/>
        <v/>
      </c>
      <c r="BP146" t="str">
        <f t="shared" si="82"/>
        <v/>
      </c>
      <c r="BQ146" t="str">
        <f t="shared" si="83"/>
        <v/>
      </c>
      <c r="BR146" t="str">
        <f t="shared" si="84"/>
        <v/>
      </c>
      <c r="BS146" t="str">
        <f t="shared" si="85"/>
        <v/>
      </c>
      <c r="BT146" t="str">
        <f t="shared" si="86"/>
        <v/>
      </c>
      <c r="BU146" t="str">
        <f t="shared" si="87"/>
        <v/>
      </c>
    </row>
    <row r="147" spans="1:73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ConcatenateRange(AZ147:BU147,"||")</f>
        <v/>
      </c>
      <c r="AZ147" t="str">
        <f t="shared" si="66"/>
        <v/>
      </c>
      <c r="BA147" t="str">
        <f t="shared" si="67"/>
        <v/>
      </c>
      <c r="BB147" t="str">
        <f t="shared" si="68"/>
        <v/>
      </c>
      <c r="BC147" t="str">
        <f t="shared" si="69"/>
        <v/>
      </c>
      <c r="BD147" t="str">
        <f t="shared" si="70"/>
        <v/>
      </c>
      <c r="BE147" t="str">
        <f t="shared" si="71"/>
        <v/>
      </c>
      <c r="BF147" t="str">
        <f t="shared" si="72"/>
        <v/>
      </c>
      <c r="BG147" t="str">
        <f t="shared" si="73"/>
        <v/>
      </c>
      <c r="BH147" t="str">
        <f t="shared" si="74"/>
        <v/>
      </c>
      <c r="BI147" t="str">
        <f t="shared" si="75"/>
        <v/>
      </c>
      <c r="BJ147" t="str">
        <f t="shared" si="76"/>
        <v/>
      </c>
      <c r="BK147" t="str">
        <f t="shared" si="77"/>
        <v/>
      </c>
      <c r="BL147" t="str">
        <f t="shared" si="78"/>
        <v/>
      </c>
      <c r="BM147" t="str">
        <f t="shared" si="79"/>
        <v/>
      </c>
      <c r="BN147" t="str">
        <f t="shared" si="80"/>
        <v/>
      </c>
      <c r="BO147" t="str">
        <f t="shared" si="81"/>
        <v/>
      </c>
      <c r="BP147" t="str">
        <f t="shared" si="82"/>
        <v/>
      </c>
      <c r="BQ147" t="str">
        <f t="shared" si="83"/>
        <v/>
      </c>
      <c r="BR147" t="str">
        <f t="shared" si="84"/>
        <v/>
      </c>
      <c r="BS147" t="str">
        <f t="shared" si="85"/>
        <v/>
      </c>
      <c r="BT147" t="str">
        <f t="shared" si="86"/>
        <v/>
      </c>
      <c r="BU147" t="str">
        <f t="shared" si="87"/>
        <v/>
      </c>
    </row>
    <row r="148" spans="1:73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ConcatenateRange(AZ148:BU148,"||")</f>
        <v/>
      </c>
      <c r="AZ148" t="str">
        <f t="shared" si="66"/>
        <v/>
      </c>
      <c r="BA148" t="str">
        <f t="shared" si="67"/>
        <v/>
      </c>
      <c r="BB148" t="str">
        <f t="shared" si="68"/>
        <v/>
      </c>
      <c r="BC148" t="str">
        <f t="shared" si="69"/>
        <v/>
      </c>
      <c r="BD148" t="str">
        <f t="shared" si="70"/>
        <v/>
      </c>
      <c r="BE148" t="str">
        <f t="shared" si="71"/>
        <v/>
      </c>
      <c r="BF148" t="str">
        <f t="shared" si="72"/>
        <v/>
      </c>
      <c r="BG148" t="str">
        <f t="shared" si="73"/>
        <v/>
      </c>
      <c r="BH148" t="str">
        <f t="shared" si="74"/>
        <v/>
      </c>
      <c r="BI148" t="str">
        <f t="shared" si="75"/>
        <v/>
      </c>
      <c r="BJ148" t="str">
        <f t="shared" si="76"/>
        <v/>
      </c>
      <c r="BK148" t="str">
        <f t="shared" si="77"/>
        <v/>
      </c>
      <c r="BL148" t="str">
        <f t="shared" si="78"/>
        <v/>
      </c>
      <c r="BM148" t="str">
        <f t="shared" si="79"/>
        <v/>
      </c>
      <c r="BN148" t="str">
        <f t="shared" si="80"/>
        <v/>
      </c>
      <c r="BO148" t="str">
        <f t="shared" si="81"/>
        <v/>
      </c>
      <c r="BP148" t="str">
        <f t="shared" si="82"/>
        <v/>
      </c>
      <c r="BQ148" t="str">
        <f t="shared" si="83"/>
        <v/>
      </c>
      <c r="BR148" t="str">
        <f t="shared" si="84"/>
        <v/>
      </c>
      <c r="BS148" t="str">
        <f t="shared" si="85"/>
        <v/>
      </c>
      <c r="BT148" t="str">
        <f t="shared" si="86"/>
        <v/>
      </c>
      <c r="BU148" t="str">
        <f t="shared" si="87"/>
        <v/>
      </c>
    </row>
    <row r="149" spans="1:73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ConcatenateRange(AZ149:BU149,"||")</f>
        <v/>
      </c>
      <c r="AZ149" t="str">
        <f t="shared" si="66"/>
        <v/>
      </c>
      <c r="BA149" t="str">
        <f t="shared" si="67"/>
        <v/>
      </c>
      <c r="BB149" t="str">
        <f t="shared" si="68"/>
        <v/>
      </c>
      <c r="BC149" t="str">
        <f t="shared" si="69"/>
        <v/>
      </c>
      <c r="BD149" t="str">
        <f t="shared" si="70"/>
        <v/>
      </c>
      <c r="BE149" t="str">
        <f t="shared" si="71"/>
        <v/>
      </c>
      <c r="BF149" t="str">
        <f t="shared" si="72"/>
        <v/>
      </c>
      <c r="BG149" t="str">
        <f t="shared" si="73"/>
        <v/>
      </c>
      <c r="BH149" t="str">
        <f t="shared" si="74"/>
        <v/>
      </c>
      <c r="BI149" t="str">
        <f t="shared" si="75"/>
        <v/>
      </c>
      <c r="BJ149" t="str">
        <f t="shared" si="76"/>
        <v/>
      </c>
      <c r="BK149" t="str">
        <f t="shared" si="77"/>
        <v/>
      </c>
      <c r="BL149" t="str">
        <f t="shared" si="78"/>
        <v/>
      </c>
      <c r="BM149" t="str">
        <f t="shared" si="79"/>
        <v/>
      </c>
      <c r="BN149" t="str">
        <f t="shared" si="80"/>
        <v/>
      </c>
      <c r="BO149" t="str">
        <f t="shared" si="81"/>
        <v/>
      </c>
      <c r="BP149" t="str">
        <f t="shared" si="82"/>
        <v/>
      </c>
      <c r="BQ149" t="str">
        <f t="shared" si="83"/>
        <v/>
      </c>
      <c r="BR149" t="str">
        <f t="shared" si="84"/>
        <v/>
      </c>
      <c r="BS149" t="str">
        <f t="shared" si="85"/>
        <v/>
      </c>
      <c r="BT149" t="str">
        <f t="shared" si="86"/>
        <v/>
      </c>
      <c r="BU149" t="str">
        <f t="shared" si="87"/>
        <v/>
      </c>
    </row>
    <row r="150" spans="1:73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ConcatenateRange(AZ150:BU150,"||")</f>
        <v/>
      </c>
      <c r="AZ150" t="str">
        <f t="shared" si="66"/>
        <v/>
      </c>
      <c r="BA150" t="str">
        <f t="shared" si="67"/>
        <v/>
      </c>
      <c r="BB150" t="str">
        <f t="shared" si="68"/>
        <v/>
      </c>
      <c r="BC150" t="str">
        <f t="shared" si="69"/>
        <v/>
      </c>
      <c r="BD150" t="str">
        <f t="shared" si="70"/>
        <v/>
      </c>
      <c r="BE150" t="str">
        <f t="shared" si="71"/>
        <v/>
      </c>
      <c r="BF150" t="str">
        <f t="shared" si="72"/>
        <v/>
      </c>
      <c r="BG150" t="str">
        <f t="shared" si="73"/>
        <v/>
      </c>
      <c r="BH150" t="str">
        <f t="shared" si="74"/>
        <v/>
      </c>
      <c r="BI150" t="str">
        <f t="shared" si="75"/>
        <v/>
      </c>
      <c r="BJ150" t="str">
        <f t="shared" si="76"/>
        <v/>
      </c>
      <c r="BK150" t="str">
        <f t="shared" si="77"/>
        <v/>
      </c>
      <c r="BL150" t="str">
        <f t="shared" si="78"/>
        <v/>
      </c>
      <c r="BM150" t="str">
        <f t="shared" si="79"/>
        <v/>
      </c>
      <c r="BN150" t="str">
        <f t="shared" si="80"/>
        <v/>
      </c>
      <c r="BO150" t="str">
        <f t="shared" si="81"/>
        <v/>
      </c>
      <c r="BP150" t="str">
        <f t="shared" si="82"/>
        <v/>
      </c>
      <c r="BQ150" t="str">
        <f t="shared" si="83"/>
        <v/>
      </c>
      <c r="BR150" t="str">
        <f t="shared" si="84"/>
        <v/>
      </c>
      <c r="BS150" t="str">
        <f t="shared" si="85"/>
        <v/>
      </c>
      <c r="BT150" t="str">
        <f t="shared" si="86"/>
        <v/>
      </c>
      <c r="BU150" t="str">
        <f t="shared" si="87"/>
        <v/>
      </c>
    </row>
    <row r="151" spans="1:73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ConcatenateRange(AZ151:BU151,"||")</f>
        <v/>
      </c>
      <c r="AZ151" t="str">
        <f t="shared" si="66"/>
        <v/>
      </c>
      <c r="BA151" t="str">
        <f t="shared" si="67"/>
        <v/>
      </c>
      <c r="BB151" t="str">
        <f t="shared" si="68"/>
        <v/>
      </c>
      <c r="BC151" t="str">
        <f t="shared" si="69"/>
        <v/>
      </c>
      <c r="BD151" t="str">
        <f t="shared" si="70"/>
        <v/>
      </c>
      <c r="BE151" t="str">
        <f t="shared" si="71"/>
        <v/>
      </c>
      <c r="BF151" t="str">
        <f t="shared" si="72"/>
        <v/>
      </c>
      <c r="BG151" t="str">
        <f t="shared" si="73"/>
        <v/>
      </c>
      <c r="BH151" t="str">
        <f t="shared" si="74"/>
        <v/>
      </c>
      <c r="BI151" t="str">
        <f t="shared" si="75"/>
        <v/>
      </c>
      <c r="BJ151" t="str">
        <f t="shared" si="76"/>
        <v/>
      </c>
      <c r="BK151" t="str">
        <f t="shared" si="77"/>
        <v/>
      </c>
      <c r="BL151" t="str">
        <f t="shared" si="78"/>
        <v/>
      </c>
      <c r="BM151" t="str">
        <f t="shared" si="79"/>
        <v/>
      </c>
      <c r="BN151" t="str">
        <f t="shared" si="80"/>
        <v/>
      </c>
      <c r="BO151" t="str">
        <f t="shared" si="81"/>
        <v/>
      </c>
      <c r="BP151" t="str">
        <f t="shared" si="82"/>
        <v/>
      </c>
      <c r="BQ151" t="str">
        <f t="shared" si="83"/>
        <v/>
      </c>
      <c r="BR151" t="str">
        <f t="shared" si="84"/>
        <v/>
      </c>
      <c r="BS151" t="str">
        <f t="shared" si="85"/>
        <v/>
      </c>
      <c r="BT151" t="str">
        <f t="shared" si="86"/>
        <v/>
      </c>
      <c r="BU151" t="str">
        <f t="shared" si="87"/>
        <v/>
      </c>
    </row>
    <row r="152" spans="1:73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ConcatenateRange(AZ152:BU152,"||")</f>
        <v/>
      </c>
      <c r="AZ152" t="str">
        <f t="shared" si="66"/>
        <v/>
      </c>
      <c r="BA152" t="str">
        <f t="shared" si="67"/>
        <v/>
      </c>
      <c r="BB152" t="str">
        <f t="shared" si="68"/>
        <v/>
      </c>
      <c r="BC152" t="str">
        <f t="shared" si="69"/>
        <v/>
      </c>
      <c r="BD152" t="str">
        <f t="shared" si="70"/>
        <v/>
      </c>
      <c r="BE152" t="str">
        <f t="shared" si="71"/>
        <v/>
      </c>
      <c r="BF152" t="str">
        <f t="shared" si="72"/>
        <v/>
      </c>
      <c r="BG152" t="str">
        <f t="shared" si="73"/>
        <v/>
      </c>
      <c r="BH152" t="str">
        <f t="shared" si="74"/>
        <v/>
      </c>
      <c r="BI152" t="str">
        <f t="shared" si="75"/>
        <v/>
      </c>
      <c r="BJ152" t="str">
        <f t="shared" si="76"/>
        <v/>
      </c>
      <c r="BK152" t="str">
        <f t="shared" si="77"/>
        <v/>
      </c>
      <c r="BL152" t="str">
        <f t="shared" si="78"/>
        <v/>
      </c>
      <c r="BM152" t="str">
        <f t="shared" si="79"/>
        <v/>
      </c>
      <c r="BN152" t="str">
        <f t="shared" si="80"/>
        <v/>
      </c>
      <c r="BO152" t="str">
        <f t="shared" si="81"/>
        <v/>
      </c>
      <c r="BP152" t="str">
        <f t="shared" si="82"/>
        <v/>
      </c>
      <c r="BQ152" t="str">
        <f t="shared" si="83"/>
        <v/>
      </c>
      <c r="BR152" t="str">
        <f t="shared" si="84"/>
        <v/>
      </c>
      <c r="BS152" t="str">
        <f t="shared" si="85"/>
        <v/>
      </c>
      <c r="BT152" t="str">
        <f t="shared" si="86"/>
        <v/>
      </c>
      <c r="BU152" t="str">
        <f t="shared" si="87"/>
        <v/>
      </c>
    </row>
    <row r="153" spans="1:73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ConcatenateRange(AZ153:BU153,"||")</f>
        <v/>
      </c>
      <c r="AZ153" t="str">
        <f t="shared" si="66"/>
        <v/>
      </c>
      <c r="BA153" t="str">
        <f t="shared" si="67"/>
        <v/>
      </c>
      <c r="BB153" t="str">
        <f t="shared" si="68"/>
        <v/>
      </c>
      <c r="BC153" t="str">
        <f t="shared" si="69"/>
        <v/>
      </c>
      <c r="BD153" t="str">
        <f t="shared" si="70"/>
        <v/>
      </c>
      <c r="BE153" t="str">
        <f t="shared" si="71"/>
        <v/>
      </c>
      <c r="BF153" t="str">
        <f t="shared" si="72"/>
        <v/>
      </c>
      <c r="BG153" t="str">
        <f t="shared" si="73"/>
        <v/>
      </c>
      <c r="BH153" t="str">
        <f t="shared" si="74"/>
        <v/>
      </c>
      <c r="BI153" t="str">
        <f t="shared" si="75"/>
        <v/>
      </c>
      <c r="BJ153" t="str">
        <f t="shared" si="76"/>
        <v/>
      </c>
      <c r="BK153" t="str">
        <f t="shared" si="77"/>
        <v/>
      </c>
      <c r="BL153" t="str">
        <f t="shared" si="78"/>
        <v/>
      </c>
      <c r="BM153" t="str">
        <f t="shared" si="79"/>
        <v/>
      </c>
      <c r="BN153" t="str">
        <f t="shared" si="80"/>
        <v/>
      </c>
      <c r="BO153" t="str">
        <f t="shared" si="81"/>
        <v/>
      </c>
      <c r="BP153" t="str">
        <f t="shared" si="82"/>
        <v/>
      </c>
      <c r="BQ153" t="str">
        <f t="shared" si="83"/>
        <v/>
      </c>
      <c r="BR153" t="str">
        <f t="shared" si="84"/>
        <v/>
      </c>
      <c r="BS153" t="str">
        <f t="shared" si="85"/>
        <v/>
      </c>
      <c r="BT153" t="str">
        <f t="shared" si="86"/>
        <v/>
      </c>
      <c r="BU153" t="str">
        <f t="shared" si="87"/>
        <v/>
      </c>
    </row>
    <row r="154" spans="1:73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ConcatenateRange(AZ154:BU154,"||")</f>
        <v/>
      </c>
      <c r="AZ154" t="str">
        <f t="shared" si="66"/>
        <v/>
      </c>
      <c r="BA154" t="str">
        <f t="shared" si="67"/>
        <v/>
      </c>
      <c r="BB154" t="str">
        <f t="shared" si="68"/>
        <v/>
      </c>
      <c r="BC154" t="str">
        <f t="shared" si="69"/>
        <v/>
      </c>
      <c r="BD154" t="str">
        <f t="shared" si="70"/>
        <v/>
      </c>
      <c r="BE154" t="str">
        <f t="shared" si="71"/>
        <v/>
      </c>
      <c r="BF154" t="str">
        <f t="shared" si="72"/>
        <v/>
      </c>
      <c r="BG154" t="str">
        <f t="shared" si="73"/>
        <v/>
      </c>
      <c r="BH154" t="str">
        <f t="shared" si="74"/>
        <v/>
      </c>
      <c r="BI154" t="str">
        <f t="shared" si="75"/>
        <v/>
      </c>
      <c r="BJ154" t="str">
        <f t="shared" si="76"/>
        <v/>
      </c>
      <c r="BK154" t="str">
        <f t="shared" si="77"/>
        <v/>
      </c>
      <c r="BL154" t="str">
        <f t="shared" si="78"/>
        <v/>
      </c>
      <c r="BM154" t="str">
        <f t="shared" si="79"/>
        <v/>
      </c>
      <c r="BN154" t="str">
        <f t="shared" si="80"/>
        <v/>
      </c>
      <c r="BO154" t="str">
        <f t="shared" si="81"/>
        <v/>
      </c>
      <c r="BP154" t="str">
        <f t="shared" si="82"/>
        <v/>
      </c>
      <c r="BQ154" t="str">
        <f t="shared" si="83"/>
        <v/>
      </c>
      <c r="BR154" t="str">
        <f t="shared" si="84"/>
        <v/>
      </c>
      <c r="BS154" t="str">
        <f t="shared" si="85"/>
        <v/>
      </c>
      <c r="BT154" t="str">
        <f t="shared" si="86"/>
        <v/>
      </c>
      <c r="BU154" t="str">
        <f t="shared" si="87"/>
        <v/>
      </c>
    </row>
    <row r="155" spans="1:73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ConcatenateRange(AZ155:BU155,"||")</f>
        <v/>
      </c>
      <c r="AZ155" t="str">
        <f t="shared" si="66"/>
        <v/>
      </c>
      <c r="BA155" t="str">
        <f t="shared" si="67"/>
        <v/>
      </c>
      <c r="BB155" t="str">
        <f t="shared" si="68"/>
        <v/>
      </c>
      <c r="BC155" t="str">
        <f t="shared" si="69"/>
        <v/>
      </c>
      <c r="BD155" t="str">
        <f t="shared" si="70"/>
        <v/>
      </c>
      <c r="BE155" t="str">
        <f t="shared" si="71"/>
        <v/>
      </c>
      <c r="BF155" t="str">
        <f t="shared" si="72"/>
        <v/>
      </c>
      <c r="BG155" t="str">
        <f t="shared" si="73"/>
        <v/>
      </c>
      <c r="BH155" t="str">
        <f t="shared" si="74"/>
        <v/>
      </c>
      <c r="BI155" t="str">
        <f t="shared" si="75"/>
        <v/>
      </c>
      <c r="BJ155" t="str">
        <f t="shared" si="76"/>
        <v/>
      </c>
      <c r="BK155" t="str">
        <f t="shared" si="77"/>
        <v/>
      </c>
      <c r="BL155" t="str">
        <f t="shared" si="78"/>
        <v/>
      </c>
      <c r="BM155" t="str">
        <f t="shared" si="79"/>
        <v/>
      </c>
      <c r="BN155" t="str">
        <f t="shared" si="80"/>
        <v/>
      </c>
      <c r="BO155" t="str">
        <f t="shared" si="81"/>
        <v/>
      </c>
      <c r="BP155" t="str">
        <f t="shared" si="82"/>
        <v/>
      </c>
      <c r="BQ155" t="str">
        <f t="shared" si="83"/>
        <v/>
      </c>
      <c r="BR155" t="str">
        <f t="shared" si="84"/>
        <v/>
      </c>
      <c r="BS155" t="str">
        <f t="shared" si="85"/>
        <v/>
      </c>
      <c r="BT155" t="str">
        <f t="shared" si="86"/>
        <v/>
      </c>
      <c r="BU155" t="str">
        <f t="shared" si="87"/>
        <v/>
      </c>
    </row>
    <row r="156" spans="1:73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ConcatenateRange(AZ156:BU156,"||")</f>
        <v/>
      </c>
      <c r="AZ156" t="str">
        <f t="shared" si="66"/>
        <v/>
      </c>
      <c r="BA156" t="str">
        <f t="shared" si="67"/>
        <v/>
      </c>
      <c r="BB156" t="str">
        <f t="shared" si="68"/>
        <v/>
      </c>
      <c r="BC156" t="str">
        <f t="shared" si="69"/>
        <v/>
      </c>
      <c r="BD156" t="str">
        <f t="shared" si="70"/>
        <v/>
      </c>
      <c r="BE156" t="str">
        <f t="shared" si="71"/>
        <v/>
      </c>
      <c r="BF156" t="str">
        <f t="shared" si="72"/>
        <v/>
      </c>
      <c r="BG156" t="str">
        <f t="shared" si="73"/>
        <v/>
      </c>
      <c r="BH156" t="str">
        <f t="shared" si="74"/>
        <v/>
      </c>
      <c r="BI156" t="str">
        <f t="shared" si="75"/>
        <v/>
      </c>
      <c r="BJ156" t="str">
        <f t="shared" si="76"/>
        <v/>
      </c>
      <c r="BK156" t="str">
        <f t="shared" si="77"/>
        <v/>
      </c>
      <c r="BL156" t="str">
        <f t="shared" si="78"/>
        <v/>
      </c>
      <c r="BM156" t="str">
        <f t="shared" si="79"/>
        <v/>
      </c>
      <c r="BN156" t="str">
        <f t="shared" si="80"/>
        <v/>
      </c>
      <c r="BO156" t="str">
        <f t="shared" si="81"/>
        <v/>
      </c>
      <c r="BP156" t="str">
        <f t="shared" si="82"/>
        <v/>
      </c>
      <c r="BQ156" t="str">
        <f t="shared" si="83"/>
        <v/>
      </c>
      <c r="BR156" t="str">
        <f t="shared" si="84"/>
        <v/>
      </c>
      <c r="BS156" t="str">
        <f t="shared" si="85"/>
        <v/>
      </c>
      <c r="BT156" t="str">
        <f t="shared" si="86"/>
        <v/>
      </c>
      <c r="BU156" t="str">
        <f t="shared" si="87"/>
        <v/>
      </c>
    </row>
    <row r="157" spans="1:73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ConcatenateRange(AZ157:BU157,"||")</f>
        <v/>
      </c>
      <c r="AZ157" t="str">
        <f t="shared" si="66"/>
        <v/>
      </c>
      <c r="BA157" t="str">
        <f t="shared" si="67"/>
        <v/>
      </c>
      <c r="BB157" t="str">
        <f t="shared" si="68"/>
        <v/>
      </c>
      <c r="BC157" t="str">
        <f t="shared" si="69"/>
        <v/>
      </c>
      <c r="BD157" t="str">
        <f t="shared" si="70"/>
        <v/>
      </c>
      <c r="BE157" t="str">
        <f t="shared" si="71"/>
        <v/>
      </c>
      <c r="BF157" t="str">
        <f t="shared" si="72"/>
        <v/>
      </c>
      <c r="BG157" t="str">
        <f t="shared" si="73"/>
        <v/>
      </c>
      <c r="BH157" t="str">
        <f t="shared" si="74"/>
        <v/>
      </c>
      <c r="BI157" t="str">
        <f t="shared" si="75"/>
        <v/>
      </c>
      <c r="BJ157" t="str">
        <f t="shared" si="76"/>
        <v/>
      </c>
      <c r="BK157" t="str">
        <f t="shared" si="77"/>
        <v/>
      </c>
      <c r="BL157" t="str">
        <f t="shared" si="78"/>
        <v/>
      </c>
      <c r="BM157" t="str">
        <f t="shared" si="79"/>
        <v/>
      </c>
      <c r="BN157" t="str">
        <f t="shared" si="80"/>
        <v/>
      </c>
      <c r="BO157" t="str">
        <f t="shared" si="81"/>
        <v/>
      </c>
      <c r="BP157" t="str">
        <f t="shared" si="82"/>
        <v/>
      </c>
      <c r="BQ157" t="str">
        <f t="shared" si="83"/>
        <v/>
      </c>
      <c r="BR157" t="str">
        <f t="shared" si="84"/>
        <v/>
      </c>
      <c r="BS157" t="str">
        <f t="shared" si="85"/>
        <v/>
      </c>
      <c r="BT157" t="str">
        <f t="shared" si="86"/>
        <v/>
      </c>
      <c r="BU157" t="str">
        <f t="shared" si="87"/>
        <v/>
      </c>
    </row>
    <row r="158" spans="1:73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ConcatenateRange(AZ158:BU158,"||")</f>
        <v/>
      </c>
      <c r="AZ158" t="str">
        <f t="shared" si="66"/>
        <v/>
      </c>
      <c r="BA158" t="str">
        <f t="shared" si="67"/>
        <v/>
      </c>
      <c r="BB158" t="str">
        <f t="shared" si="68"/>
        <v/>
      </c>
      <c r="BC158" t="str">
        <f t="shared" si="69"/>
        <v/>
      </c>
      <c r="BD158" t="str">
        <f t="shared" si="70"/>
        <v/>
      </c>
      <c r="BE158" t="str">
        <f t="shared" si="71"/>
        <v/>
      </c>
      <c r="BF158" t="str">
        <f t="shared" si="72"/>
        <v/>
      </c>
      <c r="BG158" t="str">
        <f t="shared" si="73"/>
        <v/>
      </c>
      <c r="BH158" t="str">
        <f t="shared" si="74"/>
        <v/>
      </c>
      <c r="BI158" t="str">
        <f t="shared" si="75"/>
        <v/>
      </c>
      <c r="BJ158" t="str">
        <f t="shared" si="76"/>
        <v/>
      </c>
      <c r="BK158" t="str">
        <f t="shared" si="77"/>
        <v/>
      </c>
      <c r="BL158" t="str">
        <f t="shared" si="78"/>
        <v/>
      </c>
      <c r="BM158" t="str">
        <f t="shared" si="79"/>
        <v/>
      </c>
      <c r="BN158" t="str">
        <f t="shared" si="80"/>
        <v/>
      </c>
      <c r="BO158" t="str">
        <f t="shared" si="81"/>
        <v/>
      </c>
      <c r="BP158" t="str">
        <f t="shared" si="82"/>
        <v/>
      </c>
      <c r="BQ158" t="str">
        <f t="shared" si="83"/>
        <v/>
      </c>
      <c r="BR158" t="str">
        <f t="shared" si="84"/>
        <v/>
      </c>
      <c r="BS158" t="str">
        <f t="shared" si="85"/>
        <v/>
      </c>
      <c r="BT158" t="str">
        <f t="shared" si="86"/>
        <v/>
      </c>
      <c r="BU158" t="str">
        <f t="shared" si="87"/>
        <v/>
      </c>
    </row>
    <row r="159" spans="1:73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>ConcatenateRange(AZ159:BU159,"||")</f>
        <v/>
      </c>
      <c r="AZ159" t="str">
        <f t="shared" si="66"/>
        <v/>
      </c>
      <c r="BA159" t="str">
        <f t="shared" si="67"/>
        <v/>
      </c>
      <c r="BB159" t="str">
        <f t="shared" si="68"/>
        <v/>
      </c>
      <c r="BC159" t="str">
        <f t="shared" si="69"/>
        <v/>
      </c>
      <c r="BD159" t="str">
        <f t="shared" si="70"/>
        <v/>
      </c>
      <c r="BE159" t="str">
        <f t="shared" si="71"/>
        <v/>
      </c>
      <c r="BF159" t="str">
        <f t="shared" si="72"/>
        <v/>
      </c>
      <c r="BG159" t="str">
        <f t="shared" si="73"/>
        <v/>
      </c>
      <c r="BH159" t="str">
        <f t="shared" si="74"/>
        <v/>
      </c>
      <c r="BI159" t="str">
        <f t="shared" si="75"/>
        <v/>
      </c>
      <c r="BJ159" t="str">
        <f t="shared" si="76"/>
        <v/>
      </c>
      <c r="BK159" t="str">
        <f t="shared" si="77"/>
        <v/>
      </c>
      <c r="BL159" t="str">
        <f t="shared" si="78"/>
        <v/>
      </c>
      <c r="BM159" t="str">
        <f t="shared" si="79"/>
        <v/>
      </c>
      <c r="BN159" t="str">
        <f t="shared" si="80"/>
        <v/>
      </c>
      <c r="BO159" t="str">
        <f t="shared" si="81"/>
        <v/>
      </c>
      <c r="BP159" t="str">
        <f t="shared" si="82"/>
        <v/>
      </c>
      <c r="BQ159" t="str">
        <f t="shared" si="83"/>
        <v/>
      </c>
      <c r="BR159" t="str">
        <f t="shared" si="84"/>
        <v/>
      </c>
      <c r="BS159" t="str">
        <f t="shared" si="85"/>
        <v/>
      </c>
      <c r="BT159" t="str">
        <f t="shared" si="86"/>
        <v/>
      </c>
      <c r="BU159" t="str">
        <f t="shared" si="87"/>
        <v/>
      </c>
    </row>
    <row r="160" spans="1:73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ConcatenateRange(AZ160:BU160,"||")</f>
        <v/>
      </c>
      <c r="AZ160" t="str">
        <f t="shared" si="66"/>
        <v/>
      </c>
      <c r="BA160" t="str">
        <f t="shared" si="67"/>
        <v/>
      </c>
      <c r="BB160" t="str">
        <f t="shared" si="68"/>
        <v/>
      </c>
      <c r="BC160" t="str">
        <f t="shared" si="69"/>
        <v/>
      </c>
      <c r="BD160" t="str">
        <f t="shared" si="70"/>
        <v/>
      </c>
      <c r="BE160" t="str">
        <f t="shared" si="71"/>
        <v/>
      </c>
      <c r="BF160" t="str">
        <f t="shared" si="72"/>
        <v/>
      </c>
      <c r="BG160" t="str">
        <f t="shared" si="73"/>
        <v/>
      </c>
      <c r="BH160" t="str">
        <f t="shared" si="74"/>
        <v/>
      </c>
      <c r="BI160" t="str">
        <f t="shared" si="75"/>
        <v/>
      </c>
      <c r="BJ160" t="str">
        <f t="shared" si="76"/>
        <v/>
      </c>
      <c r="BK160" t="str">
        <f t="shared" si="77"/>
        <v/>
      </c>
      <c r="BL160" t="str">
        <f t="shared" si="78"/>
        <v/>
      </c>
      <c r="BM160" t="str">
        <f t="shared" si="79"/>
        <v/>
      </c>
      <c r="BN160" t="str">
        <f t="shared" si="80"/>
        <v/>
      </c>
      <c r="BO160" t="str">
        <f t="shared" si="81"/>
        <v/>
      </c>
      <c r="BP160" t="str">
        <f t="shared" si="82"/>
        <v/>
      </c>
      <c r="BQ160" t="str">
        <f t="shared" si="83"/>
        <v/>
      </c>
      <c r="BR160" t="str">
        <f t="shared" si="84"/>
        <v/>
      </c>
      <c r="BS160" t="str">
        <f t="shared" si="85"/>
        <v/>
      </c>
      <c r="BT160" t="str">
        <f t="shared" si="86"/>
        <v/>
      </c>
      <c r="BU160" t="str">
        <f t="shared" si="87"/>
        <v/>
      </c>
    </row>
    <row r="161" spans="1:73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ConcatenateRange(AZ161:BU161,"||")</f>
        <v/>
      </c>
      <c r="AZ161" t="str">
        <f t="shared" si="66"/>
        <v/>
      </c>
      <c r="BA161" t="str">
        <f t="shared" si="67"/>
        <v/>
      </c>
      <c r="BB161" t="str">
        <f t="shared" si="68"/>
        <v/>
      </c>
      <c r="BC161" t="str">
        <f t="shared" si="69"/>
        <v/>
      </c>
      <c r="BD161" t="str">
        <f t="shared" si="70"/>
        <v/>
      </c>
      <c r="BE161" t="str">
        <f t="shared" si="71"/>
        <v/>
      </c>
      <c r="BF161" t="str">
        <f t="shared" si="72"/>
        <v/>
      </c>
      <c r="BG161" t="str">
        <f t="shared" si="73"/>
        <v/>
      </c>
      <c r="BH161" t="str">
        <f t="shared" si="74"/>
        <v/>
      </c>
      <c r="BI161" t="str">
        <f t="shared" si="75"/>
        <v/>
      </c>
      <c r="BJ161" t="str">
        <f t="shared" si="76"/>
        <v/>
      </c>
      <c r="BK161" t="str">
        <f t="shared" si="77"/>
        <v/>
      </c>
      <c r="BL161" t="str">
        <f t="shared" si="78"/>
        <v/>
      </c>
      <c r="BM161" t="str">
        <f t="shared" si="79"/>
        <v/>
      </c>
      <c r="BN161" t="str">
        <f t="shared" si="80"/>
        <v/>
      </c>
      <c r="BO161" t="str">
        <f t="shared" si="81"/>
        <v/>
      </c>
      <c r="BP161" t="str">
        <f t="shared" si="82"/>
        <v/>
      </c>
      <c r="BQ161" t="str">
        <f t="shared" si="83"/>
        <v/>
      </c>
      <c r="BR161" t="str">
        <f t="shared" si="84"/>
        <v/>
      </c>
      <c r="BS161" t="str">
        <f t="shared" si="85"/>
        <v/>
      </c>
      <c r="BT161" t="str">
        <f t="shared" si="86"/>
        <v/>
      </c>
      <c r="BU161" t="str">
        <f t="shared" si="87"/>
        <v/>
      </c>
    </row>
    <row r="162" spans="1:73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ConcatenateRange(AZ162:BU162,"||")</f>
        <v/>
      </c>
      <c r="AZ162" t="str">
        <f t="shared" si="66"/>
        <v/>
      </c>
      <c r="BA162" t="str">
        <f t="shared" si="67"/>
        <v/>
      </c>
      <c r="BB162" t="str">
        <f t="shared" si="68"/>
        <v/>
      </c>
      <c r="BC162" t="str">
        <f t="shared" si="69"/>
        <v/>
      </c>
      <c r="BD162" t="str">
        <f t="shared" si="70"/>
        <v/>
      </c>
      <c r="BE162" t="str">
        <f t="shared" si="71"/>
        <v/>
      </c>
      <c r="BF162" t="str">
        <f t="shared" si="72"/>
        <v/>
      </c>
      <c r="BG162" t="str">
        <f t="shared" si="73"/>
        <v/>
      </c>
      <c r="BH162" t="str">
        <f t="shared" si="74"/>
        <v/>
      </c>
      <c r="BI162" t="str">
        <f t="shared" si="75"/>
        <v/>
      </c>
      <c r="BJ162" t="str">
        <f t="shared" si="76"/>
        <v/>
      </c>
      <c r="BK162" t="str">
        <f t="shared" si="77"/>
        <v/>
      </c>
      <c r="BL162" t="str">
        <f t="shared" si="78"/>
        <v/>
      </c>
      <c r="BM162" t="str">
        <f t="shared" si="79"/>
        <v/>
      </c>
      <c r="BN162" t="str">
        <f t="shared" si="80"/>
        <v/>
      </c>
      <c r="BO162" t="str">
        <f t="shared" si="81"/>
        <v/>
      </c>
      <c r="BP162" t="str">
        <f t="shared" si="82"/>
        <v/>
      </c>
      <c r="BQ162" t="str">
        <f t="shared" si="83"/>
        <v/>
      </c>
      <c r="BR162" t="str">
        <f t="shared" si="84"/>
        <v/>
      </c>
      <c r="BS162" t="str">
        <f t="shared" si="85"/>
        <v/>
      </c>
      <c r="BT162" t="str">
        <f t="shared" si="86"/>
        <v/>
      </c>
      <c r="BU162" t="str">
        <f t="shared" si="87"/>
        <v/>
      </c>
    </row>
    <row r="163" spans="1:73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ConcatenateRange(AZ163:BU163,"||")</f>
        <v/>
      </c>
      <c r="AZ163" t="str">
        <f t="shared" si="66"/>
        <v/>
      </c>
      <c r="BA163" t="str">
        <f t="shared" si="67"/>
        <v/>
      </c>
      <c r="BB163" t="str">
        <f t="shared" si="68"/>
        <v/>
      </c>
      <c r="BC163" t="str">
        <f t="shared" si="69"/>
        <v/>
      </c>
      <c r="BD163" t="str">
        <f t="shared" si="70"/>
        <v/>
      </c>
      <c r="BE163" t="str">
        <f t="shared" si="71"/>
        <v/>
      </c>
      <c r="BF163" t="str">
        <f t="shared" si="72"/>
        <v/>
      </c>
      <c r="BG163" t="str">
        <f t="shared" si="73"/>
        <v/>
      </c>
      <c r="BH163" t="str">
        <f t="shared" si="74"/>
        <v/>
      </c>
      <c r="BI163" t="str">
        <f t="shared" si="75"/>
        <v/>
      </c>
      <c r="BJ163" t="str">
        <f t="shared" si="76"/>
        <v/>
      </c>
      <c r="BK163" t="str">
        <f t="shared" si="77"/>
        <v/>
      </c>
      <c r="BL163" t="str">
        <f t="shared" si="78"/>
        <v/>
      </c>
      <c r="BM163" t="str">
        <f t="shared" si="79"/>
        <v/>
      </c>
      <c r="BN163" t="str">
        <f t="shared" si="80"/>
        <v/>
      </c>
      <c r="BO163" t="str">
        <f t="shared" si="81"/>
        <v/>
      </c>
      <c r="BP163" t="str">
        <f t="shared" si="82"/>
        <v/>
      </c>
      <c r="BQ163" t="str">
        <f t="shared" si="83"/>
        <v/>
      </c>
      <c r="BR163" t="str">
        <f t="shared" si="84"/>
        <v/>
      </c>
      <c r="BS163" t="str">
        <f t="shared" si="85"/>
        <v/>
      </c>
      <c r="BT163" t="str">
        <f t="shared" si="86"/>
        <v/>
      </c>
      <c r="BU163" t="str">
        <f t="shared" si="87"/>
        <v/>
      </c>
    </row>
    <row r="164" spans="1:73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>ConcatenateRange(AZ164:BU164,"||")</f>
        <v/>
      </c>
      <c r="AZ164" t="str">
        <f t="shared" si="66"/>
        <v/>
      </c>
      <c r="BA164" t="str">
        <f t="shared" si="67"/>
        <v/>
      </c>
      <c r="BB164" t="str">
        <f t="shared" si="68"/>
        <v/>
      </c>
      <c r="BC164" t="str">
        <f t="shared" si="69"/>
        <v/>
      </c>
      <c r="BD164" t="str">
        <f t="shared" si="70"/>
        <v/>
      </c>
      <c r="BE164" t="str">
        <f t="shared" si="71"/>
        <v/>
      </c>
      <c r="BF164" t="str">
        <f t="shared" si="72"/>
        <v/>
      </c>
      <c r="BG164" t="str">
        <f t="shared" si="73"/>
        <v/>
      </c>
      <c r="BH164" t="str">
        <f t="shared" si="74"/>
        <v/>
      </c>
      <c r="BI164" t="str">
        <f t="shared" si="75"/>
        <v/>
      </c>
      <c r="BJ164" t="str">
        <f t="shared" si="76"/>
        <v/>
      </c>
      <c r="BK164" t="str">
        <f t="shared" si="77"/>
        <v/>
      </c>
      <c r="BL164" t="str">
        <f t="shared" si="78"/>
        <v/>
      </c>
      <c r="BM164" t="str">
        <f t="shared" si="79"/>
        <v/>
      </c>
      <c r="BN164" t="str">
        <f t="shared" si="80"/>
        <v/>
      </c>
      <c r="BO164" t="str">
        <f t="shared" si="81"/>
        <v/>
      </c>
      <c r="BP164" t="str">
        <f t="shared" si="82"/>
        <v/>
      </c>
      <c r="BQ164" t="str">
        <f t="shared" si="83"/>
        <v/>
      </c>
      <c r="BR164" t="str">
        <f t="shared" si="84"/>
        <v/>
      </c>
      <c r="BS164" t="str">
        <f t="shared" si="85"/>
        <v/>
      </c>
      <c r="BT164" t="str">
        <f t="shared" si="86"/>
        <v/>
      </c>
      <c r="BU164" t="str">
        <f t="shared" si="87"/>
        <v/>
      </c>
    </row>
    <row r="165" spans="1:73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>ConcatenateRange(AZ165:BU165,"||")</f>
        <v/>
      </c>
      <c r="AZ165" t="str">
        <f t="shared" si="66"/>
        <v/>
      </c>
      <c r="BA165" t="str">
        <f t="shared" si="67"/>
        <v/>
      </c>
      <c r="BB165" t="str">
        <f t="shared" si="68"/>
        <v/>
      </c>
      <c r="BC165" t="str">
        <f t="shared" si="69"/>
        <v/>
      </c>
      <c r="BD165" t="str">
        <f t="shared" si="70"/>
        <v/>
      </c>
      <c r="BE165" t="str">
        <f t="shared" si="71"/>
        <v/>
      </c>
      <c r="BF165" t="str">
        <f t="shared" si="72"/>
        <v/>
      </c>
      <c r="BG165" t="str">
        <f t="shared" si="73"/>
        <v/>
      </c>
      <c r="BH165" t="str">
        <f t="shared" si="74"/>
        <v/>
      </c>
      <c r="BI165" t="str">
        <f t="shared" si="75"/>
        <v/>
      </c>
      <c r="BJ165" t="str">
        <f t="shared" si="76"/>
        <v/>
      </c>
      <c r="BK165" t="str">
        <f t="shared" si="77"/>
        <v/>
      </c>
      <c r="BL165" t="str">
        <f t="shared" si="78"/>
        <v/>
      </c>
      <c r="BM165" t="str">
        <f t="shared" si="79"/>
        <v/>
      </c>
      <c r="BN165" t="str">
        <f t="shared" si="80"/>
        <v/>
      </c>
      <c r="BO165" t="str">
        <f t="shared" si="81"/>
        <v/>
      </c>
      <c r="BP165" t="str">
        <f t="shared" si="82"/>
        <v/>
      </c>
      <c r="BQ165" t="str">
        <f t="shared" si="83"/>
        <v/>
      </c>
      <c r="BR165" t="str">
        <f t="shared" si="84"/>
        <v/>
      </c>
      <c r="BS165" t="str">
        <f t="shared" si="85"/>
        <v/>
      </c>
      <c r="BT165" t="str">
        <f t="shared" si="86"/>
        <v/>
      </c>
      <c r="BU165" t="str">
        <f t="shared" si="87"/>
        <v/>
      </c>
    </row>
    <row r="166" spans="1:73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ConcatenateRange(AZ166:BU166,"||")</f>
        <v/>
      </c>
      <c r="AZ166" t="str">
        <f t="shared" si="66"/>
        <v/>
      </c>
      <c r="BA166" t="str">
        <f t="shared" si="67"/>
        <v/>
      </c>
      <c r="BB166" t="str">
        <f t="shared" si="68"/>
        <v/>
      </c>
      <c r="BC166" t="str">
        <f t="shared" si="69"/>
        <v/>
      </c>
      <c r="BD166" t="str">
        <f t="shared" si="70"/>
        <v/>
      </c>
      <c r="BE166" t="str">
        <f t="shared" si="71"/>
        <v/>
      </c>
      <c r="BF166" t="str">
        <f t="shared" si="72"/>
        <v/>
      </c>
      <c r="BG166" t="str">
        <f t="shared" si="73"/>
        <v/>
      </c>
      <c r="BH166" t="str">
        <f t="shared" si="74"/>
        <v/>
      </c>
      <c r="BI166" t="str">
        <f t="shared" si="75"/>
        <v/>
      </c>
      <c r="BJ166" t="str">
        <f t="shared" si="76"/>
        <v/>
      </c>
      <c r="BK166" t="str">
        <f t="shared" si="77"/>
        <v/>
      </c>
      <c r="BL166" t="str">
        <f t="shared" si="78"/>
        <v/>
      </c>
      <c r="BM166" t="str">
        <f t="shared" si="79"/>
        <v/>
      </c>
      <c r="BN166" t="str">
        <f t="shared" si="80"/>
        <v/>
      </c>
      <c r="BO166" t="str">
        <f t="shared" si="81"/>
        <v/>
      </c>
      <c r="BP166" t="str">
        <f t="shared" si="82"/>
        <v/>
      </c>
      <c r="BQ166" t="str">
        <f t="shared" si="83"/>
        <v/>
      </c>
      <c r="BR166" t="str">
        <f t="shared" si="84"/>
        <v/>
      </c>
      <c r="BS166" t="str">
        <f t="shared" si="85"/>
        <v/>
      </c>
      <c r="BT166" t="str">
        <f t="shared" si="86"/>
        <v/>
      </c>
      <c r="BU166" t="str">
        <f t="shared" si="87"/>
        <v/>
      </c>
    </row>
    <row r="167" spans="1:73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ConcatenateRange(AZ167:BU167,"||")</f>
        <v/>
      </c>
      <c r="AZ167" t="str">
        <f t="shared" si="66"/>
        <v/>
      </c>
      <c r="BA167" t="str">
        <f t="shared" si="67"/>
        <v/>
      </c>
      <c r="BB167" t="str">
        <f t="shared" si="68"/>
        <v/>
      </c>
      <c r="BC167" t="str">
        <f t="shared" si="69"/>
        <v/>
      </c>
      <c r="BD167" t="str">
        <f t="shared" si="70"/>
        <v/>
      </c>
      <c r="BE167" t="str">
        <f t="shared" si="71"/>
        <v/>
      </c>
      <c r="BF167" t="str">
        <f t="shared" si="72"/>
        <v/>
      </c>
      <c r="BG167" t="str">
        <f t="shared" si="73"/>
        <v/>
      </c>
      <c r="BH167" t="str">
        <f t="shared" si="74"/>
        <v/>
      </c>
      <c r="BI167" t="str">
        <f t="shared" si="75"/>
        <v/>
      </c>
      <c r="BJ167" t="str">
        <f t="shared" si="76"/>
        <v/>
      </c>
      <c r="BK167" t="str">
        <f t="shared" si="77"/>
        <v/>
      </c>
      <c r="BL167" t="str">
        <f t="shared" si="78"/>
        <v/>
      </c>
      <c r="BM167" t="str">
        <f t="shared" si="79"/>
        <v/>
      </c>
      <c r="BN167" t="str">
        <f t="shared" si="80"/>
        <v/>
      </c>
      <c r="BO167" t="str">
        <f t="shared" si="81"/>
        <v/>
      </c>
      <c r="BP167" t="str">
        <f t="shared" si="82"/>
        <v/>
      </c>
      <c r="BQ167" t="str">
        <f t="shared" si="83"/>
        <v/>
      </c>
      <c r="BR167" t="str">
        <f t="shared" si="84"/>
        <v/>
      </c>
      <c r="BS167" t="str">
        <f t="shared" si="85"/>
        <v/>
      </c>
      <c r="BT167" t="str">
        <f t="shared" si="86"/>
        <v/>
      </c>
      <c r="BU167" t="str">
        <f t="shared" si="87"/>
        <v/>
      </c>
    </row>
    <row r="168" spans="1:73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ConcatenateRange(AZ168:BU168,"||")</f>
        <v/>
      </c>
      <c r="AZ168" t="str">
        <f t="shared" si="66"/>
        <v/>
      </c>
      <c r="BA168" t="str">
        <f t="shared" si="67"/>
        <v/>
      </c>
      <c r="BB168" t="str">
        <f t="shared" si="68"/>
        <v/>
      </c>
      <c r="BC168" t="str">
        <f t="shared" si="69"/>
        <v/>
      </c>
      <c r="BD168" t="str">
        <f t="shared" si="70"/>
        <v/>
      </c>
      <c r="BE168" t="str">
        <f t="shared" si="71"/>
        <v/>
      </c>
      <c r="BF168" t="str">
        <f t="shared" si="72"/>
        <v/>
      </c>
      <c r="BG168" t="str">
        <f t="shared" si="73"/>
        <v/>
      </c>
      <c r="BH168" t="str">
        <f t="shared" si="74"/>
        <v/>
      </c>
      <c r="BI168" t="str">
        <f t="shared" si="75"/>
        <v/>
      </c>
      <c r="BJ168" t="str">
        <f t="shared" si="76"/>
        <v/>
      </c>
      <c r="BK168" t="str">
        <f t="shared" si="77"/>
        <v/>
      </c>
      <c r="BL168" t="str">
        <f t="shared" si="78"/>
        <v/>
      </c>
      <c r="BM168" t="str">
        <f t="shared" si="79"/>
        <v/>
      </c>
      <c r="BN168" t="str">
        <f t="shared" si="80"/>
        <v/>
      </c>
      <c r="BO168" t="str">
        <f t="shared" si="81"/>
        <v/>
      </c>
      <c r="BP168" t="str">
        <f t="shared" si="82"/>
        <v/>
      </c>
      <c r="BQ168" t="str">
        <f t="shared" si="83"/>
        <v/>
      </c>
      <c r="BR168" t="str">
        <f t="shared" si="84"/>
        <v/>
      </c>
      <c r="BS168" t="str">
        <f t="shared" si="85"/>
        <v/>
      </c>
      <c r="BT168" t="str">
        <f t="shared" si="86"/>
        <v/>
      </c>
      <c r="BU168" t="str">
        <f t="shared" si="87"/>
        <v/>
      </c>
    </row>
    <row r="169" spans="1:73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AZ169" t="str">
        <f t="shared" si="66"/>
        <v/>
      </c>
      <c r="BA169" t="str">
        <f t="shared" si="67"/>
        <v/>
      </c>
      <c r="BB169" t="str">
        <f t="shared" si="68"/>
        <v/>
      </c>
      <c r="BC169" t="str">
        <f t="shared" si="69"/>
        <v/>
      </c>
      <c r="BD169" t="str">
        <f t="shared" si="70"/>
        <v/>
      </c>
      <c r="BE169" t="str">
        <f t="shared" si="71"/>
        <v/>
      </c>
      <c r="BF169" t="str">
        <f t="shared" si="72"/>
        <v/>
      </c>
      <c r="BG169" t="str">
        <f t="shared" si="73"/>
        <v/>
      </c>
      <c r="BH169" t="str">
        <f t="shared" si="74"/>
        <v/>
      </c>
      <c r="BI169" t="str">
        <f t="shared" si="75"/>
        <v/>
      </c>
      <c r="BJ169" t="str">
        <f t="shared" si="76"/>
        <v/>
      </c>
      <c r="BK169" t="str">
        <f t="shared" si="77"/>
        <v/>
      </c>
      <c r="BL169" t="str">
        <f t="shared" si="78"/>
        <v/>
      </c>
      <c r="BM169" t="str">
        <f t="shared" si="79"/>
        <v/>
      </c>
      <c r="BN169" t="str">
        <f t="shared" si="80"/>
        <v/>
      </c>
      <c r="BO169" t="str">
        <f t="shared" si="81"/>
        <v/>
      </c>
      <c r="BP169" t="str">
        <f t="shared" si="82"/>
        <v/>
      </c>
      <c r="BQ169" t="str">
        <f t="shared" si="83"/>
        <v/>
      </c>
      <c r="BR169" t="str">
        <f t="shared" si="84"/>
        <v/>
      </c>
      <c r="BS169" t="str">
        <f t="shared" si="85"/>
        <v/>
      </c>
      <c r="BT169" t="str">
        <f t="shared" si="86"/>
        <v/>
      </c>
      <c r="BU169" t="str">
        <f t="shared" si="87"/>
        <v/>
      </c>
    </row>
    <row r="170" spans="1:73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ConcatenateRange(AZ170:BU170,"||")</f>
        <v/>
      </c>
      <c r="AZ170" t="str">
        <f t="shared" si="66"/>
        <v/>
      </c>
      <c r="BA170" t="str">
        <f t="shared" si="67"/>
        <v/>
      </c>
      <c r="BB170" t="str">
        <f t="shared" si="68"/>
        <v/>
      </c>
      <c r="BC170" t="str">
        <f t="shared" si="69"/>
        <v/>
      </c>
      <c r="BD170" t="str">
        <f t="shared" si="70"/>
        <v/>
      </c>
      <c r="BE170" t="str">
        <f t="shared" si="71"/>
        <v/>
      </c>
      <c r="BF170" t="str">
        <f t="shared" si="72"/>
        <v/>
      </c>
      <c r="BG170" t="str">
        <f t="shared" si="73"/>
        <v/>
      </c>
      <c r="BH170" t="str">
        <f t="shared" si="74"/>
        <v/>
      </c>
      <c r="BI170" t="str">
        <f t="shared" si="75"/>
        <v/>
      </c>
      <c r="BJ170" t="str">
        <f t="shared" si="76"/>
        <v/>
      </c>
      <c r="BK170" t="str">
        <f t="shared" si="77"/>
        <v/>
      </c>
      <c r="BL170" t="str">
        <f t="shared" si="78"/>
        <v/>
      </c>
      <c r="BM170" t="str">
        <f t="shared" si="79"/>
        <v/>
      </c>
      <c r="BN170" t="str">
        <f t="shared" si="80"/>
        <v/>
      </c>
      <c r="BO170" t="str">
        <f t="shared" si="81"/>
        <v/>
      </c>
      <c r="BP170" t="str">
        <f t="shared" si="82"/>
        <v/>
      </c>
      <c r="BQ170" t="str">
        <f t="shared" si="83"/>
        <v/>
      </c>
      <c r="BR170" t="str">
        <f t="shared" si="84"/>
        <v/>
      </c>
      <c r="BS170" t="str">
        <f t="shared" si="85"/>
        <v/>
      </c>
      <c r="BT170" t="str">
        <f t="shared" si="86"/>
        <v/>
      </c>
      <c r="BU170" t="str">
        <f t="shared" si="87"/>
        <v/>
      </c>
    </row>
    <row r="171" spans="1:73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ConcatenateRange(AZ171:BU171,"||")</f>
        <v/>
      </c>
      <c r="AZ171" t="str">
        <f t="shared" si="66"/>
        <v/>
      </c>
      <c r="BA171" t="str">
        <f t="shared" si="67"/>
        <v/>
      </c>
      <c r="BB171" t="str">
        <f t="shared" si="68"/>
        <v/>
      </c>
      <c r="BC171" t="str">
        <f t="shared" si="69"/>
        <v/>
      </c>
      <c r="BD171" t="str">
        <f t="shared" si="70"/>
        <v/>
      </c>
      <c r="BE171" t="str">
        <f t="shared" si="71"/>
        <v/>
      </c>
      <c r="BF171" t="str">
        <f t="shared" si="72"/>
        <v/>
      </c>
      <c r="BG171" t="str">
        <f t="shared" si="73"/>
        <v/>
      </c>
      <c r="BH171" t="str">
        <f t="shared" si="74"/>
        <v/>
      </c>
      <c r="BI171" t="str">
        <f t="shared" si="75"/>
        <v/>
      </c>
      <c r="BJ171" t="str">
        <f t="shared" si="76"/>
        <v/>
      </c>
      <c r="BK171" t="str">
        <f t="shared" si="77"/>
        <v/>
      </c>
      <c r="BL171" t="str">
        <f t="shared" si="78"/>
        <v/>
      </c>
      <c r="BM171" t="str">
        <f t="shared" si="79"/>
        <v/>
      </c>
      <c r="BN171" t="str">
        <f t="shared" si="80"/>
        <v/>
      </c>
      <c r="BO171" t="str">
        <f t="shared" si="81"/>
        <v/>
      </c>
      <c r="BP171" t="str">
        <f t="shared" si="82"/>
        <v/>
      </c>
      <c r="BQ171" t="str">
        <f t="shared" si="83"/>
        <v/>
      </c>
      <c r="BR171" t="str">
        <f t="shared" si="84"/>
        <v/>
      </c>
      <c r="BS171" t="str">
        <f t="shared" si="85"/>
        <v/>
      </c>
      <c r="BT171" t="str">
        <f t="shared" si="86"/>
        <v/>
      </c>
      <c r="BU171" t="str">
        <f t="shared" si="87"/>
        <v/>
      </c>
    </row>
    <row r="172" spans="1:73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ConcatenateRange(AZ172:BU172,"||")</f>
        <v/>
      </c>
      <c r="AZ172" t="str">
        <f t="shared" si="66"/>
        <v/>
      </c>
      <c r="BA172" t="str">
        <f t="shared" si="67"/>
        <v/>
      </c>
      <c r="BB172" t="str">
        <f t="shared" si="68"/>
        <v/>
      </c>
      <c r="BC172" t="str">
        <f t="shared" si="69"/>
        <v/>
      </c>
      <c r="BD172" t="str">
        <f t="shared" si="70"/>
        <v/>
      </c>
      <c r="BE172" t="str">
        <f t="shared" si="71"/>
        <v/>
      </c>
      <c r="BF172" t="str">
        <f t="shared" si="72"/>
        <v/>
      </c>
      <c r="BG172" t="str">
        <f t="shared" si="73"/>
        <v/>
      </c>
      <c r="BH172" t="str">
        <f t="shared" si="74"/>
        <v/>
      </c>
      <c r="BI172" t="str">
        <f t="shared" si="75"/>
        <v/>
      </c>
      <c r="BJ172" t="str">
        <f t="shared" si="76"/>
        <v/>
      </c>
      <c r="BK172" t="str">
        <f t="shared" si="77"/>
        <v/>
      </c>
      <c r="BL172" t="str">
        <f t="shared" si="78"/>
        <v/>
      </c>
      <c r="BM172" t="str">
        <f t="shared" si="79"/>
        <v/>
      </c>
      <c r="BN172" t="str">
        <f t="shared" si="80"/>
        <v/>
      </c>
      <c r="BO172" t="str">
        <f t="shared" si="81"/>
        <v/>
      </c>
      <c r="BP172" t="str">
        <f t="shared" si="82"/>
        <v/>
      </c>
      <c r="BQ172" t="str">
        <f t="shared" si="83"/>
        <v/>
      </c>
      <c r="BR172" t="str">
        <f t="shared" si="84"/>
        <v/>
      </c>
      <c r="BS172" t="str">
        <f t="shared" si="85"/>
        <v/>
      </c>
      <c r="BT172" t="str">
        <f t="shared" si="86"/>
        <v/>
      </c>
      <c r="BU172" t="str">
        <f t="shared" si="87"/>
        <v/>
      </c>
    </row>
    <row r="173" spans="1:73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ConcatenateRange(AZ173:BU173,"||")</f>
        <v/>
      </c>
      <c r="AZ173" t="str">
        <f t="shared" si="66"/>
        <v/>
      </c>
      <c r="BA173" t="str">
        <f t="shared" si="67"/>
        <v/>
      </c>
      <c r="BB173" t="str">
        <f t="shared" si="68"/>
        <v/>
      </c>
      <c r="BC173" t="str">
        <f t="shared" si="69"/>
        <v/>
      </c>
      <c r="BD173" t="str">
        <f t="shared" si="70"/>
        <v/>
      </c>
      <c r="BE173" t="str">
        <f t="shared" si="71"/>
        <v/>
      </c>
      <c r="BF173" t="str">
        <f t="shared" si="72"/>
        <v/>
      </c>
      <c r="BG173" t="str">
        <f t="shared" si="73"/>
        <v/>
      </c>
      <c r="BH173" t="str">
        <f t="shared" si="74"/>
        <v/>
      </c>
      <c r="BI173" t="str">
        <f t="shared" si="75"/>
        <v/>
      </c>
      <c r="BJ173" t="str">
        <f t="shared" si="76"/>
        <v/>
      </c>
      <c r="BK173" t="str">
        <f t="shared" si="77"/>
        <v/>
      </c>
      <c r="BL173" t="str">
        <f t="shared" si="78"/>
        <v/>
      </c>
      <c r="BM173" t="str">
        <f t="shared" si="79"/>
        <v/>
      </c>
      <c r="BN173" t="str">
        <f t="shared" si="80"/>
        <v/>
      </c>
      <c r="BO173" t="str">
        <f t="shared" si="81"/>
        <v/>
      </c>
      <c r="BP173" t="str">
        <f t="shared" si="82"/>
        <v/>
      </c>
      <c r="BQ173" t="str">
        <f t="shared" si="83"/>
        <v/>
      </c>
      <c r="BR173" t="str">
        <f t="shared" si="84"/>
        <v/>
      </c>
      <c r="BS173" t="str">
        <f t="shared" si="85"/>
        <v/>
      </c>
      <c r="BT173" t="str">
        <f t="shared" si="86"/>
        <v/>
      </c>
      <c r="BU173" t="str">
        <f t="shared" si="87"/>
        <v/>
      </c>
    </row>
    <row r="174" spans="1:73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ConcatenateRange(AZ174:BU174,"||")</f>
        <v/>
      </c>
      <c r="AZ174" t="str">
        <f t="shared" si="66"/>
        <v/>
      </c>
      <c r="BA174" t="str">
        <f t="shared" si="67"/>
        <v/>
      </c>
      <c r="BB174" t="str">
        <f t="shared" si="68"/>
        <v/>
      </c>
      <c r="BC174" t="str">
        <f t="shared" si="69"/>
        <v/>
      </c>
      <c r="BD174" t="str">
        <f t="shared" si="70"/>
        <v/>
      </c>
      <c r="BE174" t="str">
        <f t="shared" si="71"/>
        <v/>
      </c>
      <c r="BF174" t="str">
        <f t="shared" si="72"/>
        <v/>
      </c>
      <c r="BG174" t="str">
        <f t="shared" si="73"/>
        <v/>
      </c>
      <c r="BH174" t="str">
        <f t="shared" si="74"/>
        <v/>
      </c>
      <c r="BI174" t="str">
        <f t="shared" si="75"/>
        <v/>
      </c>
      <c r="BJ174" t="str">
        <f t="shared" si="76"/>
        <v/>
      </c>
      <c r="BK174" t="str">
        <f t="shared" si="77"/>
        <v/>
      </c>
      <c r="BL174" t="str">
        <f t="shared" si="78"/>
        <v/>
      </c>
      <c r="BM174" t="str">
        <f t="shared" si="79"/>
        <v/>
      </c>
      <c r="BN174" t="str">
        <f t="shared" si="80"/>
        <v/>
      </c>
      <c r="BO174" t="str">
        <f t="shared" si="81"/>
        <v/>
      </c>
      <c r="BP174" t="str">
        <f t="shared" si="82"/>
        <v/>
      </c>
      <c r="BQ174" t="str">
        <f t="shared" si="83"/>
        <v/>
      </c>
      <c r="BR174" t="str">
        <f t="shared" si="84"/>
        <v/>
      </c>
      <c r="BS174" t="str">
        <f t="shared" si="85"/>
        <v/>
      </c>
      <c r="BT174" t="str">
        <f t="shared" si="86"/>
        <v/>
      </c>
      <c r="BU174" t="str">
        <f t="shared" si="87"/>
        <v/>
      </c>
    </row>
    <row r="175" spans="1:73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ConcatenateRange(AZ175:BU175,"||")</f>
        <v/>
      </c>
      <c r="AZ175" t="str">
        <f t="shared" si="66"/>
        <v/>
      </c>
      <c r="BA175" t="str">
        <f t="shared" si="67"/>
        <v/>
      </c>
      <c r="BB175" t="str">
        <f t="shared" si="68"/>
        <v/>
      </c>
      <c r="BC175" t="str">
        <f t="shared" si="69"/>
        <v/>
      </c>
      <c r="BD175" t="str">
        <f t="shared" si="70"/>
        <v/>
      </c>
      <c r="BE175" t="str">
        <f t="shared" si="71"/>
        <v/>
      </c>
      <c r="BF175" t="str">
        <f t="shared" si="72"/>
        <v/>
      </c>
      <c r="BG175" t="str">
        <f t="shared" si="73"/>
        <v/>
      </c>
      <c r="BH175" t="str">
        <f t="shared" si="74"/>
        <v/>
      </c>
      <c r="BI175" t="str">
        <f t="shared" si="75"/>
        <v/>
      </c>
      <c r="BJ175" t="str">
        <f t="shared" si="76"/>
        <v/>
      </c>
      <c r="BK175" t="str">
        <f t="shared" si="77"/>
        <v/>
      </c>
      <c r="BL175" t="str">
        <f t="shared" si="78"/>
        <v/>
      </c>
      <c r="BM175" t="str">
        <f t="shared" si="79"/>
        <v/>
      </c>
      <c r="BN175" t="str">
        <f t="shared" si="80"/>
        <v/>
      </c>
      <c r="BO175" t="str">
        <f t="shared" si="81"/>
        <v/>
      </c>
      <c r="BP175" t="str">
        <f t="shared" si="82"/>
        <v/>
      </c>
      <c r="BQ175" t="str">
        <f t="shared" si="83"/>
        <v/>
      </c>
      <c r="BR175" t="str">
        <f t="shared" si="84"/>
        <v/>
      </c>
      <c r="BS175" t="str">
        <f t="shared" si="85"/>
        <v/>
      </c>
      <c r="BT175" t="str">
        <f t="shared" si="86"/>
        <v/>
      </c>
      <c r="BU175" t="str">
        <f t="shared" si="87"/>
        <v/>
      </c>
    </row>
    <row r="176" spans="1:73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ConcatenateRange(AZ176:BU176,"||")</f>
        <v/>
      </c>
      <c r="AZ176" t="str">
        <f t="shared" si="66"/>
        <v/>
      </c>
      <c r="BA176" t="str">
        <f t="shared" si="67"/>
        <v/>
      </c>
      <c r="BB176" t="str">
        <f t="shared" si="68"/>
        <v/>
      </c>
      <c r="BC176" t="str">
        <f t="shared" si="69"/>
        <v/>
      </c>
      <c r="BD176" t="str">
        <f t="shared" si="70"/>
        <v/>
      </c>
      <c r="BE176" t="str">
        <f t="shared" si="71"/>
        <v/>
      </c>
      <c r="BF176" t="str">
        <f t="shared" si="72"/>
        <v/>
      </c>
      <c r="BG176" t="str">
        <f t="shared" si="73"/>
        <v/>
      </c>
      <c r="BH176" t="str">
        <f t="shared" si="74"/>
        <v/>
      </c>
      <c r="BI176" t="str">
        <f t="shared" si="75"/>
        <v/>
      </c>
      <c r="BJ176" t="str">
        <f t="shared" si="76"/>
        <v/>
      </c>
      <c r="BK176" t="str">
        <f t="shared" si="77"/>
        <v/>
      </c>
      <c r="BL176" t="str">
        <f t="shared" si="78"/>
        <v/>
      </c>
      <c r="BM176" t="str">
        <f t="shared" si="79"/>
        <v/>
      </c>
      <c r="BN176" t="str">
        <f t="shared" si="80"/>
        <v/>
      </c>
      <c r="BO176" t="str">
        <f t="shared" si="81"/>
        <v/>
      </c>
      <c r="BP176" t="str">
        <f t="shared" si="82"/>
        <v/>
      </c>
      <c r="BQ176" t="str">
        <f t="shared" si="83"/>
        <v/>
      </c>
      <c r="BR176" t="str">
        <f t="shared" si="84"/>
        <v/>
      </c>
      <c r="BS176" t="str">
        <f t="shared" si="85"/>
        <v/>
      </c>
      <c r="BT176" t="str">
        <f t="shared" si="86"/>
        <v/>
      </c>
      <c r="BU176" t="str">
        <f t="shared" si="87"/>
        <v/>
      </c>
    </row>
    <row r="177" spans="1:73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ConcatenateRange(AZ177:BU177,"||")</f>
        <v/>
      </c>
      <c r="AZ177" t="str">
        <f t="shared" si="66"/>
        <v/>
      </c>
      <c r="BA177" t="str">
        <f t="shared" si="67"/>
        <v/>
      </c>
      <c r="BB177" t="str">
        <f t="shared" si="68"/>
        <v/>
      </c>
      <c r="BC177" t="str">
        <f t="shared" si="69"/>
        <v/>
      </c>
      <c r="BD177" t="str">
        <f t="shared" si="70"/>
        <v/>
      </c>
      <c r="BE177" t="str">
        <f t="shared" si="71"/>
        <v/>
      </c>
      <c r="BF177" t="str">
        <f t="shared" si="72"/>
        <v/>
      </c>
      <c r="BG177" t="str">
        <f t="shared" si="73"/>
        <v/>
      </c>
      <c r="BH177" t="str">
        <f t="shared" si="74"/>
        <v/>
      </c>
      <c r="BI177" t="str">
        <f t="shared" si="75"/>
        <v/>
      </c>
      <c r="BJ177" t="str">
        <f t="shared" si="76"/>
        <v/>
      </c>
      <c r="BK177" t="str">
        <f t="shared" si="77"/>
        <v/>
      </c>
      <c r="BL177" t="str">
        <f t="shared" si="78"/>
        <v/>
      </c>
      <c r="BM177" t="str">
        <f t="shared" si="79"/>
        <v/>
      </c>
      <c r="BN177" t="str">
        <f t="shared" si="80"/>
        <v/>
      </c>
      <c r="BO177" t="str">
        <f t="shared" si="81"/>
        <v/>
      </c>
      <c r="BP177" t="str">
        <f t="shared" si="82"/>
        <v/>
      </c>
      <c r="BQ177" t="str">
        <f t="shared" si="83"/>
        <v/>
      </c>
      <c r="BR177" t="str">
        <f t="shared" si="84"/>
        <v/>
      </c>
      <c r="BS177" t="str">
        <f t="shared" si="85"/>
        <v/>
      </c>
      <c r="BT177" t="str">
        <f t="shared" si="86"/>
        <v/>
      </c>
      <c r="BU177" t="str">
        <f t="shared" si="87"/>
        <v/>
      </c>
    </row>
    <row r="178" spans="1:73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ConcatenateRange(AZ178:BU178,"||")</f>
        <v/>
      </c>
      <c r="AZ178" t="str">
        <f t="shared" si="66"/>
        <v/>
      </c>
      <c r="BA178" t="str">
        <f t="shared" si="67"/>
        <v/>
      </c>
      <c r="BB178" t="str">
        <f t="shared" si="68"/>
        <v/>
      </c>
      <c r="BC178" t="str">
        <f t="shared" si="69"/>
        <v/>
      </c>
      <c r="BD178" t="str">
        <f t="shared" si="70"/>
        <v/>
      </c>
      <c r="BE178" t="str">
        <f t="shared" si="71"/>
        <v/>
      </c>
      <c r="BF178" t="str">
        <f t="shared" si="72"/>
        <v/>
      </c>
      <c r="BG178" t="str">
        <f t="shared" si="73"/>
        <v/>
      </c>
      <c r="BH178" t="str">
        <f t="shared" si="74"/>
        <v/>
      </c>
      <c r="BI178" t="str">
        <f t="shared" si="75"/>
        <v/>
      </c>
      <c r="BJ178" t="str">
        <f t="shared" si="76"/>
        <v/>
      </c>
      <c r="BK178" t="str">
        <f t="shared" si="77"/>
        <v/>
      </c>
      <c r="BL178" t="str">
        <f t="shared" si="78"/>
        <v/>
      </c>
      <c r="BM178" t="str">
        <f t="shared" si="79"/>
        <v/>
      </c>
      <c r="BN178" t="str">
        <f t="shared" si="80"/>
        <v/>
      </c>
      <c r="BO178" t="str">
        <f t="shared" si="81"/>
        <v/>
      </c>
      <c r="BP178" t="str">
        <f t="shared" si="82"/>
        <v/>
      </c>
      <c r="BQ178" t="str">
        <f t="shared" si="83"/>
        <v/>
      </c>
      <c r="BR178" t="str">
        <f t="shared" si="84"/>
        <v/>
      </c>
      <c r="BS178" t="str">
        <f t="shared" si="85"/>
        <v/>
      </c>
      <c r="BT178" t="str">
        <f t="shared" si="86"/>
        <v/>
      </c>
      <c r="BU178" t="str">
        <f t="shared" si="87"/>
        <v/>
      </c>
    </row>
    <row r="179" spans="1:73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ConcatenateRange(AZ179:BU179,"||")</f>
        <v/>
      </c>
      <c r="AZ179" t="str">
        <f t="shared" si="66"/>
        <v/>
      </c>
      <c r="BA179" t="str">
        <f t="shared" si="67"/>
        <v/>
      </c>
      <c r="BB179" t="str">
        <f t="shared" si="68"/>
        <v/>
      </c>
      <c r="BC179" t="str">
        <f t="shared" si="69"/>
        <v/>
      </c>
      <c r="BD179" t="str">
        <f t="shared" si="70"/>
        <v/>
      </c>
      <c r="BE179" t="str">
        <f t="shared" si="71"/>
        <v/>
      </c>
      <c r="BF179" t="str">
        <f t="shared" si="72"/>
        <v/>
      </c>
      <c r="BG179" t="str">
        <f t="shared" si="73"/>
        <v/>
      </c>
      <c r="BH179" t="str">
        <f t="shared" si="74"/>
        <v/>
      </c>
      <c r="BI179" t="str">
        <f t="shared" si="75"/>
        <v/>
      </c>
      <c r="BJ179" t="str">
        <f t="shared" si="76"/>
        <v/>
      </c>
      <c r="BK179" t="str">
        <f t="shared" si="77"/>
        <v/>
      </c>
      <c r="BL179" t="str">
        <f t="shared" si="78"/>
        <v/>
      </c>
      <c r="BM179" t="str">
        <f t="shared" si="79"/>
        <v/>
      </c>
      <c r="BN179" t="str">
        <f t="shared" si="80"/>
        <v/>
      </c>
      <c r="BO179" t="str">
        <f t="shared" si="81"/>
        <v/>
      </c>
      <c r="BP179" t="str">
        <f t="shared" si="82"/>
        <v/>
      </c>
      <c r="BQ179" t="str">
        <f t="shared" si="83"/>
        <v/>
      </c>
      <c r="BR179" t="str">
        <f t="shared" si="84"/>
        <v/>
      </c>
      <c r="BS179" t="str">
        <f t="shared" si="85"/>
        <v/>
      </c>
      <c r="BT179" t="str">
        <f t="shared" si="86"/>
        <v/>
      </c>
      <c r="BU179" t="str">
        <f t="shared" si="87"/>
        <v/>
      </c>
    </row>
    <row r="180" spans="1:73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ConcatenateRange(AZ180:BU180,"||")</f>
        <v/>
      </c>
      <c r="AZ180" t="str">
        <f t="shared" si="66"/>
        <v/>
      </c>
      <c r="BA180" t="str">
        <f t="shared" si="67"/>
        <v/>
      </c>
      <c r="BB180" t="str">
        <f t="shared" si="68"/>
        <v/>
      </c>
      <c r="BC180" t="str">
        <f t="shared" si="69"/>
        <v/>
      </c>
      <c r="BD180" t="str">
        <f t="shared" si="70"/>
        <v/>
      </c>
      <c r="BE180" t="str">
        <f t="shared" si="71"/>
        <v/>
      </c>
      <c r="BF180" t="str">
        <f t="shared" si="72"/>
        <v/>
      </c>
      <c r="BG180" t="str">
        <f t="shared" si="73"/>
        <v/>
      </c>
      <c r="BH180" t="str">
        <f t="shared" si="74"/>
        <v/>
      </c>
      <c r="BI180" t="str">
        <f t="shared" si="75"/>
        <v/>
      </c>
      <c r="BJ180" t="str">
        <f t="shared" si="76"/>
        <v/>
      </c>
      <c r="BK180" t="str">
        <f t="shared" si="77"/>
        <v/>
      </c>
      <c r="BL180" t="str">
        <f t="shared" si="78"/>
        <v/>
      </c>
      <c r="BM180" t="str">
        <f t="shared" si="79"/>
        <v/>
      </c>
      <c r="BN180" t="str">
        <f t="shared" si="80"/>
        <v/>
      </c>
      <c r="BO180" t="str">
        <f t="shared" si="81"/>
        <v/>
      </c>
      <c r="BP180" t="str">
        <f t="shared" si="82"/>
        <v/>
      </c>
      <c r="BQ180" t="str">
        <f t="shared" si="83"/>
        <v/>
      </c>
      <c r="BR180" t="str">
        <f t="shared" si="84"/>
        <v/>
      </c>
      <c r="BS180" t="str">
        <f t="shared" si="85"/>
        <v/>
      </c>
      <c r="BT180" t="str">
        <f t="shared" si="86"/>
        <v/>
      </c>
      <c r="BU180" t="str">
        <f t="shared" si="87"/>
        <v/>
      </c>
    </row>
    <row r="181" spans="1:73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ConcatenateRange(AZ181:BU181,"||")</f>
        <v/>
      </c>
      <c r="AZ181" t="str">
        <f t="shared" si="66"/>
        <v/>
      </c>
      <c r="BA181" t="str">
        <f t="shared" si="67"/>
        <v/>
      </c>
      <c r="BB181" t="str">
        <f t="shared" si="68"/>
        <v/>
      </c>
      <c r="BC181" t="str">
        <f t="shared" si="69"/>
        <v/>
      </c>
      <c r="BD181" t="str">
        <f t="shared" si="70"/>
        <v/>
      </c>
      <c r="BE181" t="str">
        <f t="shared" si="71"/>
        <v/>
      </c>
      <c r="BF181" t="str">
        <f t="shared" si="72"/>
        <v/>
      </c>
      <c r="BG181" t="str">
        <f t="shared" si="73"/>
        <v/>
      </c>
      <c r="BH181" t="str">
        <f t="shared" si="74"/>
        <v/>
      </c>
      <c r="BI181" t="str">
        <f t="shared" si="75"/>
        <v/>
      </c>
      <c r="BJ181" t="str">
        <f t="shared" si="76"/>
        <v/>
      </c>
      <c r="BK181" t="str">
        <f t="shared" si="77"/>
        <v/>
      </c>
      <c r="BL181" t="str">
        <f t="shared" si="78"/>
        <v/>
      </c>
      <c r="BM181" t="str">
        <f t="shared" si="79"/>
        <v/>
      </c>
      <c r="BN181" t="str">
        <f t="shared" si="80"/>
        <v/>
      </c>
      <c r="BO181" t="str">
        <f t="shared" si="81"/>
        <v/>
      </c>
      <c r="BP181" t="str">
        <f t="shared" si="82"/>
        <v/>
      </c>
      <c r="BQ181" t="str">
        <f t="shared" si="83"/>
        <v/>
      </c>
      <c r="BR181" t="str">
        <f t="shared" si="84"/>
        <v/>
      </c>
      <c r="BS181" t="str">
        <f t="shared" si="85"/>
        <v/>
      </c>
      <c r="BT181" t="str">
        <f t="shared" si="86"/>
        <v/>
      </c>
      <c r="BU181" t="str">
        <f t="shared" si="87"/>
        <v/>
      </c>
    </row>
    <row r="182" spans="1:73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ConcatenateRange(AZ182:BU182,"||")</f>
        <v/>
      </c>
      <c r="AZ182" t="str">
        <f t="shared" ref="AZ182:AZ241" si="88">IF(AA182&lt;&gt;0,AA$2,"")</f>
        <v/>
      </c>
      <c r="BA182" t="str">
        <f t="shared" ref="BA182:BA241" si="89">IF(AB182&lt;&gt;0,AB$2,"")</f>
        <v/>
      </c>
      <c r="BB182" t="str">
        <f t="shared" ref="BB182:BB241" si="90">IF(AC182&lt;&gt;0,AC$2,"")</f>
        <v/>
      </c>
      <c r="BC182" t="str">
        <f t="shared" ref="BC182:BC241" si="91">IF(AD182&lt;&gt;0,AD$2,"")</f>
        <v/>
      </c>
      <c r="BD182" t="str">
        <f t="shared" ref="BD182:BD241" si="92">IF(AE182&lt;&gt;0,AE$2,"")</f>
        <v/>
      </c>
      <c r="BE182" t="str">
        <f t="shared" ref="BE182:BE241" si="93">IF(AF182&lt;&gt;0,AF$2,"")</f>
        <v/>
      </c>
      <c r="BF182" t="str">
        <f t="shared" ref="BF182:BF241" si="94">IF(AG182&lt;&gt;0,AG$2,"")</f>
        <v/>
      </c>
      <c r="BG182" t="str">
        <f t="shared" ref="BG182:BG241" si="95">IF(AH182&lt;&gt;0,AH$2,"")</f>
        <v/>
      </c>
      <c r="BH182" t="str">
        <f t="shared" ref="BH182:BH241" si="96">IF(AI182&lt;&gt;0,AI$2,"")</f>
        <v/>
      </c>
      <c r="BI182" t="str">
        <f t="shared" ref="BI182:BI241" si="97">IF(AJ182&lt;&gt;0,AJ$2,"")</f>
        <v/>
      </c>
      <c r="BJ182" t="str">
        <f t="shared" ref="BJ182:BJ241" si="98">IF(AK182&lt;&gt;0,AK$2,"")</f>
        <v/>
      </c>
      <c r="BK182" t="str">
        <f t="shared" ref="BK182:BK241" si="99">IF(AL182&lt;&gt;0,AL$2,"")</f>
        <v/>
      </c>
      <c r="BL182" t="str">
        <f t="shared" ref="BL182:BL241" si="100">IF(AM182&lt;&gt;0,AM$2,"")</f>
        <v/>
      </c>
      <c r="BM182" t="str">
        <f t="shared" ref="BM182:BM241" si="101">IF(AN182&lt;&gt;0,AN$2,"")</f>
        <v/>
      </c>
      <c r="BN182" t="str">
        <f t="shared" ref="BN182:BN241" si="102">IF(AO182&lt;&gt;0,AO$2,"")</f>
        <v/>
      </c>
      <c r="BO182" t="str">
        <f t="shared" ref="BO182:BO241" si="103">IF(AP182&lt;&gt;0,AP$2,"")</f>
        <v/>
      </c>
      <c r="BP182" t="str">
        <f t="shared" ref="BP182:BP241" si="104">IF(AQ182&lt;&gt;0,AQ$2,"")</f>
        <v/>
      </c>
      <c r="BQ182" t="str">
        <f t="shared" ref="BQ182:BQ241" si="105">IF(AR182&lt;&gt;0,AR$2,"")</f>
        <v/>
      </c>
      <c r="BR182" t="str">
        <f t="shared" ref="BR182:BR241" si="106">IF(AS182&lt;&gt;0,AS$2,"")</f>
        <v/>
      </c>
      <c r="BS182" t="str">
        <f t="shared" ref="BS182:BS241" si="107">IF(AT182&lt;&gt;0,AT$2,"")</f>
        <v/>
      </c>
      <c r="BT182" t="str">
        <f t="shared" ref="BT182:BT241" si="108">IF(AU182&lt;&gt;0,AU$2,"")</f>
        <v/>
      </c>
      <c r="BU182" t="str">
        <f t="shared" ref="BU182:BU241" si="109">IF(AV182&lt;&gt;0,AV$2,"")</f>
        <v/>
      </c>
    </row>
    <row r="183" spans="1:73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ConcatenateRange(AZ183:BU183,"||")</f>
        <v/>
      </c>
      <c r="AZ183" t="str">
        <f t="shared" si="88"/>
        <v/>
      </c>
      <c r="BA183" t="str">
        <f t="shared" si="89"/>
        <v/>
      </c>
      <c r="BB183" t="str">
        <f t="shared" si="90"/>
        <v/>
      </c>
      <c r="BC183" t="str">
        <f t="shared" si="91"/>
        <v/>
      </c>
      <c r="BD183" t="str">
        <f t="shared" si="92"/>
        <v/>
      </c>
      <c r="BE183" t="str">
        <f t="shared" si="93"/>
        <v/>
      </c>
      <c r="BF183" t="str">
        <f t="shared" si="94"/>
        <v/>
      </c>
      <c r="BG183" t="str">
        <f t="shared" si="95"/>
        <v/>
      </c>
      <c r="BH183" t="str">
        <f t="shared" si="96"/>
        <v/>
      </c>
      <c r="BI183" t="str">
        <f t="shared" si="97"/>
        <v/>
      </c>
      <c r="BJ183" t="str">
        <f t="shared" si="98"/>
        <v/>
      </c>
      <c r="BK183" t="str">
        <f t="shared" si="99"/>
        <v/>
      </c>
      <c r="BL183" t="str">
        <f t="shared" si="100"/>
        <v/>
      </c>
      <c r="BM183" t="str">
        <f t="shared" si="101"/>
        <v/>
      </c>
      <c r="BN183" t="str">
        <f t="shared" si="102"/>
        <v/>
      </c>
      <c r="BO183" t="str">
        <f t="shared" si="103"/>
        <v/>
      </c>
      <c r="BP183" t="str">
        <f t="shared" si="104"/>
        <v/>
      </c>
      <c r="BQ183" t="str">
        <f t="shared" si="105"/>
        <v/>
      </c>
      <c r="BR183" t="str">
        <f t="shared" si="106"/>
        <v/>
      </c>
      <c r="BS183" t="str">
        <f t="shared" si="107"/>
        <v/>
      </c>
      <c r="BT183" t="str">
        <f t="shared" si="108"/>
        <v/>
      </c>
      <c r="BU183" t="str">
        <f t="shared" si="109"/>
        <v/>
      </c>
    </row>
    <row r="184" spans="1:73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ConcatenateRange(AZ184:BU184,"||")</f>
        <v/>
      </c>
      <c r="AZ184" t="str">
        <f t="shared" si="88"/>
        <v/>
      </c>
      <c r="BA184" t="str">
        <f t="shared" si="89"/>
        <v/>
      </c>
      <c r="BB184" t="str">
        <f t="shared" si="90"/>
        <v/>
      </c>
      <c r="BC184" t="str">
        <f t="shared" si="91"/>
        <v/>
      </c>
      <c r="BD184" t="str">
        <f t="shared" si="92"/>
        <v/>
      </c>
      <c r="BE184" t="str">
        <f t="shared" si="93"/>
        <v/>
      </c>
      <c r="BF184" t="str">
        <f t="shared" si="94"/>
        <v/>
      </c>
      <c r="BG184" t="str">
        <f t="shared" si="95"/>
        <v/>
      </c>
      <c r="BH184" t="str">
        <f t="shared" si="96"/>
        <v/>
      </c>
      <c r="BI184" t="str">
        <f t="shared" si="97"/>
        <v/>
      </c>
      <c r="BJ184" t="str">
        <f t="shared" si="98"/>
        <v/>
      </c>
      <c r="BK184" t="str">
        <f t="shared" si="99"/>
        <v/>
      </c>
      <c r="BL184" t="str">
        <f t="shared" si="100"/>
        <v/>
      </c>
      <c r="BM184" t="str">
        <f t="shared" si="101"/>
        <v/>
      </c>
      <c r="BN184" t="str">
        <f t="shared" si="102"/>
        <v/>
      </c>
      <c r="BO184" t="str">
        <f t="shared" si="103"/>
        <v/>
      </c>
      <c r="BP184" t="str">
        <f t="shared" si="104"/>
        <v/>
      </c>
      <c r="BQ184" t="str">
        <f t="shared" si="105"/>
        <v/>
      </c>
      <c r="BR184" t="str">
        <f t="shared" si="106"/>
        <v/>
      </c>
      <c r="BS184" t="str">
        <f t="shared" si="107"/>
        <v/>
      </c>
      <c r="BT184" t="str">
        <f t="shared" si="108"/>
        <v/>
      </c>
      <c r="BU184" t="str">
        <f t="shared" si="109"/>
        <v/>
      </c>
    </row>
    <row r="185" spans="1:73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ConcatenateRange(AZ185:BU185,"||")</f>
        <v/>
      </c>
      <c r="AZ185" t="str">
        <f t="shared" si="88"/>
        <v/>
      </c>
      <c r="BA185" t="str">
        <f t="shared" si="89"/>
        <v/>
      </c>
      <c r="BB185" t="str">
        <f t="shared" si="90"/>
        <v/>
      </c>
      <c r="BC185" t="str">
        <f t="shared" si="91"/>
        <v/>
      </c>
      <c r="BD185" t="str">
        <f t="shared" si="92"/>
        <v/>
      </c>
      <c r="BE185" t="str">
        <f t="shared" si="93"/>
        <v/>
      </c>
      <c r="BF185" t="str">
        <f t="shared" si="94"/>
        <v/>
      </c>
      <c r="BG185" t="str">
        <f t="shared" si="95"/>
        <v/>
      </c>
      <c r="BH185" t="str">
        <f t="shared" si="96"/>
        <v/>
      </c>
      <c r="BI185" t="str">
        <f t="shared" si="97"/>
        <v/>
      </c>
      <c r="BJ185" t="str">
        <f t="shared" si="98"/>
        <v/>
      </c>
      <c r="BK185" t="str">
        <f t="shared" si="99"/>
        <v/>
      </c>
      <c r="BL185" t="str">
        <f t="shared" si="100"/>
        <v/>
      </c>
      <c r="BM185" t="str">
        <f t="shared" si="101"/>
        <v/>
      </c>
      <c r="BN185" t="str">
        <f t="shared" si="102"/>
        <v/>
      </c>
      <c r="BO185" t="str">
        <f t="shared" si="103"/>
        <v/>
      </c>
      <c r="BP185" t="str">
        <f t="shared" si="104"/>
        <v/>
      </c>
      <c r="BQ185" t="str">
        <f t="shared" si="105"/>
        <v/>
      </c>
      <c r="BR185" t="str">
        <f t="shared" si="106"/>
        <v/>
      </c>
      <c r="BS185" t="str">
        <f t="shared" si="107"/>
        <v/>
      </c>
      <c r="BT185" t="str">
        <f t="shared" si="108"/>
        <v/>
      </c>
      <c r="BU185" t="str">
        <f t="shared" si="109"/>
        <v/>
      </c>
    </row>
    <row r="186" spans="1:73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ConcatenateRange(AZ186:BU186,"||")</f>
        <v/>
      </c>
      <c r="AZ186" t="str">
        <f t="shared" si="88"/>
        <v/>
      </c>
      <c r="BA186" t="str">
        <f t="shared" si="89"/>
        <v/>
      </c>
      <c r="BB186" t="str">
        <f t="shared" si="90"/>
        <v/>
      </c>
      <c r="BC186" t="str">
        <f t="shared" si="91"/>
        <v/>
      </c>
      <c r="BD186" t="str">
        <f t="shared" si="92"/>
        <v/>
      </c>
      <c r="BE186" t="str">
        <f t="shared" si="93"/>
        <v/>
      </c>
      <c r="BF186" t="str">
        <f t="shared" si="94"/>
        <v/>
      </c>
      <c r="BG186" t="str">
        <f t="shared" si="95"/>
        <v/>
      </c>
      <c r="BH186" t="str">
        <f t="shared" si="96"/>
        <v/>
      </c>
      <c r="BI186" t="str">
        <f t="shared" si="97"/>
        <v/>
      </c>
      <c r="BJ186" t="str">
        <f t="shared" si="98"/>
        <v/>
      </c>
      <c r="BK186" t="str">
        <f t="shared" si="99"/>
        <v/>
      </c>
      <c r="BL186" t="str">
        <f t="shared" si="100"/>
        <v/>
      </c>
      <c r="BM186" t="str">
        <f t="shared" si="101"/>
        <v/>
      </c>
      <c r="BN186" t="str">
        <f t="shared" si="102"/>
        <v/>
      </c>
      <c r="BO186" t="str">
        <f t="shared" si="103"/>
        <v/>
      </c>
      <c r="BP186" t="str">
        <f t="shared" si="104"/>
        <v/>
      </c>
      <c r="BQ186" t="str">
        <f t="shared" si="105"/>
        <v/>
      </c>
      <c r="BR186" t="str">
        <f t="shared" si="106"/>
        <v/>
      </c>
      <c r="BS186" t="str">
        <f t="shared" si="107"/>
        <v/>
      </c>
      <c r="BT186" t="str">
        <f t="shared" si="108"/>
        <v/>
      </c>
      <c r="BU186" t="str">
        <f t="shared" si="109"/>
        <v/>
      </c>
    </row>
    <row r="187" spans="1:73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ConcatenateRange(AZ187:BU187,"||")</f>
        <v/>
      </c>
      <c r="AZ187" t="str">
        <f t="shared" si="88"/>
        <v/>
      </c>
      <c r="BA187" t="str">
        <f t="shared" si="89"/>
        <v/>
      </c>
      <c r="BB187" t="str">
        <f t="shared" si="90"/>
        <v/>
      </c>
      <c r="BC187" t="str">
        <f t="shared" si="91"/>
        <v/>
      </c>
      <c r="BD187" t="str">
        <f t="shared" si="92"/>
        <v/>
      </c>
      <c r="BE187" t="str">
        <f t="shared" si="93"/>
        <v/>
      </c>
      <c r="BF187" t="str">
        <f t="shared" si="94"/>
        <v/>
      </c>
      <c r="BG187" t="str">
        <f t="shared" si="95"/>
        <v/>
      </c>
      <c r="BH187" t="str">
        <f t="shared" si="96"/>
        <v/>
      </c>
      <c r="BI187" t="str">
        <f t="shared" si="97"/>
        <v/>
      </c>
      <c r="BJ187" t="str">
        <f t="shared" si="98"/>
        <v/>
      </c>
      <c r="BK187" t="str">
        <f t="shared" si="99"/>
        <v/>
      </c>
      <c r="BL187" t="str">
        <f t="shared" si="100"/>
        <v/>
      </c>
      <c r="BM187" t="str">
        <f t="shared" si="101"/>
        <v/>
      </c>
      <c r="BN187" t="str">
        <f t="shared" si="102"/>
        <v/>
      </c>
      <c r="BO187" t="str">
        <f t="shared" si="103"/>
        <v/>
      </c>
      <c r="BP187" t="str">
        <f t="shared" si="104"/>
        <v/>
      </c>
      <c r="BQ187" t="str">
        <f t="shared" si="105"/>
        <v/>
      </c>
      <c r="BR187" t="str">
        <f t="shared" si="106"/>
        <v/>
      </c>
      <c r="BS187" t="str">
        <f t="shared" si="107"/>
        <v/>
      </c>
      <c r="BT187" t="str">
        <f t="shared" si="108"/>
        <v/>
      </c>
      <c r="BU187" t="str">
        <f t="shared" si="109"/>
        <v/>
      </c>
    </row>
    <row r="188" spans="1:73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ConcatenateRange(AZ188:BU188,"||")</f>
        <v/>
      </c>
      <c r="AZ188" t="str">
        <f t="shared" si="88"/>
        <v/>
      </c>
      <c r="BA188" t="str">
        <f t="shared" si="89"/>
        <v/>
      </c>
      <c r="BB188" t="str">
        <f t="shared" si="90"/>
        <v/>
      </c>
      <c r="BC188" t="str">
        <f t="shared" si="91"/>
        <v/>
      </c>
      <c r="BD188" t="str">
        <f t="shared" si="92"/>
        <v/>
      </c>
      <c r="BE188" t="str">
        <f t="shared" si="93"/>
        <v/>
      </c>
      <c r="BF188" t="str">
        <f t="shared" si="94"/>
        <v/>
      </c>
      <c r="BG188" t="str">
        <f t="shared" si="95"/>
        <v/>
      </c>
      <c r="BH188" t="str">
        <f t="shared" si="96"/>
        <v/>
      </c>
      <c r="BI188" t="str">
        <f t="shared" si="97"/>
        <v/>
      </c>
      <c r="BJ188" t="str">
        <f t="shared" si="98"/>
        <v/>
      </c>
      <c r="BK188" t="str">
        <f t="shared" si="99"/>
        <v/>
      </c>
      <c r="BL188" t="str">
        <f t="shared" si="100"/>
        <v/>
      </c>
      <c r="BM188" t="str">
        <f t="shared" si="101"/>
        <v/>
      </c>
      <c r="BN188" t="str">
        <f t="shared" si="102"/>
        <v/>
      </c>
      <c r="BO188" t="str">
        <f t="shared" si="103"/>
        <v/>
      </c>
      <c r="BP188" t="str">
        <f t="shared" si="104"/>
        <v/>
      </c>
      <c r="BQ188" t="str">
        <f t="shared" si="105"/>
        <v/>
      </c>
      <c r="BR188" t="str">
        <f t="shared" si="106"/>
        <v/>
      </c>
      <c r="BS188" t="str">
        <f t="shared" si="107"/>
        <v/>
      </c>
      <c r="BT188" t="str">
        <f t="shared" si="108"/>
        <v/>
      </c>
      <c r="BU188" t="str">
        <f t="shared" si="109"/>
        <v/>
      </c>
    </row>
    <row r="189" spans="1:73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ConcatenateRange(AZ189:BU189,"||")</f>
        <v/>
      </c>
      <c r="AZ189" t="str">
        <f t="shared" si="88"/>
        <v/>
      </c>
      <c r="BA189" t="str">
        <f t="shared" si="89"/>
        <v/>
      </c>
      <c r="BB189" t="str">
        <f t="shared" si="90"/>
        <v/>
      </c>
      <c r="BC189" t="str">
        <f t="shared" si="91"/>
        <v/>
      </c>
      <c r="BD189" t="str">
        <f t="shared" si="92"/>
        <v/>
      </c>
      <c r="BE189" t="str">
        <f t="shared" si="93"/>
        <v/>
      </c>
      <c r="BF189" t="str">
        <f t="shared" si="94"/>
        <v/>
      </c>
      <c r="BG189" t="str">
        <f t="shared" si="95"/>
        <v/>
      </c>
      <c r="BH189" t="str">
        <f t="shared" si="96"/>
        <v/>
      </c>
      <c r="BI189" t="str">
        <f t="shared" si="97"/>
        <v/>
      </c>
      <c r="BJ189" t="str">
        <f t="shared" si="98"/>
        <v/>
      </c>
      <c r="BK189" t="str">
        <f t="shared" si="99"/>
        <v/>
      </c>
      <c r="BL189" t="str">
        <f t="shared" si="100"/>
        <v/>
      </c>
      <c r="BM189" t="str">
        <f t="shared" si="101"/>
        <v/>
      </c>
      <c r="BN189" t="str">
        <f t="shared" si="102"/>
        <v/>
      </c>
      <c r="BO189" t="str">
        <f t="shared" si="103"/>
        <v/>
      </c>
      <c r="BP189" t="str">
        <f t="shared" si="104"/>
        <v/>
      </c>
      <c r="BQ189" t="str">
        <f t="shared" si="105"/>
        <v/>
      </c>
      <c r="BR189" t="str">
        <f t="shared" si="106"/>
        <v/>
      </c>
      <c r="BS189" t="str">
        <f t="shared" si="107"/>
        <v/>
      </c>
      <c r="BT189" t="str">
        <f t="shared" si="108"/>
        <v/>
      </c>
      <c r="BU189" t="str">
        <f t="shared" si="109"/>
        <v/>
      </c>
    </row>
    <row r="190" spans="1:73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ConcatenateRange(AZ190:BU190,"||")</f>
        <v/>
      </c>
      <c r="AZ190" t="str">
        <f t="shared" si="88"/>
        <v/>
      </c>
      <c r="BA190" t="str">
        <f t="shared" si="89"/>
        <v/>
      </c>
      <c r="BB190" t="str">
        <f t="shared" si="90"/>
        <v/>
      </c>
      <c r="BC190" t="str">
        <f t="shared" si="91"/>
        <v/>
      </c>
      <c r="BD190" t="str">
        <f t="shared" si="92"/>
        <v/>
      </c>
      <c r="BE190" t="str">
        <f t="shared" si="93"/>
        <v/>
      </c>
      <c r="BF190" t="str">
        <f t="shared" si="94"/>
        <v/>
      </c>
      <c r="BG190" t="str">
        <f t="shared" si="95"/>
        <v/>
      </c>
      <c r="BH190" t="str">
        <f t="shared" si="96"/>
        <v/>
      </c>
      <c r="BI190" t="str">
        <f t="shared" si="97"/>
        <v/>
      </c>
      <c r="BJ190" t="str">
        <f t="shared" si="98"/>
        <v/>
      </c>
      <c r="BK190" t="str">
        <f t="shared" si="99"/>
        <v/>
      </c>
      <c r="BL190" t="str">
        <f t="shared" si="100"/>
        <v/>
      </c>
      <c r="BM190" t="str">
        <f t="shared" si="101"/>
        <v/>
      </c>
      <c r="BN190" t="str">
        <f t="shared" si="102"/>
        <v/>
      </c>
      <c r="BO190" t="str">
        <f t="shared" si="103"/>
        <v/>
      </c>
      <c r="BP190" t="str">
        <f t="shared" si="104"/>
        <v/>
      </c>
      <c r="BQ190" t="str">
        <f t="shared" si="105"/>
        <v/>
      </c>
      <c r="BR190" t="str">
        <f t="shared" si="106"/>
        <v/>
      </c>
      <c r="BS190" t="str">
        <f t="shared" si="107"/>
        <v/>
      </c>
      <c r="BT190" t="str">
        <f t="shared" si="108"/>
        <v/>
      </c>
      <c r="BU190" t="str">
        <f t="shared" si="109"/>
        <v/>
      </c>
    </row>
    <row r="191" spans="1:73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ConcatenateRange(AZ191:BU191,"||")</f>
        <v/>
      </c>
      <c r="AZ191" t="str">
        <f t="shared" si="88"/>
        <v/>
      </c>
      <c r="BA191" t="str">
        <f t="shared" si="89"/>
        <v/>
      </c>
      <c r="BB191" t="str">
        <f t="shared" si="90"/>
        <v/>
      </c>
      <c r="BC191" t="str">
        <f t="shared" si="91"/>
        <v/>
      </c>
      <c r="BD191" t="str">
        <f t="shared" si="92"/>
        <v/>
      </c>
      <c r="BE191" t="str">
        <f t="shared" si="93"/>
        <v/>
      </c>
      <c r="BF191" t="str">
        <f t="shared" si="94"/>
        <v/>
      </c>
      <c r="BG191" t="str">
        <f t="shared" si="95"/>
        <v/>
      </c>
      <c r="BH191" t="str">
        <f t="shared" si="96"/>
        <v/>
      </c>
      <c r="BI191" t="str">
        <f t="shared" si="97"/>
        <v/>
      </c>
      <c r="BJ191" t="str">
        <f t="shared" si="98"/>
        <v/>
      </c>
      <c r="BK191" t="str">
        <f t="shared" si="99"/>
        <v/>
      </c>
      <c r="BL191" t="str">
        <f t="shared" si="100"/>
        <v/>
      </c>
      <c r="BM191" t="str">
        <f t="shared" si="101"/>
        <v/>
      </c>
      <c r="BN191" t="str">
        <f t="shared" si="102"/>
        <v/>
      </c>
      <c r="BO191" t="str">
        <f t="shared" si="103"/>
        <v/>
      </c>
      <c r="BP191" t="str">
        <f t="shared" si="104"/>
        <v/>
      </c>
      <c r="BQ191" t="str">
        <f t="shared" si="105"/>
        <v/>
      </c>
      <c r="BR191" t="str">
        <f t="shared" si="106"/>
        <v/>
      </c>
      <c r="BS191" t="str">
        <f t="shared" si="107"/>
        <v/>
      </c>
      <c r="BT191" t="str">
        <f t="shared" si="108"/>
        <v/>
      </c>
      <c r="BU191" t="str">
        <f t="shared" si="109"/>
        <v/>
      </c>
    </row>
    <row r="192" spans="1:73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ConcatenateRange(AZ192:BU192,"||")</f>
        <v/>
      </c>
      <c r="AZ192" t="str">
        <f t="shared" si="88"/>
        <v/>
      </c>
      <c r="BA192" t="str">
        <f t="shared" si="89"/>
        <v/>
      </c>
      <c r="BB192" t="str">
        <f t="shared" si="90"/>
        <v/>
      </c>
      <c r="BC192" t="str">
        <f t="shared" si="91"/>
        <v/>
      </c>
      <c r="BD192" t="str">
        <f t="shared" si="92"/>
        <v/>
      </c>
      <c r="BE192" t="str">
        <f t="shared" si="93"/>
        <v/>
      </c>
      <c r="BF192" t="str">
        <f t="shared" si="94"/>
        <v/>
      </c>
      <c r="BG192" t="str">
        <f t="shared" si="95"/>
        <v/>
      </c>
      <c r="BH192" t="str">
        <f t="shared" si="96"/>
        <v/>
      </c>
      <c r="BI192" t="str">
        <f t="shared" si="97"/>
        <v/>
      </c>
      <c r="BJ192" t="str">
        <f t="shared" si="98"/>
        <v/>
      </c>
      <c r="BK192" t="str">
        <f t="shared" si="99"/>
        <v/>
      </c>
      <c r="BL192" t="str">
        <f t="shared" si="100"/>
        <v/>
      </c>
      <c r="BM192" t="str">
        <f t="shared" si="101"/>
        <v/>
      </c>
      <c r="BN192" t="str">
        <f t="shared" si="102"/>
        <v/>
      </c>
      <c r="BO192" t="str">
        <f t="shared" si="103"/>
        <v/>
      </c>
      <c r="BP192" t="str">
        <f t="shared" si="104"/>
        <v/>
      </c>
      <c r="BQ192" t="str">
        <f t="shared" si="105"/>
        <v/>
      </c>
      <c r="BR192" t="str">
        <f t="shared" si="106"/>
        <v/>
      </c>
      <c r="BS192" t="str">
        <f t="shared" si="107"/>
        <v/>
      </c>
      <c r="BT192" t="str">
        <f t="shared" si="108"/>
        <v/>
      </c>
      <c r="BU192" t="str">
        <f t="shared" si="109"/>
        <v/>
      </c>
    </row>
    <row r="193" spans="1:73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ConcatenateRange(AZ193:BU193,"||")</f>
        <v/>
      </c>
      <c r="AZ193" t="str">
        <f t="shared" si="88"/>
        <v/>
      </c>
      <c r="BA193" t="str">
        <f t="shared" si="89"/>
        <v/>
      </c>
      <c r="BB193" t="str">
        <f t="shared" si="90"/>
        <v/>
      </c>
      <c r="BC193" t="str">
        <f t="shared" si="91"/>
        <v/>
      </c>
      <c r="BD193" t="str">
        <f t="shared" si="92"/>
        <v/>
      </c>
      <c r="BE193" t="str">
        <f t="shared" si="93"/>
        <v/>
      </c>
      <c r="BF193" t="str">
        <f t="shared" si="94"/>
        <v/>
      </c>
      <c r="BG193" t="str">
        <f t="shared" si="95"/>
        <v/>
      </c>
      <c r="BH193" t="str">
        <f t="shared" si="96"/>
        <v/>
      </c>
      <c r="BI193" t="str">
        <f t="shared" si="97"/>
        <v/>
      </c>
      <c r="BJ193" t="str">
        <f t="shared" si="98"/>
        <v/>
      </c>
      <c r="BK193" t="str">
        <f t="shared" si="99"/>
        <v/>
      </c>
      <c r="BL193" t="str">
        <f t="shared" si="100"/>
        <v/>
      </c>
      <c r="BM193" t="str">
        <f t="shared" si="101"/>
        <v/>
      </c>
      <c r="BN193" t="str">
        <f t="shared" si="102"/>
        <v/>
      </c>
      <c r="BO193" t="str">
        <f t="shared" si="103"/>
        <v/>
      </c>
      <c r="BP193" t="str">
        <f t="shared" si="104"/>
        <v/>
      </c>
      <c r="BQ193" t="str">
        <f t="shared" si="105"/>
        <v/>
      </c>
      <c r="BR193" t="str">
        <f t="shared" si="106"/>
        <v/>
      </c>
      <c r="BS193" t="str">
        <f t="shared" si="107"/>
        <v/>
      </c>
      <c r="BT193" t="str">
        <f t="shared" si="108"/>
        <v/>
      </c>
      <c r="BU193" t="str">
        <f t="shared" si="109"/>
        <v/>
      </c>
    </row>
    <row r="194" spans="1:73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ConcatenateRange(AZ194:BU194,"||")</f>
        <v/>
      </c>
      <c r="AZ194" t="str">
        <f t="shared" si="88"/>
        <v/>
      </c>
      <c r="BA194" t="str">
        <f t="shared" si="89"/>
        <v/>
      </c>
      <c r="BB194" t="str">
        <f t="shared" si="90"/>
        <v/>
      </c>
      <c r="BC194" t="str">
        <f t="shared" si="91"/>
        <v/>
      </c>
      <c r="BD194" t="str">
        <f t="shared" si="92"/>
        <v/>
      </c>
      <c r="BE194" t="str">
        <f t="shared" si="93"/>
        <v/>
      </c>
      <c r="BF194" t="str">
        <f t="shared" si="94"/>
        <v/>
      </c>
      <c r="BG194" t="str">
        <f t="shared" si="95"/>
        <v/>
      </c>
      <c r="BH194" t="str">
        <f t="shared" si="96"/>
        <v/>
      </c>
      <c r="BI194" t="str">
        <f t="shared" si="97"/>
        <v/>
      </c>
      <c r="BJ194" t="str">
        <f t="shared" si="98"/>
        <v/>
      </c>
      <c r="BK194" t="str">
        <f t="shared" si="99"/>
        <v/>
      </c>
      <c r="BL194" t="str">
        <f t="shared" si="100"/>
        <v/>
      </c>
      <c r="BM194" t="str">
        <f t="shared" si="101"/>
        <v/>
      </c>
      <c r="BN194" t="str">
        <f t="shared" si="102"/>
        <v/>
      </c>
      <c r="BO194" t="str">
        <f t="shared" si="103"/>
        <v/>
      </c>
      <c r="BP194" t="str">
        <f t="shared" si="104"/>
        <v/>
      </c>
      <c r="BQ194" t="str">
        <f t="shared" si="105"/>
        <v/>
      </c>
      <c r="BR194" t="str">
        <f t="shared" si="106"/>
        <v/>
      </c>
      <c r="BS194" t="str">
        <f t="shared" si="107"/>
        <v/>
      </c>
      <c r="BT194" t="str">
        <f t="shared" si="108"/>
        <v/>
      </c>
      <c r="BU194" t="str">
        <f t="shared" si="109"/>
        <v/>
      </c>
    </row>
    <row r="195" spans="1:73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ConcatenateRange(AZ195:BU195,"||")</f>
        <v/>
      </c>
      <c r="AZ195" t="str">
        <f t="shared" si="88"/>
        <v/>
      </c>
      <c r="BA195" t="str">
        <f t="shared" si="89"/>
        <v/>
      </c>
      <c r="BB195" t="str">
        <f t="shared" si="90"/>
        <v/>
      </c>
      <c r="BC195" t="str">
        <f t="shared" si="91"/>
        <v/>
      </c>
      <c r="BD195" t="str">
        <f t="shared" si="92"/>
        <v/>
      </c>
      <c r="BE195" t="str">
        <f t="shared" si="93"/>
        <v/>
      </c>
      <c r="BF195" t="str">
        <f t="shared" si="94"/>
        <v/>
      </c>
      <c r="BG195" t="str">
        <f t="shared" si="95"/>
        <v/>
      </c>
      <c r="BH195" t="str">
        <f t="shared" si="96"/>
        <v/>
      </c>
      <c r="BI195" t="str">
        <f t="shared" si="97"/>
        <v/>
      </c>
      <c r="BJ195" t="str">
        <f t="shared" si="98"/>
        <v/>
      </c>
      <c r="BK195" t="str">
        <f t="shared" si="99"/>
        <v/>
      </c>
      <c r="BL195" t="str">
        <f t="shared" si="100"/>
        <v/>
      </c>
      <c r="BM195" t="str">
        <f t="shared" si="101"/>
        <v/>
      </c>
      <c r="BN195" t="str">
        <f t="shared" si="102"/>
        <v/>
      </c>
      <c r="BO195" t="str">
        <f t="shared" si="103"/>
        <v/>
      </c>
      <c r="BP195" t="str">
        <f t="shared" si="104"/>
        <v/>
      </c>
      <c r="BQ195" t="str">
        <f t="shared" si="105"/>
        <v/>
      </c>
      <c r="BR195" t="str">
        <f t="shared" si="106"/>
        <v/>
      </c>
      <c r="BS195" t="str">
        <f t="shared" si="107"/>
        <v/>
      </c>
      <c r="BT195" t="str">
        <f t="shared" si="108"/>
        <v/>
      </c>
      <c r="BU195" t="str">
        <f t="shared" si="109"/>
        <v/>
      </c>
    </row>
    <row r="196" spans="1:73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ConcatenateRange(AZ196:BU196,"||")</f>
        <v/>
      </c>
      <c r="AZ196" t="str">
        <f t="shared" si="88"/>
        <v/>
      </c>
      <c r="BA196" t="str">
        <f t="shared" si="89"/>
        <v/>
      </c>
      <c r="BB196" t="str">
        <f t="shared" si="90"/>
        <v/>
      </c>
      <c r="BC196" t="str">
        <f t="shared" si="91"/>
        <v/>
      </c>
      <c r="BD196" t="str">
        <f t="shared" si="92"/>
        <v/>
      </c>
      <c r="BE196" t="str">
        <f t="shared" si="93"/>
        <v/>
      </c>
      <c r="BF196" t="str">
        <f t="shared" si="94"/>
        <v/>
      </c>
      <c r="BG196" t="str">
        <f t="shared" si="95"/>
        <v/>
      </c>
      <c r="BH196" t="str">
        <f t="shared" si="96"/>
        <v/>
      </c>
      <c r="BI196" t="str">
        <f t="shared" si="97"/>
        <v/>
      </c>
      <c r="BJ196" t="str">
        <f t="shared" si="98"/>
        <v/>
      </c>
      <c r="BK196" t="str">
        <f t="shared" si="99"/>
        <v/>
      </c>
      <c r="BL196" t="str">
        <f t="shared" si="100"/>
        <v/>
      </c>
      <c r="BM196" t="str">
        <f t="shared" si="101"/>
        <v/>
      </c>
      <c r="BN196" t="str">
        <f t="shared" si="102"/>
        <v/>
      </c>
      <c r="BO196" t="str">
        <f t="shared" si="103"/>
        <v/>
      </c>
      <c r="BP196" t="str">
        <f t="shared" si="104"/>
        <v/>
      </c>
      <c r="BQ196" t="str">
        <f t="shared" si="105"/>
        <v/>
      </c>
      <c r="BR196" t="str">
        <f t="shared" si="106"/>
        <v/>
      </c>
      <c r="BS196" t="str">
        <f t="shared" si="107"/>
        <v/>
      </c>
      <c r="BT196" t="str">
        <f t="shared" si="108"/>
        <v/>
      </c>
      <c r="BU196" t="str">
        <f t="shared" si="109"/>
        <v/>
      </c>
    </row>
    <row r="197" spans="1:73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ConcatenateRange(AZ197:BU197,"||")</f>
        <v/>
      </c>
      <c r="AZ197" t="str">
        <f t="shared" si="88"/>
        <v/>
      </c>
      <c r="BA197" t="str">
        <f t="shared" si="89"/>
        <v/>
      </c>
      <c r="BB197" t="str">
        <f t="shared" si="90"/>
        <v/>
      </c>
      <c r="BC197" t="str">
        <f t="shared" si="91"/>
        <v/>
      </c>
      <c r="BD197" t="str">
        <f t="shared" si="92"/>
        <v/>
      </c>
      <c r="BE197" t="str">
        <f t="shared" si="93"/>
        <v/>
      </c>
      <c r="BF197" t="str">
        <f t="shared" si="94"/>
        <v/>
      </c>
      <c r="BG197" t="str">
        <f t="shared" si="95"/>
        <v/>
      </c>
      <c r="BH197" t="str">
        <f t="shared" si="96"/>
        <v/>
      </c>
      <c r="BI197" t="str">
        <f t="shared" si="97"/>
        <v/>
      </c>
      <c r="BJ197" t="str">
        <f t="shared" si="98"/>
        <v/>
      </c>
      <c r="BK197" t="str">
        <f t="shared" si="99"/>
        <v/>
      </c>
      <c r="BL197" t="str">
        <f t="shared" si="100"/>
        <v/>
      </c>
      <c r="BM197" t="str">
        <f t="shared" si="101"/>
        <v/>
      </c>
      <c r="BN197" t="str">
        <f t="shared" si="102"/>
        <v/>
      </c>
      <c r="BO197" t="str">
        <f t="shared" si="103"/>
        <v/>
      </c>
      <c r="BP197" t="str">
        <f t="shared" si="104"/>
        <v/>
      </c>
      <c r="BQ197" t="str">
        <f t="shared" si="105"/>
        <v/>
      </c>
      <c r="BR197" t="str">
        <f t="shared" si="106"/>
        <v/>
      </c>
      <c r="BS197" t="str">
        <f t="shared" si="107"/>
        <v/>
      </c>
      <c r="BT197" t="str">
        <f t="shared" si="108"/>
        <v/>
      </c>
      <c r="BU197" t="str">
        <f t="shared" si="109"/>
        <v/>
      </c>
    </row>
    <row r="198" spans="1:73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ConcatenateRange(AZ198:BU198,"||")</f>
        <v/>
      </c>
      <c r="AZ198" t="str">
        <f t="shared" si="88"/>
        <v/>
      </c>
      <c r="BA198" t="str">
        <f t="shared" si="89"/>
        <v/>
      </c>
      <c r="BB198" t="str">
        <f t="shared" si="90"/>
        <v/>
      </c>
      <c r="BC198" t="str">
        <f t="shared" si="91"/>
        <v/>
      </c>
      <c r="BD198" t="str">
        <f t="shared" si="92"/>
        <v/>
      </c>
      <c r="BE198" t="str">
        <f t="shared" si="93"/>
        <v/>
      </c>
      <c r="BF198" t="str">
        <f t="shared" si="94"/>
        <v/>
      </c>
      <c r="BG198" t="str">
        <f t="shared" si="95"/>
        <v/>
      </c>
      <c r="BH198" t="str">
        <f t="shared" si="96"/>
        <v/>
      </c>
      <c r="BI198" t="str">
        <f t="shared" si="97"/>
        <v/>
      </c>
      <c r="BJ198" t="str">
        <f t="shared" si="98"/>
        <v/>
      </c>
      <c r="BK198" t="str">
        <f t="shared" si="99"/>
        <v/>
      </c>
      <c r="BL198" t="str">
        <f t="shared" si="100"/>
        <v/>
      </c>
      <c r="BM198" t="str">
        <f t="shared" si="101"/>
        <v/>
      </c>
      <c r="BN198" t="str">
        <f t="shared" si="102"/>
        <v/>
      </c>
      <c r="BO198" t="str">
        <f t="shared" si="103"/>
        <v/>
      </c>
      <c r="BP198" t="str">
        <f t="shared" si="104"/>
        <v/>
      </c>
      <c r="BQ198" t="str">
        <f t="shared" si="105"/>
        <v/>
      </c>
      <c r="BR198" t="str">
        <f t="shared" si="106"/>
        <v/>
      </c>
      <c r="BS198" t="str">
        <f t="shared" si="107"/>
        <v/>
      </c>
      <c r="BT198" t="str">
        <f t="shared" si="108"/>
        <v/>
      </c>
      <c r="BU198" t="str">
        <f t="shared" si="109"/>
        <v/>
      </c>
    </row>
    <row r="199" spans="1:73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AZ199" t="str">
        <f t="shared" si="88"/>
        <v/>
      </c>
      <c r="BA199" t="str">
        <f t="shared" si="89"/>
        <v/>
      </c>
      <c r="BB199" t="str">
        <f t="shared" si="90"/>
        <v/>
      </c>
      <c r="BC199" t="str">
        <f t="shared" si="91"/>
        <v/>
      </c>
      <c r="BD199" t="str">
        <f t="shared" si="92"/>
        <v/>
      </c>
      <c r="BE199" t="str">
        <f t="shared" si="93"/>
        <v/>
      </c>
      <c r="BF199" t="str">
        <f t="shared" si="94"/>
        <v/>
      </c>
      <c r="BG199" t="str">
        <f t="shared" si="95"/>
        <v/>
      </c>
      <c r="BH199" t="str">
        <f t="shared" si="96"/>
        <v/>
      </c>
      <c r="BI199" t="str">
        <f t="shared" si="97"/>
        <v/>
      </c>
      <c r="BJ199" t="str">
        <f t="shared" si="98"/>
        <v/>
      </c>
      <c r="BK199" t="str">
        <f t="shared" si="99"/>
        <v/>
      </c>
      <c r="BL199" t="str">
        <f t="shared" si="100"/>
        <v/>
      </c>
      <c r="BM199" t="str">
        <f t="shared" si="101"/>
        <v/>
      </c>
      <c r="BN199" t="str">
        <f t="shared" si="102"/>
        <v/>
      </c>
      <c r="BO199" t="str">
        <f t="shared" si="103"/>
        <v/>
      </c>
      <c r="BP199" t="str">
        <f t="shared" si="104"/>
        <v/>
      </c>
      <c r="BQ199" t="str">
        <f t="shared" si="105"/>
        <v/>
      </c>
      <c r="BR199" t="str">
        <f t="shared" si="106"/>
        <v/>
      </c>
      <c r="BS199" t="str">
        <f t="shared" si="107"/>
        <v/>
      </c>
      <c r="BT199" t="str">
        <f t="shared" si="108"/>
        <v/>
      </c>
      <c r="BU199" t="str">
        <f t="shared" si="109"/>
        <v/>
      </c>
    </row>
    <row r="200" spans="1:73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AZ200" t="str">
        <f t="shared" si="88"/>
        <v/>
      </c>
      <c r="BA200" t="str">
        <f t="shared" si="89"/>
        <v/>
      </c>
      <c r="BB200" t="str">
        <f t="shared" si="90"/>
        <v/>
      </c>
      <c r="BC200" t="str">
        <f t="shared" si="91"/>
        <v/>
      </c>
      <c r="BD200" t="str">
        <f t="shared" si="92"/>
        <v/>
      </c>
      <c r="BE200" t="str">
        <f t="shared" si="93"/>
        <v/>
      </c>
      <c r="BF200" t="str">
        <f t="shared" si="94"/>
        <v/>
      </c>
      <c r="BG200" t="str">
        <f t="shared" si="95"/>
        <v/>
      </c>
      <c r="BH200" t="str">
        <f t="shared" si="96"/>
        <v/>
      </c>
      <c r="BI200" t="str">
        <f t="shared" si="97"/>
        <v/>
      </c>
      <c r="BJ200" t="str">
        <f t="shared" si="98"/>
        <v/>
      </c>
      <c r="BK200" t="str">
        <f t="shared" si="99"/>
        <v/>
      </c>
      <c r="BL200" t="str">
        <f t="shared" si="100"/>
        <v/>
      </c>
      <c r="BM200" t="str">
        <f t="shared" si="101"/>
        <v/>
      </c>
      <c r="BN200" t="str">
        <f t="shared" si="102"/>
        <v/>
      </c>
      <c r="BO200" t="str">
        <f t="shared" si="103"/>
        <v/>
      </c>
      <c r="BP200" t="str">
        <f t="shared" si="104"/>
        <v/>
      </c>
      <c r="BQ200" t="str">
        <f t="shared" si="105"/>
        <v/>
      </c>
      <c r="BR200" t="str">
        <f t="shared" si="106"/>
        <v/>
      </c>
      <c r="BS200" t="str">
        <f t="shared" si="107"/>
        <v/>
      </c>
      <c r="BT200" t="str">
        <f t="shared" si="108"/>
        <v/>
      </c>
      <c r="BU200" t="str">
        <f t="shared" si="109"/>
        <v/>
      </c>
    </row>
    <row r="201" spans="1:73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AZ201" t="str">
        <f t="shared" si="88"/>
        <v/>
      </c>
      <c r="BA201" t="str">
        <f t="shared" si="89"/>
        <v/>
      </c>
      <c r="BB201" t="str">
        <f t="shared" si="90"/>
        <v/>
      </c>
      <c r="BC201" t="str">
        <f t="shared" si="91"/>
        <v/>
      </c>
      <c r="BD201" t="str">
        <f t="shared" si="92"/>
        <v/>
      </c>
      <c r="BE201" t="str">
        <f t="shared" si="93"/>
        <v/>
      </c>
      <c r="BF201" t="str">
        <f t="shared" si="94"/>
        <v/>
      </c>
      <c r="BG201" t="str">
        <f t="shared" si="95"/>
        <v/>
      </c>
      <c r="BH201" t="str">
        <f t="shared" si="96"/>
        <v/>
      </c>
      <c r="BI201" t="str">
        <f t="shared" si="97"/>
        <v/>
      </c>
      <c r="BJ201" t="str">
        <f t="shared" si="98"/>
        <v/>
      </c>
      <c r="BK201" t="str">
        <f t="shared" si="99"/>
        <v/>
      </c>
      <c r="BL201" t="str">
        <f t="shared" si="100"/>
        <v/>
      </c>
      <c r="BM201" t="str">
        <f t="shared" si="101"/>
        <v/>
      </c>
      <c r="BN201" t="str">
        <f t="shared" si="102"/>
        <v/>
      </c>
      <c r="BO201" t="str">
        <f t="shared" si="103"/>
        <v/>
      </c>
      <c r="BP201" t="str">
        <f t="shared" si="104"/>
        <v/>
      </c>
      <c r="BQ201" t="str">
        <f t="shared" si="105"/>
        <v/>
      </c>
      <c r="BR201" t="str">
        <f t="shared" si="106"/>
        <v/>
      </c>
      <c r="BS201" t="str">
        <f t="shared" si="107"/>
        <v/>
      </c>
      <c r="BT201" t="str">
        <f t="shared" si="108"/>
        <v/>
      </c>
      <c r="BU201" t="str">
        <f t="shared" si="109"/>
        <v/>
      </c>
    </row>
    <row r="202" spans="1:73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AZ202" t="str">
        <f t="shared" si="88"/>
        <v/>
      </c>
      <c r="BA202" t="str">
        <f t="shared" si="89"/>
        <v/>
      </c>
      <c r="BB202" t="str">
        <f t="shared" si="90"/>
        <v/>
      </c>
      <c r="BC202" t="str">
        <f t="shared" si="91"/>
        <v/>
      </c>
      <c r="BD202" t="str">
        <f t="shared" si="92"/>
        <v/>
      </c>
      <c r="BE202" t="str">
        <f t="shared" si="93"/>
        <v/>
      </c>
      <c r="BF202" t="str">
        <f t="shared" si="94"/>
        <v/>
      </c>
      <c r="BG202" t="str">
        <f t="shared" si="95"/>
        <v/>
      </c>
      <c r="BH202" t="str">
        <f t="shared" si="96"/>
        <v/>
      </c>
      <c r="BI202" t="str">
        <f t="shared" si="97"/>
        <v/>
      </c>
      <c r="BJ202" t="str">
        <f t="shared" si="98"/>
        <v/>
      </c>
      <c r="BK202" t="str">
        <f t="shared" si="99"/>
        <v/>
      </c>
      <c r="BL202" t="str">
        <f t="shared" si="100"/>
        <v/>
      </c>
      <c r="BM202" t="str">
        <f t="shared" si="101"/>
        <v/>
      </c>
      <c r="BN202" t="str">
        <f t="shared" si="102"/>
        <v/>
      </c>
      <c r="BO202" t="str">
        <f t="shared" si="103"/>
        <v/>
      </c>
      <c r="BP202" t="str">
        <f t="shared" si="104"/>
        <v/>
      </c>
      <c r="BQ202" t="str">
        <f t="shared" si="105"/>
        <v/>
      </c>
      <c r="BR202" t="str">
        <f t="shared" si="106"/>
        <v/>
      </c>
      <c r="BS202" t="str">
        <f t="shared" si="107"/>
        <v/>
      </c>
      <c r="BT202" t="str">
        <f t="shared" si="108"/>
        <v/>
      </c>
      <c r="BU202" t="str">
        <f t="shared" si="109"/>
        <v/>
      </c>
    </row>
    <row r="203" spans="1:73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AZ203" t="str">
        <f t="shared" si="88"/>
        <v/>
      </c>
      <c r="BA203" t="str">
        <f t="shared" si="89"/>
        <v/>
      </c>
      <c r="BB203" t="str">
        <f t="shared" si="90"/>
        <v/>
      </c>
      <c r="BC203" t="str">
        <f t="shared" si="91"/>
        <v/>
      </c>
      <c r="BD203" t="str">
        <f t="shared" si="92"/>
        <v/>
      </c>
      <c r="BE203" t="str">
        <f t="shared" si="93"/>
        <v/>
      </c>
      <c r="BF203" t="str">
        <f t="shared" si="94"/>
        <v/>
      </c>
      <c r="BG203" t="str">
        <f t="shared" si="95"/>
        <v/>
      </c>
      <c r="BH203" t="str">
        <f t="shared" si="96"/>
        <v/>
      </c>
      <c r="BI203" t="str">
        <f t="shared" si="97"/>
        <v/>
      </c>
      <c r="BJ203" t="str">
        <f t="shared" si="98"/>
        <v/>
      </c>
      <c r="BK203" t="str">
        <f t="shared" si="99"/>
        <v/>
      </c>
      <c r="BL203" t="str">
        <f t="shared" si="100"/>
        <v/>
      </c>
      <c r="BM203" t="str">
        <f t="shared" si="101"/>
        <v/>
      </c>
      <c r="BN203" t="str">
        <f t="shared" si="102"/>
        <v/>
      </c>
      <c r="BO203" t="str">
        <f t="shared" si="103"/>
        <v/>
      </c>
      <c r="BP203" t="str">
        <f t="shared" si="104"/>
        <v/>
      </c>
      <c r="BQ203" t="str">
        <f t="shared" si="105"/>
        <v/>
      </c>
      <c r="BR203" t="str">
        <f t="shared" si="106"/>
        <v/>
      </c>
      <c r="BS203" t="str">
        <f t="shared" si="107"/>
        <v/>
      </c>
      <c r="BT203" t="str">
        <f t="shared" si="108"/>
        <v/>
      </c>
      <c r="BU203" t="str">
        <f t="shared" si="109"/>
        <v/>
      </c>
    </row>
    <row r="204" spans="1:73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88"/>
        <v/>
      </c>
      <c r="BA204" t="str">
        <f t="shared" si="89"/>
        <v/>
      </c>
      <c r="BB204" t="str">
        <f t="shared" si="90"/>
        <v/>
      </c>
      <c r="BC204" t="str">
        <f t="shared" si="91"/>
        <v/>
      </c>
      <c r="BD204" t="str">
        <f t="shared" si="92"/>
        <v/>
      </c>
      <c r="BE204" t="str">
        <f t="shared" si="93"/>
        <v/>
      </c>
      <c r="BF204" t="str">
        <f t="shared" si="94"/>
        <v/>
      </c>
      <c r="BG204" t="str">
        <f t="shared" si="95"/>
        <v/>
      </c>
      <c r="BH204" t="str">
        <f t="shared" si="96"/>
        <v/>
      </c>
      <c r="BI204" t="str">
        <f t="shared" si="97"/>
        <v/>
      </c>
      <c r="BJ204" t="str">
        <f t="shared" si="98"/>
        <v/>
      </c>
      <c r="BK204" t="str">
        <f t="shared" si="99"/>
        <v/>
      </c>
      <c r="BL204" t="str">
        <f t="shared" si="100"/>
        <v/>
      </c>
      <c r="BM204" t="str">
        <f t="shared" si="101"/>
        <v/>
      </c>
      <c r="BN204" t="str">
        <f t="shared" si="102"/>
        <v/>
      </c>
      <c r="BO204" t="str">
        <f t="shared" si="103"/>
        <v/>
      </c>
      <c r="BP204" t="str">
        <f t="shared" si="104"/>
        <v/>
      </c>
      <c r="BQ204" t="str">
        <f t="shared" si="105"/>
        <v/>
      </c>
      <c r="BR204" t="str">
        <f t="shared" si="106"/>
        <v/>
      </c>
      <c r="BS204" t="str">
        <f t="shared" si="107"/>
        <v/>
      </c>
      <c r="BT204" t="str">
        <f t="shared" si="108"/>
        <v/>
      </c>
      <c r="BU204" t="str">
        <f t="shared" si="109"/>
        <v/>
      </c>
    </row>
    <row r="205" spans="1:73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88"/>
        <v/>
      </c>
      <c r="BA205" t="str">
        <f t="shared" si="89"/>
        <v/>
      </c>
      <c r="BB205" t="str">
        <f t="shared" si="90"/>
        <v/>
      </c>
      <c r="BC205" t="str">
        <f t="shared" si="91"/>
        <v/>
      </c>
      <c r="BD205" t="str">
        <f t="shared" si="92"/>
        <v/>
      </c>
      <c r="BE205" t="str">
        <f t="shared" si="93"/>
        <v/>
      </c>
      <c r="BF205" t="str">
        <f t="shared" si="94"/>
        <v/>
      </c>
      <c r="BG205" t="str">
        <f t="shared" si="95"/>
        <v/>
      </c>
      <c r="BH205" t="str">
        <f t="shared" si="96"/>
        <v/>
      </c>
      <c r="BI205" t="str">
        <f t="shared" si="97"/>
        <v/>
      </c>
      <c r="BJ205" t="str">
        <f t="shared" si="98"/>
        <v/>
      </c>
      <c r="BK205" t="str">
        <f t="shared" si="99"/>
        <v/>
      </c>
      <c r="BL205" t="str">
        <f t="shared" si="100"/>
        <v/>
      </c>
      <c r="BM205" t="str">
        <f t="shared" si="101"/>
        <v/>
      </c>
      <c r="BN205" t="str">
        <f t="shared" si="102"/>
        <v/>
      </c>
      <c r="BO205" t="str">
        <f t="shared" si="103"/>
        <v/>
      </c>
      <c r="BP205" t="str">
        <f t="shared" si="104"/>
        <v/>
      </c>
      <c r="BQ205" t="str">
        <f t="shared" si="105"/>
        <v/>
      </c>
      <c r="BR205" t="str">
        <f t="shared" si="106"/>
        <v/>
      </c>
      <c r="BS205" t="str">
        <f t="shared" si="107"/>
        <v/>
      </c>
      <c r="BT205" t="str">
        <f t="shared" si="108"/>
        <v/>
      </c>
      <c r="BU205" t="str">
        <f t="shared" si="109"/>
        <v/>
      </c>
    </row>
    <row r="206" spans="1:73">
      <c r="A206" s="16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AZ206" t="str">
        <f t="shared" si="88"/>
        <v/>
      </c>
      <c r="BA206" t="str">
        <f t="shared" si="89"/>
        <v/>
      </c>
      <c r="BB206" t="str">
        <f t="shared" si="90"/>
        <v/>
      </c>
      <c r="BC206" t="str">
        <f t="shared" si="91"/>
        <v/>
      </c>
      <c r="BD206" t="str">
        <f t="shared" si="92"/>
        <v/>
      </c>
      <c r="BE206" t="str">
        <f t="shared" si="93"/>
        <v/>
      </c>
      <c r="BF206" t="str">
        <f t="shared" si="94"/>
        <v/>
      </c>
      <c r="BG206" t="str">
        <f t="shared" si="95"/>
        <v/>
      </c>
      <c r="BH206" t="str">
        <f t="shared" si="96"/>
        <v/>
      </c>
      <c r="BI206" t="str">
        <f t="shared" si="97"/>
        <v/>
      </c>
      <c r="BJ206" t="str">
        <f t="shared" si="98"/>
        <v/>
      </c>
      <c r="BK206" t="str">
        <f t="shared" si="99"/>
        <v/>
      </c>
      <c r="BL206" t="str">
        <f t="shared" si="100"/>
        <v/>
      </c>
      <c r="BM206" t="str">
        <f t="shared" si="101"/>
        <v/>
      </c>
      <c r="BN206" t="str">
        <f t="shared" si="102"/>
        <v/>
      </c>
      <c r="BO206" t="str">
        <f t="shared" si="103"/>
        <v/>
      </c>
      <c r="BP206" t="str">
        <f t="shared" si="104"/>
        <v/>
      </c>
      <c r="BQ206" t="str">
        <f t="shared" si="105"/>
        <v/>
      </c>
      <c r="BR206" t="str">
        <f t="shared" si="106"/>
        <v/>
      </c>
      <c r="BS206" t="str">
        <f t="shared" si="107"/>
        <v/>
      </c>
      <c r="BT206" t="str">
        <f t="shared" si="108"/>
        <v/>
      </c>
      <c r="BU206" t="str">
        <f t="shared" si="109"/>
        <v/>
      </c>
    </row>
    <row r="207" spans="1:73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ConcatenateRange(AZ207:BU207,"||")</f>
        <v/>
      </c>
      <c r="AZ207" t="str">
        <f t="shared" si="88"/>
        <v/>
      </c>
      <c r="BA207" t="str">
        <f t="shared" si="89"/>
        <v/>
      </c>
      <c r="BB207" t="str">
        <f t="shared" si="90"/>
        <v/>
      </c>
      <c r="BC207" t="str">
        <f t="shared" si="91"/>
        <v/>
      </c>
      <c r="BD207" t="str">
        <f t="shared" si="92"/>
        <v/>
      </c>
      <c r="BE207" t="str">
        <f t="shared" si="93"/>
        <v/>
      </c>
      <c r="BF207" t="str">
        <f t="shared" si="94"/>
        <v/>
      </c>
      <c r="BG207" t="str">
        <f t="shared" si="95"/>
        <v/>
      </c>
      <c r="BH207" t="str">
        <f t="shared" si="96"/>
        <v/>
      </c>
      <c r="BI207" t="str">
        <f t="shared" si="97"/>
        <v/>
      </c>
      <c r="BJ207" t="str">
        <f t="shared" si="98"/>
        <v/>
      </c>
      <c r="BK207" t="str">
        <f t="shared" si="99"/>
        <v/>
      </c>
      <c r="BL207" t="str">
        <f t="shared" si="100"/>
        <v/>
      </c>
      <c r="BM207" t="str">
        <f t="shared" si="101"/>
        <v/>
      </c>
      <c r="BN207" t="str">
        <f t="shared" si="102"/>
        <v/>
      </c>
      <c r="BO207" t="str">
        <f t="shared" si="103"/>
        <v/>
      </c>
      <c r="BP207" t="str">
        <f t="shared" si="104"/>
        <v/>
      </c>
      <c r="BQ207" t="str">
        <f t="shared" si="105"/>
        <v/>
      </c>
      <c r="BR207" t="str">
        <f t="shared" si="106"/>
        <v/>
      </c>
      <c r="BS207" t="str">
        <f t="shared" si="107"/>
        <v/>
      </c>
      <c r="BT207" t="str">
        <f t="shared" si="108"/>
        <v/>
      </c>
      <c r="BU207" t="str">
        <f t="shared" si="109"/>
        <v/>
      </c>
    </row>
    <row r="208" spans="1:73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ConcatenateRange(AZ208:BU208,"||")</f>
        <v/>
      </c>
      <c r="AZ208" t="str">
        <f t="shared" si="88"/>
        <v/>
      </c>
      <c r="BA208" t="str">
        <f t="shared" si="89"/>
        <v/>
      </c>
      <c r="BB208" t="str">
        <f t="shared" si="90"/>
        <v/>
      </c>
      <c r="BC208" t="str">
        <f t="shared" si="91"/>
        <v/>
      </c>
      <c r="BD208" t="str">
        <f t="shared" si="92"/>
        <v/>
      </c>
      <c r="BE208" t="str">
        <f t="shared" si="93"/>
        <v/>
      </c>
      <c r="BF208" t="str">
        <f t="shared" si="94"/>
        <v/>
      </c>
      <c r="BG208" t="str">
        <f t="shared" si="95"/>
        <v/>
      </c>
      <c r="BH208" t="str">
        <f t="shared" si="96"/>
        <v/>
      </c>
      <c r="BI208" t="str">
        <f t="shared" si="97"/>
        <v/>
      </c>
      <c r="BJ208" t="str">
        <f t="shared" si="98"/>
        <v/>
      </c>
      <c r="BK208" t="str">
        <f t="shared" si="99"/>
        <v/>
      </c>
      <c r="BL208" t="str">
        <f t="shared" si="100"/>
        <v/>
      </c>
      <c r="BM208" t="str">
        <f t="shared" si="101"/>
        <v/>
      </c>
      <c r="BN208" t="str">
        <f t="shared" si="102"/>
        <v/>
      </c>
      <c r="BO208" t="str">
        <f t="shared" si="103"/>
        <v/>
      </c>
      <c r="BP208" t="str">
        <f t="shared" si="104"/>
        <v/>
      </c>
      <c r="BQ208" t="str">
        <f t="shared" si="105"/>
        <v/>
      </c>
      <c r="BR208" t="str">
        <f t="shared" si="106"/>
        <v/>
      </c>
      <c r="BS208" t="str">
        <f t="shared" si="107"/>
        <v/>
      </c>
      <c r="BT208" t="str">
        <f t="shared" si="108"/>
        <v/>
      </c>
      <c r="BU208" t="str">
        <f t="shared" si="109"/>
        <v/>
      </c>
    </row>
    <row r="209" spans="1:73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ConcatenateRange(AZ209:BU209,"||")</f>
        <v/>
      </c>
      <c r="AZ209" t="str">
        <f t="shared" si="88"/>
        <v/>
      </c>
      <c r="BA209" t="str">
        <f t="shared" si="89"/>
        <v/>
      </c>
      <c r="BB209" t="str">
        <f t="shared" si="90"/>
        <v/>
      </c>
      <c r="BC209" t="str">
        <f t="shared" si="91"/>
        <v/>
      </c>
      <c r="BD209" t="str">
        <f t="shared" si="92"/>
        <v/>
      </c>
      <c r="BE209" t="str">
        <f t="shared" si="93"/>
        <v/>
      </c>
      <c r="BF209" t="str">
        <f t="shared" si="94"/>
        <v/>
      </c>
      <c r="BG209" t="str">
        <f t="shared" si="95"/>
        <v/>
      </c>
      <c r="BH209" t="str">
        <f t="shared" si="96"/>
        <v/>
      </c>
      <c r="BI209" t="str">
        <f t="shared" si="97"/>
        <v/>
      </c>
      <c r="BJ209" t="str">
        <f t="shared" si="98"/>
        <v/>
      </c>
      <c r="BK209" t="str">
        <f t="shared" si="99"/>
        <v/>
      </c>
      <c r="BL209" t="str">
        <f t="shared" si="100"/>
        <v/>
      </c>
      <c r="BM209" t="str">
        <f t="shared" si="101"/>
        <v/>
      </c>
      <c r="BN209" t="str">
        <f t="shared" si="102"/>
        <v/>
      </c>
      <c r="BO209" t="str">
        <f t="shared" si="103"/>
        <v/>
      </c>
      <c r="BP209" t="str">
        <f t="shared" si="104"/>
        <v/>
      </c>
      <c r="BQ209" t="str">
        <f t="shared" si="105"/>
        <v/>
      </c>
      <c r="BR209" t="str">
        <f t="shared" si="106"/>
        <v/>
      </c>
      <c r="BS209" t="str">
        <f t="shared" si="107"/>
        <v/>
      </c>
      <c r="BT209" t="str">
        <f t="shared" si="108"/>
        <v/>
      </c>
      <c r="BU209" t="str">
        <f t="shared" si="109"/>
        <v/>
      </c>
    </row>
    <row r="210" spans="1:73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ConcatenateRange(AZ210:BU210,"||")</f>
        <v/>
      </c>
      <c r="AZ210" t="str">
        <f t="shared" si="88"/>
        <v/>
      </c>
      <c r="BA210" t="str">
        <f t="shared" si="89"/>
        <v/>
      </c>
      <c r="BB210" t="str">
        <f t="shared" si="90"/>
        <v/>
      </c>
      <c r="BC210" t="str">
        <f t="shared" si="91"/>
        <v/>
      </c>
      <c r="BD210" t="str">
        <f t="shared" si="92"/>
        <v/>
      </c>
      <c r="BE210" t="str">
        <f t="shared" si="93"/>
        <v/>
      </c>
      <c r="BF210" t="str">
        <f t="shared" si="94"/>
        <v/>
      </c>
      <c r="BG210" t="str">
        <f t="shared" si="95"/>
        <v/>
      </c>
      <c r="BH210" t="str">
        <f t="shared" si="96"/>
        <v/>
      </c>
      <c r="BI210" t="str">
        <f t="shared" si="97"/>
        <v/>
      </c>
      <c r="BJ210" t="str">
        <f t="shared" si="98"/>
        <v/>
      </c>
      <c r="BK210" t="str">
        <f t="shared" si="99"/>
        <v/>
      </c>
      <c r="BL210" t="str">
        <f t="shared" si="100"/>
        <v/>
      </c>
      <c r="BM210" t="str">
        <f t="shared" si="101"/>
        <v/>
      </c>
      <c r="BN210" t="str">
        <f t="shared" si="102"/>
        <v/>
      </c>
      <c r="BO210" t="str">
        <f t="shared" si="103"/>
        <v/>
      </c>
      <c r="BP210" t="str">
        <f t="shared" si="104"/>
        <v/>
      </c>
      <c r="BQ210" t="str">
        <f t="shared" si="105"/>
        <v/>
      </c>
      <c r="BR210" t="str">
        <f t="shared" si="106"/>
        <v/>
      </c>
      <c r="BS210" t="str">
        <f t="shared" si="107"/>
        <v/>
      </c>
      <c r="BT210" t="str">
        <f t="shared" si="108"/>
        <v/>
      </c>
      <c r="BU210" t="str">
        <f t="shared" si="109"/>
        <v/>
      </c>
    </row>
    <row r="211" spans="1:73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ConcatenateRange(AZ211:BU211,"||")</f>
        <v/>
      </c>
      <c r="AZ211" t="str">
        <f t="shared" si="88"/>
        <v/>
      </c>
      <c r="BA211" t="str">
        <f t="shared" si="89"/>
        <v/>
      </c>
      <c r="BB211" t="str">
        <f t="shared" si="90"/>
        <v/>
      </c>
      <c r="BC211" t="str">
        <f t="shared" si="91"/>
        <v/>
      </c>
      <c r="BD211" t="str">
        <f t="shared" si="92"/>
        <v/>
      </c>
      <c r="BE211" t="str">
        <f t="shared" si="93"/>
        <v/>
      </c>
      <c r="BF211" t="str">
        <f t="shared" si="94"/>
        <v/>
      </c>
      <c r="BG211" t="str">
        <f t="shared" si="95"/>
        <v/>
      </c>
      <c r="BH211" t="str">
        <f t="shared" si="96"/>
        <v/>
      </c>
      <c r="BI211" t="str">
        <f t="shared" si="97"/>
        <v/>
      </c>
      <c r="BJ211" t="str">
        <f t="shared" si="98"/>
        <v/>
      </c>
      <c r="BK211" t="str">
        <f t="shared" si="99"/>
        <v/>
      </c>
      <c r="BL211" t="str">
        <f t="shared" si="100"/>
        <v/>
      </c>
      <c r="BM211" t="str">
        <f t="shared" si="101"/>
        <v/>
      </c>
      <c r="BN211" t="str">
        <f t="shared" si="102"/>
        <v/>
      </c>
      <c r="BO211" t="str">
        <f t="shared" si="103"/>
        <v/>
      </c>
      <c r="BP211" t="str">
        <f t="shared" si="104"/>
        <v/>
      </c>
      <c r="BQ211" t="str">
        <f t="shared" si="105"/>
        <v/>
      </c>
      <c r="BR211" t="str">
        <f t="shared" si="106"/>
        <v/>
      </c>
      <c r="BS211" t="str">
        <f t="shared" si="107"/>
        <v/>
      </c>
      <c r="BT211" t="str">
        <f t="shared" si="108"/>
        <v/>
      </c>
      <c r="BU211" t="str">
        <f t="shared" si="109"/>
        <v/>
      </c>
    </row>
    <row r="212" spans="1:73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ConcatenateRange(AZ212:BU212,"||")</f>
        <v/>
      </c>
      <c r="AZ212" t="str">
        <f t="shared" si="88"/>
        <v/>
      </c>
      <c r="BA212" t="str">
        <f t="shared" si="89"/>
        <v/>
      </c>
      <c r="BB212" t="str">
        <f t="shared" si="90"/>
        <v/>
      </c>
      <c r="BC212" t="str">
        <f t="shared" si="91"/>
        <v/>
      </c>
      <c r="BD212" t="str">
        <f t="shared" si="92"/>
        <v/>
      </c>
      <c r="BE212" t="str">
        <f t="shared" si="93"/>
        <v/>
      </c>
      <c r="BF212" t="str">
        <f t="shared" si="94"/>
        <v/>
      </c>
      <c r="BG212" t="str">
        <f t="shared" si="95"/>
        <v/>
      </c>
      <c r="BH212" t="str">
        <f t="shared" si="96"/>
        <v/>
      </c>
      <c r="BI212" t="str">
        <f t="shared" si="97"/>
        <v/>
      </c>
      <c r="BJ212" t="str">
        <f t="shared" si="98"/>
        <v/>
      </c>
      <c r="BK212" t="str">
        <f t="shared" si="99"/>
        <v/>
      </c>
      <c r="BL212" t="str">
        <f t="shared" si="100"/>
        <v/>
      </c>
      <c r="BM212" t="str">
        <f t="shared" si="101"/>
        <v/>
      </c>
      <c r="BN212" t="str">
        <f t="shared" si="102"/>
        <v/>
      </c>
      <c r="BO212" t="str">
        <f t="shared" si="103"/>
        <v/>
      </c>
      <c r="BP212" t="str">
        <f t="shared" si="104"/>
        <v/>
      </c>
      <c r="BQ212" t="str">
        <f t="shared" si="105"/>
        <v/>
      </c>
      <c r="BR212" t="str">
        <f t="shared" si="106"/>
        <v/>
      </c>
      <c r="BS212" t="str">
        <f t="shared" si="107"/>
        <v/>
      </c>
      <c r="BT212" t="str">
        <f t="shared" si="108"/>
        <v/>
      </c>
      <c r="BU212" t="str">
        <f t="shared" si="109"/>
        <v/>
      </c>
    </row>
    <row r="213" spans="1:73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ConcatenateRange(AZ213:BU213,"||")</f>
        <v/>
      </c>
      <c r="AZ213" t="str">
        <f t="shared" si="88"/>
        <v/>
      </c>
      <c r="BA213" t="str">
        <f t="shared" si="89"/>
        <v/>
      </c>
      <c r="BB213" t="str">
        <f t="shared" si="90"/>
        <v/>
      </c>
      <c r="BC213" t="str">
        <f t="shared" si="91"/>
        <v/>
      </c>
      <c r="BD213" t="str">
        <f t="shared" si="92"/>
        <v/>
      </c>
      <c r="BE213" t="str">
        <f t="shared" si="93"/>
        <v/>
      </c>
      <c r="BF213" t="str">
        <f t="shared" si="94"/>
        <v/>
      </c>
      <c r="BG213" t="str">
        <f t="shared" si="95"/>
        <v/>
      </c>
      <c r="BH213" t="str">
        <f t="shared" si="96"/>
        <v/>
      </c>
      <c r="BI213" t="str">
        <f t="shared" si="97"/>
        <v/>
      </c>
      <c r="BJ213" t="str">
        <f t="shared" si="98"/>
        <v/>
      </c>
      <c r="BK213" t="str">
        <f t="shared" si="99"/>
        <v/>
      </c>
      <c r="BL213" t="str">
        <f t="shared" si="100"/>
        <v/>
      </c>
      <c r="BM213" t="str">
        <f t="shared" si="101"/>
        <v/>
      </c>
      <c r="BN213" t="str">
        <f t="shared" si="102"/>
        <v/>
      </c>
      <c r="BO213" t="str">
        <f t="shared" si="103"/>
        <v/>
      </c>
      <c r="BP213" t="str">
        <f t="shared" si="104"/>
        <v/>
      </c>
      <c r="BQ213" t="str">
        <f t="shared" si="105"/>
        <v/>
      </c>
      <c r="BR213" t="str">
        <f t="shared" si="106"/>
        <v/>
      </c>
      <c r="BS213" t="str">
        <f t="shared" si="107"/>
        <v/>
      </c>
      <c r="BT213" t="str">
        <f t="shared" si="108"/>
        <v/>
      </c>
      <c r="BU213" t="str">
        <f t="shared" si="109"/>
        <v/>
      </c>
    </row>
    <row r="214" spans="1:73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ConcatenateRange(AZ214:BU214,"||")</f>
        <v/>
      </c>
      <c r="AZ214" t="str">
        <f t="shared" si="88"/>
        <v/>
      </c>
      <c r="BA214" t="str">
        <f t="shared" si="89"/>
        <v/>
      </c>
      <c r="BB214" t="str">
        <f t="shared" si="90"/>
        <v/>
      </c>
      <c r="BC214" t="str">
        <f t="shared" si="91"/>
        <v/>
      </c>
      <c r="BD214" t="str">
        <f t="shared" si="92"/>
        <v/>
      </c>
      <c r="BE214" t="str">
        <f t="shared" si="93"/>
        <v/>
      </c>
      <c r="BF214" t="str">
        <f t="shared" si="94"/>
        <v/>
      </c>
      <c r="BG214" t="str">
        <f t="shared" si="95"/>
        <v/>
      </c>
      <c r="BH214" t="str">
        <f t="shared" si="96"/>
        <v/>
      </c>
      <c r="BI214" t="str">
        <f t="shared" si="97"/>
        <v/>
      </c>
      <c r="BJ214" t="str">
        <f t="shared" si="98"/>
        <v/>
      </c>
      <c r="BK214" t="str">
        <f t="shared" si="99"/>
        <v/>
      </c>
      <c r="BL214" t="str">
        <f t="shared" si="100"/>
        <v/>
      </c>
      <c r="BM214" t="str">
        <f t="shared" si="101"/>
        <v/>
      </c>
      <c r="BN214" t="str">
        <f t="shared" si="102"/>
        <v/>
      </c>
      <c r="BO214" t="str">
        <f t="shared" si="103"/>
        <v/>
      </c>
      <c r="BP214" t="str">
        <f t="shared" si="104"/>
        <v/>
      </c>
      <c r="BQ214" t="str">
        <f t="shared" si="105"/>
        <v/>
      </c>
      <c r="BR214" t="str">
        <f t="shared" si="106"/>
        <v/>
      </c>
      <c r="BS214" t="str">
        <f t="shared" si="107"/>
        <v/>
      </c>
      <c r="BT214" t="str">
        <f t="shared" si="108"/>
        <v/>
      </c>
      <c r="BU214" t="str">
        <f t="shared" si="109"/>
        <v/>
      </c>
    </row>
    <row r="215" spans="1:73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ConcatenateRange(AZ215:BU215,"||")</f>
        <v/>
      </c>
      <c r="AZ215" t="str">
        <f t="shared" si="88"/>
        <v/>
      </c>
      <c r="BA215" t="str">
        <f t="shared" si="89"/>
        <v/>
      </c>
      <c r="BB215" t="str">
        <f t="shared" si="90"/>
        <v/>
      </c>
      <c r="BC215" t="str">
        <f t="shared" si="91"/>
        <v/>
      </c>
      <c r="BD215" t="str">
        <f t="shared" si="92"/>
        <v/>
      </c>
      <c r="BE215" t="str">
        <f t="shared" si="93"/>
        <v/>
      </c>
      <c r="BF215" t="str">
        <f t="shared" si="94"/>
        <v/>
      </c>
      <c r="BG215" t="str">
        <f t="shared" si="95"/>
        <v/>
      </c>
      <c r="BH215" t="str">
        <f t="shared" si="96"/>
        <v/>
      </c>
      <c r="BI215" t="str">
        <f t="shared" si="97"/>
        <v/>
      </c>
      <c r="BJ215" t="str">
        <f t="shared" si="98"/>
        <v/>
      </c>
      <c r="BK215" t="str">
        <f t="shared" si="99"/>
        <v/>
      </c>
      <c r="BL215" t="str">
        <f t="shared" si="100"/>
        <v/>
      </c>
      <c r="BM215" t="str">
        <f t="shared" si="101"/>
        <v/>
      </c>
      <c r="BN215" t="str">
        <f t="shared" si="102"/>
        <v/>
      </c>
      <c r="BO215" t="str">
        <f t="shared" si="103"/>
        <v/>
      </c>
      <c r="BP215" t="str">
        <f t="shared" si="104"/>
        <v/>
      </c>
      <c r="BQ215" t="str">
        <f t="shared" si="105"/>
        <v/>
      </c>
      <c r="BR215" t="str">
        <f t="shared" si="106"/>
        <v/>
      </c>
      <c r="BS215" t="str">
        <f t="shared" si="107"/>
        <v/>
      </c>
      <c r="BT215" t="str">
        <f t="shared" si="108"/>
        <v/>
      </c>
      <c r="BU215" t="str">
        <f t="shared" si="109"/>
        <v/>
      </c>
    </row>
    <row r="216" spans="1:73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ConcatenateRange(AZ216:BU216,"||")</f>
        <v/>
      </c>
      <c r="AZ216" t="str">
        <f t="shared" si="88"/>
        <v/>
      </c>
      <c r="BA216" t="str">
        <f t="shared" si="89"/>
        <v/>
      </c>
      <c r="BB216" t="str">
        <f t="shared" si="90"/>
        <v/>
      </c>
      <c r="BC216" t="str">
        <f t="shared" si="91"/>
        <v/>
      </c>
      <c r="BD216" t="str">
        <f t="shared" si="92"/>
        <v/>
      </c>
      <c r="BE216" t="str">
        <f t="shared" si="93"/>
        <v/>
      </c>
      <c r="BF216" t="str">
        <f t="shared" si="94"/>
        <v/>
      </c>
      <c r="BG216" t="str">
        <f t="shared" si="95"/>
        <v/>
      </c>
      <c r="BH216" t="str">
        <f t="shared" si="96"/>
        <v/>
      </c>
      <c r="BI216" t="str">
        <f t="shared" si="97"/>
        <v/>
      </c>
      <c r="BJ216" t="str">
        <f t="shared" si="98"/>
        <v/>
      </c>
      <c r="BK216" t="str">
        <f t="shared" si="99"/>
        <v/>
      </c>
      <c r="BL216" t="str">
        <f t="shared" si="100"/>
        <v/>
      </c>
      <c r="BM216" t="str">
        <f t="shared" si="101"/>
        <v/>
      </c>
      <c r="BN216" t="str">
        <f t="shared" si="102"/>
        <v/>
      </c>
      <c r="BO216" t="str">
        <f t="shared" si="103"/>
        <v/>
      </c>
      <c r="BP216" t="str">
        <f t="shared" si="104"/>
        <v/>
      </c>
      <c r="BQ216" t="str">
        <f t="shared" si="105"/>
        <v/>
      </c>
      <c r="BR216" t="str">
        <f t="shared" si="106"/>
        <v/>
      </c>
      <c r="BS216" t="str">
        <f t="shared" si="107"/>
        <v/>
      </c>
      <c r="BT216" t="str">
        <f t="shared" si="108"/>
        <v/>
      </c>
      <c r="BU216" t="str">
        <f t="shared" si="109"/>
        <v/>
      </c>
    </row>
    <row r="217" spans="1:73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ConcatenateRange(AZ217:BU217,"||")</f>
        <v/>
      </c>
      <c r="AZ217" t="str">
        <f t="shared" si="88"/>
        <v/>
      </c>
      <c r="BA217" t="str">
        <f t="shared" si="89"/>
        <v/>
      </c>
      <c r="BB217" t="str">
        <f t="shared" si="90"/>
        <v/>
      </c>
      <c r="BC217" t="str">
        <f t="shared" si="91"/>
        <v/>
      </c>
      <c r="BD217" t="str">
        <f t="shared" si="92"/>
        <v/>
      </c>
      <c r="BE217" t="str">
        <f t="shared" si="93"/>
        <v/>
      </c>
      <c r="BF217" t="str">
        <f t="shared" si="94"/>
        <v/>
      </c>
      <c r="BG217" t="str">
        <f t="shared" si="95"/>
        <v/>
      </c>
      <c r="BH217" t="str">
        <f t="shared" si="96"/>
        <v/>
      </c>
      <c r="BI217" t="str">
        <f t="shared" si="97"/>
        <v/>
      </c>
      <c r="BJ217" t="str">
        <f t="shared" si="98"/>
        <v/>
      </c>
      <c r="BK217" t="str">
        <f t="shared" si="99"/>
        <v/>
      </c>
      <c r="BL217" t="str">
        <f t="shared" si="100"/>
        <v/>
      </c>
      <c r="BM217" t="str">
        <f t="shared" si="101"/>
        <v/>
      </c>
      <c r="BN217" t="str">
        <f t="shared" si="102"/>
        <v/>
      </c>
      <c r="BO217" t="str">
        <f t="shared" si="103"/>
        <v/>
      </c>
      <c r="BP217" t="str">
        <f t="shared" si="104"/>
        <v/>
      </c>
      <c r="BQ217" t="str">
        <f t="shared" si="105"/>
        <v/>
      </c>
      <c r="BR217" t="str">
        <f t="shared" si="106"/>
        <v/>
      </c>
      <c r="BS217" t="str">
        <f t="shared" si="107"/>
        <v/>
      </c>
      <c r="BT217" t="str">
        <f t="shared" si="108"/>
        <v/>
      </c>
      <c r="BU217" t="str">
        <f t="shared" si="109"/>
        <v/>
      </c>
    </row>
    <row r="218" spans="1:73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ConcatenateRange(AZ218:BU218,"||")</f>
        <v/>
      </c>
      <c r="AZ218" t="str">
        <f t="shared" si="88"/>
        <v/>
      </c>
      <c r="BA218" t="str">
        <f t="shared" si="89"/>
        <v/>
      </c>
      <c r="BB218" t="str">
        <f t="shared" si="90"/>
        <v/>
      </c>
      <c r="BC218" t="str">
        <f t="shared" si="91"/>
        <v/>
      </c>
      <c r="BD218" t="str">
        <f t="shared" si="92"/>
        <v/>
      </c>
      <c r="BE218" t="str">
        <f t="shared" si="93"/>
        <v/>
      </c>
      <c r="BF218" t="str">
        <f t="shared" si="94"/>
        <v/>
      </c>
      <c r="BG218" t="str">
        <f t="shared" si="95"/>
        <v/>
      </c>
      <c r="BH218" t="str">
        <f t="shared" si="96"/>
        <v/>
      </c>
      <c r="BI218" t="str">
        <f t="shared" si="97"/>
        <v/>
      </c>
      <c r="BJ218" t="str">
        <f t="shared" si="98"/>
        <v/>
      </c>
      <c r="BK218" t="str">
        <f t="shared" si="99"/>
        <v/>
      </c>
      <c r="BL218" t="str">
        <f t="shared" si="100"/>
        <v/>
      </c>
      <c r="BM218" t="str">
        <f t="shared" si="101"/>
        <v/>
      </c>
      <c r="BN218" t="str">
        <f t="shared" si="102"/>
        <v/>
      </c>
      <c r="BO218" t="str">
        <f t="shared" si="103"/>
        <v/>
      </c>
      <c r="BP218" t="str">
        <f t="shared" si="104"/>
        <v/>
      </c>
      <c r="BQ218" t="str">
        <f t="shared" si="105"/>
        <v/>
      </c>
      <c r="BR218" t="str">
        <f t="shared" si="106"/>
        <v/>
      </c>
      <c r="BS218" t="str">
        <f t="shared" si="107"/>
        <v/>
      </c>
      <c r="BT218" t="str">
        <f t="shared" si="108"/>
        <v/>
      </c>
      <c r="BU218" t="str">
        <f t="shared" si="109"/>
        <v/>
      </c>
    </row>
    <row r="219" spans="1:73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ConcatenateRange(AZ219:BU219,"||")</f>
        <v/>
      </c>
      <c r="AZ219" t="str">
        <f t="shared" si="88"/>
        <v/>
      </c>
      <c r="BA219" t="str">
        <f t="shared" si="89"/>
        <v/>
      </c>
      <c r="BB219" t="str">
        <f t="shared" si="90"/>
        <v/>
      </c>
      <c r="BC219" t="str">
        <f t="shared" si="91"/>
        <v/>
      </c>
      <c r="BD219" t="str">
        <f t="shared" si="92"/>
        <v/>
      </c>
      <c r="BE219" t="str">
        <f t="shared" si="93"/>
        <v/>
      </c>
      <c r="BF219" t="str">
        <f t="shared" si="94"/>
        <v/>
      </c>
      <c r="BG219" t="str">
        <f t="shared" si="95"/>
        <v/>
      </c>
      <c r="BH219" t="str">
        <f t="shared" si="96"/>
        <v/>
      </c>
      <c r="BI219" t="str">
        <f t="shared" si="97"/>
        <v/>
      </c>
      <c r="BJ219" t="str">
        <f t="shared" si="98"/>
        <v/>
      </c>
      <c r="BK219" t="str">
        <f t="shared" si="99"/>
        <v/>
      </c>
      <c r="BL219" t="str">
        <f t="shared" si="100"/>
        <v/>
      </c>
      <c r="BM219" t="str">
        <f t="shared" si="101"/>
        <v/>
      </c>
      <c r="BN219" t="str">
        <f t="shared" si="102"/>
        <v/>
      </c>
      <c r="BO219" t="str">
        <f t="shared" si="103"/>
        <v/>
      </c>
      <c r="BP219" t="str">
        <f t="shared" si="104"/>
        <v/>
      </c>
      <c r="BQ219" t="str">
        <f t="shared" si="105"/>
        <v/>
      </c>
      <c r="BR219" t="str">
        <f t="shared" si="106"/>
        <v/>
      </c>
      <c r="BS219" t="str">
        <f t="shared" si="107"/>
        <v/>
      </c>
      <c r="BT219" t="str">
        <f t="shared" si="108"/>
        <v/>
      </c>
      <c r="BU219" t="str">
        <f t="shared" si="109"/>
        <v/>
      </c>
    </row>
    <row r="220" spans="1:73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ConcatenateRange(AZ220:BU220,"||")</f>
        <v/>
      </c>
      <c r="AZ220" t="str">
        <f t="shared" si="88"/>
        <v/>
      </c>
      <c r="BA220" t="str">
        <f t="shared" si="89"/>
        <v/>
      </c>
      <c r="BB220" t="str">
        <f t="shared" si="90"/>
        <v/>
      </c>
      <c r="BC220" t="str">
        <f t="shared" si="91"/>
        <v/>
      </c>
      <c r="BD220" t="str">
        <f t="shared" si="92"/>
        <v/>
      </c>
      <c r="BE220" t="str">
        <f t="shared" si="93"/>
        <v/>
      </c>
      <c r="BF220" t="str">
        <f t="shared" si="94"/>
        <v/>
      </c>
      <c r="BG220" t="str">
        <f t="shared" si="95"/>
        <v/>
      </c>
      <c r="BH220" t="str">
        <f t="shared" si="96"/>
        <v/>
      </c>
      <c r="BI220" t="str">
        <f t="shared" si="97"/>
        <v/>
      </c>
      <c r="BJ220" t="str">
        <f t="shared" si="98"/>
        <v/>
      </c>
      <c r="BK220" t="str">
        <f t="shared" si="99"/>
        <v/>
      </c>
      <c r="BL220" t="str">
        <f t="shared" si="100"/>
        <v/>
      </c>
      <c r="BM220" t="str">
        <f t="shared" si="101"/>
        <v/>
      </c>
      <c r="BN220" t="str">
        <f t="shared" si="102"/>
        <v/>
      </c>
      <c r="BO220" t="str">
        <f t="shared" si="103"/>
        <v/>
      </c>
      <c r="BP220" t="str">
        <f t="shared" si="104"/>
        <v/>
      </c>
      <c r="BQ220" t="str">
        <f t="shared" si="105"/>
        <v/>
      </c>
      <c r="BR220" t="str">
        <f t="shared" si="106"/>
        <v/>
      </c>
      <c r="BS220" t="str">
        <f t="shared" si="107"/>
        <v/>
      </c>
      <c r="BT220" t="str">
        <f t="shared" si="108"/>
        <v/>
      </c>
      <c r="BU220" t="str">
        <f t="shared" si="109"/>
        <v/>
      </c>
    </row>
    <row r="221" spans="1:73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>ConcatenateRange(AZ221:BU221,"||")</f>
        <v/>
      </c>
      <c r="AZ221" t="str">
        <f t="shared" si="88"/>
        <v/>
      </c>
      <c r="BA221" t="str">
        <f t="shared" si="89"/>
        <v/>
      </c>
      <c r="BB221" t="str">
        <f t="shared" si="90"/>
        <v/>
      </c>
      <c r="BC221" t="str">
        <f t="shared" si="91"/>
        <v/>
      </c>
      <c r="BD221" t="str">
        <f t="shared" si="92"/>
        <v/>
      </c>
      <c r="BE221" t="str">
        <f t="shared" si="93"/>
        <v/>
      </c>
      <c r="BF221" t="str">
        <f t="shared" si="94"/>
        <v/>
      </c>
      <c r="BG221" t="str">
        <f t="shared" si="95"/>
        <v/>
      </c>
      <c r="BH221" t="str">
        <f t="shared" si="96"/>
        <v/>
      </c>
      <c r="BI221" t="str">
        <f t="shared" si="97"/>
        <v/>
      </c>
      <c r="BJ221" t="str">
        <f t="shared" si="98"/>
        <v/>
      </c>
      <c r="BK221" t="str">
        <f t="shared" si="99"/>
        <v/>
      </c>
      <c r="BL221" t="str">
        <f t="shared" si="100"/>
        <v/>
      </c>
      <c r="BM221" t="str">
        <f t="shared" si="101"/>
        <v/>
      </c>
      <c r="BN221" t="str">
        <f t="shared" si="102"/>
        <v/>
      </c>
      <c r="BO221" t="str">
        <f t="shared" si="103"/>
        <v/>
      </c>
      <c r="BP221" t="str">
        <f t="shared" si="104"/>
        <v/>
      </c>
      <c r="BQ221" t="str">
        <f t="shared" si="105"/>
        <v/>
      </c>
      <c r="BR221" t="str">
        <f t="shared" si="106"/>
        <v/>
      </c>
      <c r="BS221" t="str">
        <f t="shared" si="107"/>
        <v/>
      </c>
      <c r="BT221" t="str">
        <f t="shared" si="108"/>
        <v/>
      </c>
      <c r="BU221" t="str">
        <f t="shared" si="109"/>
        <v/>
      </c>
    </row>
    <row r="222" spans="1:73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>ConcatenateRange(AZ222:BU222,"||")</f>
        <v/>
      </c>
      <c r="AZ222" t="str">
        <f t="shared" si="88"/>
        <v/>
      </c>
      <c r="BA222" t="str">
        <f t="shared" si="89"/>
        <v/>
      </c>
      <c r="BB222" t="str">
        <f t="shared" si="90"/>
        <v/>
      </c>
      <c r="BC222" t="str">
        <f t="shared" si="91"/>
        <v/>
      </c>
      <c r="BD222" t="str">
        <f t="shared" si="92"/>
        <v/>
      </c>
      <c r="BE222" t="str">
        <f t="shared" si="93"/>
        <v/>
      </c>
      <c r="BF222" t="str">
        <f t="shared" si="94"/>
        <v/>
      </c>
      <c r="BG222" t="str">
        <f t="shared" si="95"/>
        <v/>
      </c>
      <c r="BH222" t="str">
        <f t="shared" si="96"/>
        <v/>
      </c>
      <c r="BI222" t="str">
        <f t="shared" si="97"/>
        <v/>
      </c>
      <c r="BJ222" t="str">
        <f t="shared" si="98"/>
        <v/>
      </c>
      <c r="BK222" t="str">
        <f t="shared" si="99"/>
        <v/>
      </c>
      <c r="BL222" t="str">
        <f t="shared" si="100"/>
        <v/>
      </c>
      <c r="BM222" t="str">
        <f t="shared" si="101"/>
        <v/>
      </c>
      <c r="BN222" t="str">
        <f t="shared" si="102"/>
        <v/>
      </c>
      <c r="BO222" t="str">
        <f t="shared" si="103"/>
        <v/>
      </c>
      <c r="BP222" t="str">
        <f t="shared" si="104"/>
        <v/>
      </c>
      <c r="BQ222" t="str">
        <f t="shared" si="105"/>
        <v/>
      </c>
      <c r="BR222" t="str">
        <f t="shared" si="106"/>
        <v/>
      </c>
      <c r="BS222" t="str">
        <f t="shared" si="107"/>
        <v/>
      </c>
      <c r="BT222" t="str">
        <f t="shared" si="108"/>
        <v/>
      </c>
      <c r="BU222" t="str">
        <f t="shared" si="109"/>
        <v/>
      </c>
    </row>
    <row r="223" spans="1:73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>ConcatenateRange(AZ223:BU223,"||")</f>
        <v/>
      </c>
      <c r="AZ223" t="str">
        <f t="shared" si="88"/>
        <v/>
      </c>
      <c r="BA223" t="str">
        <f t="shared" si="89"/>
        <v/>
      </c>
      <c r="BB223" t="str">
        <f t="shared" si="90"/>
        <v/>
      </c>
      <c r="BC223" t="str">
        <f t="shared" si="91"/>
        <v/>
      </c>
      <c r="BD223" t="str">
        <f t="shared" si="92"/>
        <v/>
      </c>
      <c r="BE223" t="str">
        <f t="shared" si="93"/>
        <v/>
      </c>
      <c r="BF223" t="str">
        <f t="shared" si="94"/>
        <v/>
      </c>
      <c r="BG223" t="str">
        <f t="shared" si="95"/>
        <v/>
      </c>
      <c r="BH223" t="str">
        <f t="shared" si="96"/>
        <v/>
      </c>
      <c r="BI223" t="str">
        <f t="shared" si="97"/>
        <v/>
      </c>
      <c r="BJ223" t="str">
        <f t="shared" si="98"/>
        <v/>
      </c>
      <c r="BK223" t="str">
        <f t="shared" si="99"/>
        <v/>
      </c>
      <c r="BL223" t="str">
        <f t="shared" si="100"/>
        <v/>
      </c>
      <c r="BM223" t="str">
        <f t="shared" si="101"/>
        <v/>
      </c>
      <c r="BN223" t="str">
        <f t="shared" si="102"/>
        <v/>
      </c>
      <c r="BO223" t="str">
        <f t="shared" si="103"/>
        <v/>
      </c>
      <c r="BP223" t="str">
        <f t="shared" si="104"/>
        <v/>
      </c>
      <c r="BQ223" t="str">
        <f t="shared" si="105"/>
        <v/>
      </c>
      <c r="BR223" t="str">
        <f t="shared" si="106"/>
        <v/>
      </c>
      <c r="BS223" t="str">
        <f t="shared" si="107"/>
        <v/>
      </c>
      <c r="BT223" t="str">
        <f t="shared" si="108"/>
        <v/>
      </c>
      <c r="BU223" t="str">
        <f t="shared" si="109"/>
        <v/>
      </c>
    </row>
    <row r="224" spans="1:73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ConcatenateRange(AZ224:BU224,"||")</f>
        <v/>
      </c>
      <c r="AZ224" t="str">
        <f t="shared" si="88"/>
        <v/>
      </c>
      <c r="BA224" t="str">
        <f t="shared" si="89"/>
        <v/>
      </c>
      <c r="BB224" t="str">
        <f t="shared" si="90"/>
        <v/>
      </c>
      <c r="BC224" t="str">
        <f t="shared" si="91"/>
        <v/>
      </c>
      <c r="BD224" t="str">
        <f t="shared" si="92"/>
        <v/>
      </c>
      <c r="BE224" t="str">
        <f t="shared" si="93"/>
        <v/>
      </c>
      <c r="BF224" t="str">
        <f t="shared" si="94"/>
        <v/>
      </c>
      <c r="BG224" t="str">
        <f t="shared" si="95"/>
        <v/>
      </c>
      <c r="BH224" t="str">
        <f t="shared" si="96"/>
        <v/>
      </c>
      <c r="BI224" t="str">
        <f t="shared" si="97"/>
        <v/>
      </c>
      <c r="BJ224" t="str">
        <f t="shared" si="98"/>
        <v/>
      </c>
      <c r="BK224" t="str">
        <f t="shared" si="99"/>
        <v/>
      </c>
      <c r="BL224" t="str">
        <f t="shared" si="100"/>
        <v/>
      </c>
      <c r="BM224" t="str">
        <f t="shared" si="101"/>
        <v/>
      </c>
      <c r="BN224" t="str">
        <f t="shared" si="102"/>
        <v/>
      </c>
      <c r="BO224" t="str">
        <f t="shared" si="103"/>
        <v/>
      </c>
      <c r="BP224" t="str">
        <f t="shared" si="104"/>
        <v/>
      </c>
      <c r="BQ224" t="str">
        <f t="shared" si="105"/>
        <v/>
      </c>
      <c r="BR224" t="str">
        <f t="shared" si="106"/>
        <v/>
      </c>
      <c r="BS224" t="str">
        <f t="shared" si="107"/>
        <v/>
      </c>
      <c r="BT224" t="str">
        <f t="shared" si="108"/>
        <v/>
      </c>
      <c r="BU224" t="str">
        <f t="shared" si="109"/>
        <v/>
      </c>
    </row>
    <row r="225" spans="1:73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ConcatenateRange(AZ225:BU225,"||")</f>
        <v/>
      </c>
      <c r="AZ225" t="str">
        <f t="shared" si="88"/>
        <v/>
      </c>
      <c r="BA225" t="str">
        <f t="shared" si="89"/>
        <v/>
      </c>
      <c r="BB225" t="str">
        <f t="shared" si="90"/>
        <v/>
      </c>
      <c r="BC225" t="str">
        <f t="shared" si="91"/>
        <v/>
      </c>
      <c r="BD225" t="str">
        <f t="shared" si="92"/>
        <v/>
      </c>
      <c r="BE225" t="str">
        <f t="shared" si="93"/>
        <v/>
      </c>
      <c r="BF225" t="str">
        <f t="shared" si="94"/>
        <v/>
      </c>
      <c r="BG225" t="str">
        <f t="shared" si="95"/>
        <v/>
      </c>
      <c r="BH225" t="str">
        <f t="shared" si="96"/>
        <v/>
      </c>
      <c r="BI225" t="str">
        <f t="shared" si="97"/>
        <v/>
      </c>
      <c r="BJ225" t="str">
        <f t="shared" si="98"/>
        <v/>
      </c>
      <c r="BK225" t="str">
        <f t="shared" si="99"/>
        <v/>
      </c>
      <c r="BL225" t="str">
        <f t="shared" si="100"/>
        <v/>
      </c>
      <c r="BM225" t="str">
        <f t="shared" si="101"/>
        <v/>
      </c>
      <c r="BN225" t="str">
        <f t="shared" si="102"/>
        <v/>
      </c>
      <c r="BO225" t="str">
        <f t="shared" si="103"/>
        <v/>
      </c>
      <c r="BP225" t="str">
        <f t="shared" si="104"/>
        <v/>
      </c>
      <c r="BQ225" t="str">
        <f t="shared" si="105"/>
        <v/>
      </c>
      <c r="BR225" t="str">
        <f t="shared" si="106"/>
        <v/>
      </c>
      <c r="BS225" t="str">
        <f t="shared" si="107"/>
        <v/>
      </c>
      <c r="BT225" t="str">
        <f t="shared" si="108"/>
        <v/>
      </c>
      <c r="BU225" t="str">
        <f t="shared" si="109"/>
        <v/>
      </c>
    </row>
    <row r="226" spans="1:73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ConcatenateRange(AZ226:BU226,"||")</f>
        <v/>
      </c>
      <c r="AZ226" t="str">
        <f t="shared" si="88"/>
        <v/>
      </c>
      <c r="BA226" t="str">
        <f t="shared" si="89"/>
        <v/>
      </c>
      <c r="BB226" t="str">
        <f t="shared" si="90"/>
        <v/>
      </c>
      <c r="BC226" t="str">
        <f t="shared" si="91"/>
        <v/>
      </c>
      <c r="BD226" t="str">
        <f t="shared" si="92"/>
        <v/>
      </c>
      <c r="BE226" t="str">
        <f t="shared" si="93"/>
        <v/>
      </c>
      <c r="BF226" t="str">
        <f t="shared" si="94"/>
        <v/>
      </c>
      <c r="BG226" t="str">
        <f t="shared" si="95"/>
        <v/>
      </c>
      <c r="BH226" t="str">
        <f t="shared" si="96"/>
        <v/>
      </c>
      <c r="BI226" t="str">
        <f t="shared" si="97"/>
        <v/>
      </c>
      <c r="BJ226" t="str">
        <f t="shared" si="98"/>
        <v/>
      </c>
      <c r="BK226" t="str">
        <f t="shared" si="99"/>
        <v/>
      </c>
      <c r="BL226" t="str">
        <f t="shared" si="100"/>
        <v/>
      </c>
      <c r="BM226" t="str">
        <f t="shared" si="101"/>
        <v/>
      </c>
      <c r="BN226" t="str">
        <f t="shared" si="102"/>
        <v/>
      </c>
      <c r="BO226" t="str">
        <f t="shared" si="103"/>
        <v/>
      </c>
      <c r="BP226" t="str">
        <f t="shared" si="104"/>
        <v/>
      </c>
      <c r="BQ226" t="str">
        <f t="shared" si="105"/>
        <v/>
      </c>
      <c r="BR226" t="str">
        <f t="shared" si="106"/>
        <v/>
      </c>
      <c r="BS226" t="str">
        <f t="shared" si="107"/>
        <v/>
      </c>
      <c r="BT226" t="str">
        <f t="shared" si="108"/>
        <v/>
      </c>
      <c r="BU226" t="str">
        <f t="shared" si="109"/>
        <v/>
      </c>
    </row>
    <row r="227" spans="1:73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ConcatenateRange(AZ227:BU227,"||")</f>
        <v/>
      </c>
      <c r="AZ227" t="str">
        <f t="shared" si="88"/>
        <v/>
      </c>
      <c r="BA227" t="str">
        <f t="shared" si="89"/>
        <v/>
      </c>
      <c r="BB227" t="str">
        <f t="shared" si="90"/>
        <v/>
      </c>
      <c r="BC227" t="str">
        <f t="shared" si="91"/>
        <v/>
      </c>
      <c r="BD227" t="str">
        <f t="shared" si="92"/>
        <v/>
      </c>
      <c r="BE227" t="str">
        <f t="shared" si="93"/>
        <v/>
      </c>
      <c r="BF227" t="str">
        <f t="shared" si="94"/>
        <v/>
      </c>
      <c r="BG227" t="str">
        <f t="shared" si="95"/>
        <v/>
      </c>
      <c r="BH227" t="str">
        <f t="shared" si="96"/>
        <v/>
      </c>
      <c r="BI227" t="str">
        <f t="shared" si="97"/>
        <v/>
      </c>
      <c r="BJ227" t="str">
        <f t="shared" si="98"/>
        <v/>
      </c>
      <c r="BK227" t="str">
        <f t="shared" si="99"/>
        <v/>
      </c>
      <c r="BL227" t="str">
        <f t="shared" si="100"/>
        <v/>
      </c>
      <c r="BM227" t="str">
        <f t="shared" si="101"/>
        <v/>
      </c>
      <c r="BN227" t="str">
        <f t="shared" si="102"/>
        <v/>
      </c>
      <c r="BO227" t="str">
        <f t="shared" si="103"/>
        <v/>
      </c>
      <c r="BP227" t="str">
        <f t="shared" si="104"/>
        <v/>
      </c>
      <c r="BQ227" t="str">
        <f t="shared" si="105"/>
        <v/>
      </c>
      <c r="BR227" t="str">
        <f t="shared" si="106"/>
        <v/>
      </c>
      <c r="BS227" t="str">
        <f t="shared" si="107"/>
        <v/>
      </c>
      <c r="BT227" t="str">
        <f t="shared" si="108"/>
        <v/>
      </c>
      <c r="BU227" t="str">
        <f t="shared" si="109"/>
        <v/>
      </c>
    </row>
    <row r="228" spans="1:73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ConcatenateRange(AZ228:BU228,"||")</f>
        <v/>
      </c>
      <c r="AZ228" t="str">
        <f t="shared" si="88"/>
        <v/>
      </c>
      <c r="BA228" t="str">
        <f t="shared" si="89"/>
        <v/>
      </c>
      <c r="BB228" t="str">
        <f t="shared" si="90"/>
        <v/>
      </c>
      <c r="BC228" t="str">
        <f t="shared" si="91"/>
        <v/>
      </c>
      <c r="BD228" t="str">
        <f t="shared" si="92"/>
        <v/>
      </c>
      <c r="BE228" t="str">
        <f t="shared" si="93"/>
        <v/>
      </c>
      <c r="BF228" t="str">
        <f t="shared" si="94"/>
        <v/>
      </c>
      <c r="BG228" t="str">
        <f t="shared" si="95"/>
        <v/>
      </c>
      <c r="BH228" t="str">
        <f t="shared" si="96"/>
        <v/>
      </c>
      <c r="BI228" t="str">
        <f t="shared" si="97"/>
        <v/>
      </c>
      <c r="BJ228" t="str">
        <f t="shared" si="98"/>
        <v/>
      </c>
      <c r="BK228" t="str">
        <f t="shared" si="99"/>
        <v/>
      </c>
      <c r="BL228" t="str">
        <f t="shared" si="100"/>
        <v/>
      </c>
      <c r="BM228" t="str">
        <f t="shared" si="101"/>
        <v/>
      </c>
      <c r="BN228" t="str">
        <f t="shared" si="102"/>
        <v/>
      </c>
      <c r="BO228" t="str">
        <f t="shared" si="103"/>
        <v/>
      </c>
      <c r="BP228" t="str">
        <f t="shared" si="104"/>
        <v/>
      </c>
      <c r="BQ228" t="str">
        <f t="shared" si="105"/>
        <v/>
      </c>
      <c r="BR228" t="str">
        <f t="shared" si="106"/>
        <v/>
      </c>
      <c r="BS228" t="str">
        <f t="shared" si="107"/>
        <v/>
      </c>
      <c r="BT228" t="str">
        <f t="shared" si="108"/>
        <v/>
      </c>
      <c r="BU228" t="str">
        <f t="shared" si="109"/>
        <v/>
      </c>
    </row>
    <row r="229" spans="1:73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ConcatenateRange(AZ229:BU229,"||")</f>
        <v/>
      </c>
      <c r="AZ229" t="str">
        <f t="shared" si="88"/>
        <v/>
      </c>
      <c r="BA229" t="str">
        <f t="shared" si="89"/>
        <v/>
      </c>
      <c r="BB229" t="str">
        <f t="shared" si="90"/>
        <v/>
      </c>
      <c r="BC229" t="str">
        <f t="shared" si="91"/>
        <v/>
      </c>
      <c r="BD229" t="str">
        <f t="shared" si="92"/>
        <v/>
      </c>
      <c r="BE229" t="str">
        <f t="shared" si="93"/>
        <v/>
      </c>
      <c r="BF229" t="str">
        <f t="shared" si="94"/>
        <v/>
      </c>
      <c r="BG229" t="str">
        <f t="shared" si="95"/>
        <v/>
      </c>
      <c r="BH229" t="str">
        <f t="shared" si="96"/>
        <v/>
      </c>
      <c r="BI229" t="str">
        <f t="shared" si="97"/>
        <v/>
      </c>
      <c r="BJ229" t="str">
        <f t="shared" si="98"/>
        <v/>
      </c>
      <c r="BK229" t="str">
        <f t="shared" si="99"/>
        <v/>
      </c>
      <c r="BL229" t="str">
        <f t="shared" si="100"/>
        <v/>
      </c>
      <c r="BM229" t="str">
        <f t="shared" si="101"/>
        <v/>
      </c>
      <c r="BN229" t="str">
        <f t="shared" si="102"/>
        <v/>
      </c>
      <c r="BO229" t="str">
        <f t="shared" si="103"/>
        <v/>
      </c>
      <c r="BP229" t="str">
        <f t="shared" si="104"/>
        <v/>
      </c>
      <c r="BQ229" t="str">
        <f t="shared" si="105"/>
        <v/>
      </c>
      <c r="BR229" t="str">
        <f t="shared" si="106"/>
        <v/>
      </c>
      <c r="BS229" t="str">
        <f t="shared" si="107"/>
        <v/>
      </c>
      <c r="BT229" t="str">
        <f t="shared" si="108"/>
        <v/>
      </c>
      <c r="BU229" t="str">
        <f t="shared" si="109"/>
        <v/>
      </c>
    </row>
    <row r="230" spans="1:73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ConcatenateRange(AZ230:BU230,"||")</f>
        <v/>
      </c>
      <c r="AZ230" t="str">
        <f t="shared" si="88"/>
        <v/>
      </c>
      <c r="BA230" t="str">
        <f t="shared" si="89"/>
        <v/>
      </c>
      <c r="BB230" t="str">
        <f t="shared" si="90"/>
        <v/>
      </c>
      <c r="BC230" t="str">
        <f t="shared" si="91"/>
        <v/>
      </c>
      <c r="BD230" t="str">
        <f t="shared" si="92"/>
        <v/>
      </c>
      <c r="BE230" t="str">
        <f t="shared" si="93"/>
        <v/>
      </c>
      <c r="BF230" t="str">
        <f t="shared" si="94"/>
        <v/>
      </c>
      <c r="BG230" t="str">
        <f t="shared" si="95"/>
        <v/>
      </c>
      <c r="BH230" t="str">
        <f t="shared" si="96"/>
        <v/>
      </c>
      <c r="BI230" t="str">
        <f t="shared" si="97"/>
        <v/>
      </c>
      <c r="BJ230" t="str">
        <f t="shared" si="98"/>
        <v/>
      </c>
      <c r="BK230" t="str">
        <f t="shared" si="99"/>
        <v/>
      </c>
      <c r="BL230" t="str">
        <f t="shared" si="100"/>
        <v/>
      </c>
      <c r="BM230" t="str">
        <f t="shared" si="101"/>
        <v/>
      </c>
      <c r="BN230" t="str">
        <f t="shared" si="102"/>
        <v/>
      </c>
      <c r="BO230" t="str">
        <f t="shared" si="103"/>
        <v/>
      </c>
      <c r="BP230" t="str">
        <f t="shared" si="104"/>
        <v/>
      </c>
      <c r="BQ230" t="str">
        <f t="shared" si="105"/>
        <v/>
      </c>
      <c r="BR230" t="str">
        <f t="shared" si="106"/>
        <v/>
      </c>
      <c r="BS230" t="str">
        <f t="shared" si="107"/>
        <v/>
      </c>
      <c r="BT230" t="str">
        <f t="shared" si="108"/>
        <v/>
      </c>
      <c r="BU230" t="str">
        <f t="shared" si="109"/>
        <v/>
      </c>
    </row>
    <row r="231" spans="1:73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ConcatenateRange(AZ231:BU231,"||")</f>
        <v/>
      </c>
      <c r="AZ231" t="str">
        <f t="shared" si="88"/>
        <v/>
      </c>
      <c r="BA231" t="str">
        <f t="shared" si="89"/>
        <v/>
      </c>
      <c r="BB231" t="str">
        <f t="shared" si="90"/>
        <v/>
      </c>
      <c r="BC231" t="str">
        <f t="shared" si="91"/>
        <v/>
      </c>
      <c r="BD231" t="str">
        <f t="shared" si="92"/>
        <v/>
      </c>
      <c r="BE231" t="str">
        <f t="shared" si="93"/>
        <v/>
      </c>
      <c r="BF231" t="str">
        <f t="shared" si="94"/>
        <v/>
      </c>
      <c r="BG231" t="str">
        <f t="shared" si="95"/>
        <v/>
      </c>
      <c r="BH231" t="str">
        <f t="shared" si="96"/>
        <v/>
      </c>
      <c r="BI231" t="str">
        <f t="shared" si="97"/>
        <v/>
      </c>
      <c r="BJ231" t="str">
        <f t="shared" si="98"/>
        <v/>
      </c>
      <c r="BK231" t="str">
        <f t="shared" si="99"/>
        <v/>
      </c>
      <c r="BL231" t="str">
        <f t="shared" si="100"/>
        <v/>
      </c>
      <c r="BM231" t="str">
        <f t="shared" si="101"/>
        <v/>
      </c>
      <c r="BN231" t="str">
        <f t="shared" si="102"/>
        <v/>
      </c>
      <c r="BO231" t="str">
        <f t="shared" si="103"/>
        <v/>
      </c>
      <c r="BP231" t="str">
        <f t="shared" si="104"/>
        <v/>
      </c>
      <c r="BQ231" t="str">
        <f t="shared" si="105"/>
        <v/>
      </c>
      <c r="BR231" t="str">
        <f t="shared" si="106"/>
        <v/>
      </c>
      <c r="BS231" t="str">
        <f t="shared" si="107"/>
        <v/>
      </c>
      <c r="BT231" t="str">
        <f t="shared" si="108"/>
        <v/>
      </c>
      <c r="BU231" t="str">
        <f t="shared" si="109"/>
        <v/>
      </c>
    </row>
    <row r="232" spans="1:73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ConcatenateRange(AZ232:BU232,"||")</f>
        <v/>
      </c>
      <c r="AZ232" t="str">
        <f t="shared" si="88"/>
        <v/>
      </c>
      <c r="BA232" t="str">
        <f t="shared" si="89"/>
        <v/>
      </c>
      <c r="BB232" t="str">
        <f t="shared" si="90"/>
        <v/>
      </c>
      <c r="BC232" t="str">
        <f t="shared" si="91"/>
        <v/>
      </c>
      <c r="BD232" t="str">
        <f t="shared" si="92"/>
        <v/>
      </c>
      <c r="BE232" t="str">
        <f t="shared" si="93"/>
        <v/>
      </c>
      <c r="BF232" t="str">
        <f t="shared" si="94"/>
        <v/>
      </c>
      <c r="BG232" t="str">
        <f t="shared" si="95"/>
        <v/>
      </c>
      <c r="BH232" t="str">
        <f t="shared" si="96"/>
        <v/>
      </c>
      <c r="BI232" t="str">
        <f t="shared" si="97"/>
        <v/>
      </c>
      <c r="BJ232" t="str">
        <f t="shared" si="98"/>
        <v/>
      </c>
      <c r="BK232" t="str">
        <f t="shared" si="99"/>
        <v/>
      </c>
      <c r="BL232" t="str">
        <f t="shared" si="100"/>
        <v/>
      </c>
      <c r="BM232" t="str">
        <f t="shared" si="101"/>
        <v/>
      </c>
      <c r="BN232" t="str">
        <f t="shared" si="102"/>
        <v/>
      </c>
      <c r="BO232" t="str">
        <f t="shared" si="103"/>
        <v/>
      </c>
      <c r="BP232" t="str">
        <f t="shared" si="104"/>
        <v/>
      </c>
      <c r="BQ232" t="str">
        <f t="shared" si="105"/>
        <v/>
      </c>
      <c r="BR232" t="str">
        <f t="shared" si="106"/>
        <v/>
      </c>
      <c r="BS232" t="str">
        <f t="shared" si="107"/>
        <v/>
      </c>
      <c r="BT232" t="str">
        <f t="shared" si="108"/>
        <v/>
      </c>
      <c r="BU232" t="str">
        <f t="shared" si="109"/>
        <v/>
      </c>
    </row>
    <row r="233" spans="1:73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ConcatenateRange(AZ233:BU233,"||")</f>
        <v/>
      </c>
      <c r="AZ233" t="str">
        <f t="shared" si="88"/>
        <v/>
      </c>
      <c r="BA233" t="str">
        <f t="shared" si="89"/>
        <v/>
      </c>
      <c r="BB233" t="str">
        <f t="shared" si="90"/>
        <v/>
      </c>
      <c r="BC233" t="str">
        <f t="shared" si="91"/>
        <v/>
      </c>
      <c r="BD233" t="str">
        <f t="shared" si="92"/>
        <v/>
      </c>
      <c r="BE233" t="str">
        <f t="shared" si="93"/>
        <v/>
      </c>
      <c r="BF233" t="str">
        <f t="shared" si="94"/>
        <v/>
      </c>
      <c r="BG233" t="str">
        <f t="shared" si="95"/>
        <v/>
      </c>
      <c r="BH233" t="str">
        <f t="shared" si="96"/>
        <v/>
      </c>
      <c r="BI233" t="str">
        <f t="shared" si="97"/>
        <v/>
      </c>
      <c r="BJ233" t="str">
        <f t="shared" si="98"/>
        <v/>
      </c>
      <c r="BK233" t="str">
        <f t="shared" si="99"/>
        <v/>
      </c>
      <c r="BL233" t="str">
        <f t="shared" si="100"/>
        <v/>
      </c>
      <c r="BM233" t="str">
        <f t="shared" si="101"/>
        <v/>
      </c>
      <c r="BN233" t="str">
        <f t="shared" si="102"/>
        <v/>
      </c>
      <c r="BO233" t="str">
        <f t="shared" si="103"/>
        <v/>
      </c>
      <c r="BP233" t="str">
        <f t="shared" si="104"/>
        <v/>
      </c>
      <c r="BQ233" t="str">
        <f t="shared" si="105"/>
        <v/>
      </c>
      <c r="BR233" t="str">
        <f t="shared" si="106"/>
        <v/>
      </c>
      <c r="BS233" t="str">
        <f t="shared" si="107"/>
        <v/>
      </c>
      <c r="BT233" t="str">
        <f t="shared" si="108"/>
        <v/>
      </c>
      <c r="BU233" t="str">
        <f t="shared" si="109"/>
        <v/>
      </c>
    </row>
    <row r="234" spans="1:73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ConcatenateRange(AZ234:BU234,"||")</f>
        <v/>
      </c>
      <c r="AZ234" t="str">
        <f t="shared" si="88"/>
        <v/>
      </c>
      <c r="BA234" t="str">
        <f t="shared" si="89"/>
        <v/>
      </c>
      <c r="BB234" t="str">
        <f t="shared" si="90"/>
        <v/>
      </c>
      <c r="BC234" t="str">
        <f t="shared" si="91"/>
        <v/>
      </c>
      <c r="BD234" t="str">
        <f t="shared" si="92"/>
        <v/>
      </c>
      <c r="BE234" t="str">
        <f t="shared" si="93"/>
        <v/>
      </c>
      <c r="BF234" t="str">
        <f t="shared" si="94"/>
        <v/>
      </c>
      <c r="BG234" t="str">
        <f t="shared" si="95"/>
        <v/>
      </c>
      <c r="BH234" t="str">
        <f t="shared" si="96"/>
        <v/>
      </c>
      <c r="BI234" t="str">
        <f t="shared" si="97"/>
        <v/>
      </c>
      <c r="BJ234" t="str">
        <f t="shared" si="98"/>
        <v/>
      </c>
      <c r="BK234" t="str">
        <f t="shared" si="99"/>
        <v/>
      </c>
      <c r="BL234" t="str">
        <f t="shared" si="100"/>
        <v/>
      </c>
      <c r="BM234" t="str">
        <f t="shared" si="101"/>
        <v/>
      </c>
      <c r="BN234" t="str">
        <f t="shared" si="102"/>
        <v/>
      </c>
      <c r="BO234" t="str">
        <f t="shared" si="103"/>
        <v/>
      </c>
      <c r="BP234" t="str">
        <f t="shared" si="104"/>
        <v/>
      </c>
      <c r="BQ234" t="str">
        <f t="shared" si="105"/>
        <v/>
      </c>
      <c r="BR234" t="str">
        <f t="shared" si="106"/>
        <v/>
      </c>
      <c r="BS234" t="str">
        <f t="shared" si="107"/>
        <v/>
      </c>
      <c r="BT234" t="str">
        <f t="shared" si="108"/>
        <v/>
      </c>
      <c r="BU234" t="str">
        <f t="shared" si="109"/>
        <v/>
      </c>
    </row>
    <row r="235" spans="1:73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ConcatenateRange(AZ235:BU235,"||")</f>
        <v/>
      </c>
      <c r="AZ235" t="str">
        <f t="shared" si="88"/>
        <v/>
      </c>
      <c r="BA235" t="str">
        <f t="shared" si="89"/>
        <v/>
      </c>
      <c r="BB235" t="str">
        <f t="shared" si="90"/>
        <v/>
      </c>
      <c r="BC235" t="str">
        <f t="shared" si="91"/>
        <v/>
      </c>
      <c r="BD235" t="str">
        <f t="shared" si="92"/>
        <v/>
      </c>
      <c r="BE235" t="str">
        <f t="shared" si="93"/>
        <v/>
      </c>
      <c r="BF235" t="str">
        <f t="shared" si="94"/>
        <v/>
      </c>
      <c r="BG235" t="str">
        <f t="shared" si="95"/>
        <v/>
      </c>
      <c r="BH235" t="str">
        <f t="shared" si="96"/>
        <v/>
      </c>
      <c r="BI235" t="str">
        <f t="shared" si="97"/>
        <v/>
      </c>
      <c r="BJ235" t="str">
        <f t="shared" si="98"/>
        <v/>
      </c>
      <c r="BK235" t="str">
        <f t="shared" si="99"/>
        <v/>
      </c>
      <c r="BL235" t="str">
        <f t="shared" si="100"/>
        <v/>
      </c>
      <c r="BM235" t="str">
        <f t="shared" si="101"/>
        <v/>
      </c>
      <c r="BN235" t="str">
        <f t="shared" si="102"/>
        <v/>
      </c>
      <c r="BO235" t="str">
        <f t="shared" si="103"/>
        <v/>
      </c>
      <c r="BP235" t="str">
        <f t="shared" si="104"/>
        <v/>
      </c>
      <c r="BQ235" t="str">
        <f t="shared" si="105"/>
        <v/>
      </c>
      <c r="BR235" t="str">
        <f t="shared" si="106"/>
        <v/>
      </c>
      <c r="BS235" t="str">
        <f t="shared" si="107"/>
        <v/>
      </c>
      <c r="BT235" t="str">
        <f t="shared" si="108"/>
        <v/>
      </c>
      <c r="BU235" t="str">
        <f t="shared" si="109"/>
        <v/>
      </c>
    </row>
    <row r="236" spans="1:73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ConcatenateRange(AZ236:BU236,"||")</f>
        <v/>
      </c>
      <c r="AZ236" t="str">
        <f t="shared" si="88"/>
        <v/>
      </c>
      <c r="BA236" t="str">
        <f t="shared" si="89"/>
        <v/>
      </c>
      <c r="BB236" t="str">
        <f t="shared" si="90"/>
        <v/>
      </c>
      <c r="BC236" t="str">
        <f t="shared" si="91"/>
        <v/>
      </c>
      <c r="BD236" t="str">
        <f t="shared" si="92"/>
        <v/>
      </c>
      <c r="BE236" t="str">
        <f t="shared" si="93"/>
        <v/>
      </c>
      <c r="BF236" t="str">
        <f t="shared" si="94"/>
        <v/>
      </c>
      <c r="BG236" t="str">
        <f t="shared" si="95"/>
        <v/>
      </c>
      <c r="BH236" t="str">
        <f t="shared" si="96"/>
        <v/>
      </c>
      <c r="BI236" t="str">
        <f t="shared" si="97"/>
        <v/>
      </c>
      <c r="BJ236" t="str">
        <f t="shared" si="98"/>
        <v/>
      </c>
      <c r="BK236" t="str">
        <f t="shared" si="99"/>
        <v/>
      </c>
      <c r="BL236" t="str">
        <f t="shared" si="100"/>
        <v/>
      </c>
      <c r="BM236" t="str">
        <f t="shared" si="101"/>
        <v/>
      </c>
      <c r="BN236" t="str">
        <f t="shared" si="102"/>
        <v/>
      </c>
      <c r="BO236" t="str">
        <f t="shared" si="103"/>
        <v/>
      </c>
      <c r="BP236" t="str">
        <f t="shared" si="104"/>
        <v/>
      </c>
      <c r="BQ236" t="str">
        <f t="shared" si="105"/>
        <v/>
      </c>
      <c r="BR236" t="str">
        <f t="shared" si="106"/>
        <v/>
      </c>
      <c r="BS236" t="str">
        <f t="shared" si="107"/>
        <v/>
      </c>
      <c r="BT236" t="str">
        <f t="shared" si="108"/>
        <v/>
      </c>
      <c r="BU236" t="str">
        <f t="shared" si="109"/>
        <v/>
      </c>
    </row>
    <row r="237" spans="1:73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ConcatenateRange(AZ237:BU237,"||")</f>
        <v/>
      </c>
      <c r="AZ237" t="str">
        <f t="shared" si="88"/>
        <v/>
      </c>
      <c r="BA237" t="str">
        <f t="shared" si="89"/>
        <v/>
      </c>
      <c r="BB237" t="str">
        <f t="shared" si="90"/>
        <v/>
      </c>
      <c r="BC237" t="str">
        <f t="shared" si="91"/>
        <v/>
      </c>
      <c r="BD237" t="str">
        <f t="shared" si="92"/>
        <v/>
      </c>
      <c r="BE237" t="str">
        <f t="shared" si="93"/>
        <v/>
      </c>
      <c r="BF237" t="str">
        <f t="shared" si="94"/>
        <v/>
      </c>
      <c r="BG237" t="str">
        <f t="shared" si="95"/>
        <v/>
      </c>
      <c r="BH237" t="str">
        <f t="shared" si="96"/>
        <v/>
      </c>
      <c r="BI237" t="str">
        <f t="shared" si="97"/>
        <v/>
      </c>
      <c r="BJ237" t="str">
        <f t="shared" si="98"/>
        <v/>
      </c>
      <c r="BK237" t="str">
        <f t="shared" si="99"/>
        <v/>
      </c>
      <c r="BL237" t="str">
        <f t="shared" si="100"/>
        <v/>
      </c>
      <c r="BM237" t="str">
        <f t="shared" si="101"/>
        <v/>
      </c>
      <c r="BN237" t="str">
        <f t="shared" si="102"/>
        <v/>
      </c>
      <c r="BO237" t="str">
        <f t="shared" si="103"/>
        <v/>
      </c>
      <c r="BP237" t="str">
        <f t="shared" si="104"/>
        <v/>
      </c>
      <c r="BQ237" t="str">
        <f t="shared" si="105"/>
        <v/>
      </c>
      <c r="BR237" t="str">
        <f t="shared" si="106"/>
        <v/>
      </c>
      <c r="BS237" t="str">
        <f t="shared" si="107"/>
        <v/>
      </c>
      <c r="BT237" t="str">
        <f t="shared" si="108"/>
        <v/>
      </c>
      <c r="BU237" t="str">
        <f t="shared" si="109"/>
        <v/>
      </c>
    </row>
    <row r="238" spans="1:73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>ConcatenateRange(AZ238:BU238,"||")</f>
        <v/>
      </c>
      <c r="AZ238" t="str">
        <f t="shared" si="88"/>
        <v/>
      </c>
      <c r="BA238" t="str">
        <f t="shared" si="89"/>
        <v/>
      </c>
      <c r="BB238" t="str">
        <f t="shared" si="90"/>
        <v/>
      </c>
      <c r="BC238" t="str">
        <f t="shared" si="91"/>
        <v/>
      </c>
      <c r="BD238" t="str">
        <f t="shared" si="92"/>
        <v/>
      </c>
      <c r="BE238" t="str">
        <f t="shared" si="93"/>
        <v/>
      </c>
      <c r="BF238" t="str">
        <f t="shared" si="94"/>
        <v/>
      </c>
      <c r="BG238" t="str">
        <f t="shared" si="95"/>
        <v/>
      </c>
      <c r="BH238" t="str">
        <f t="shared" si="96"/>
        <v/>
      </c>
      <c r="BI238" t="str">
        <f t="shared" si="97"/>
        <v/>
      </c>
      <c r="BJ238" t="str">
        <f t="shared" si="98"/>
        <v/>
      </c>
      <c r="BK238" t="str">
        <f t="shared" si="99"/>
        <v/>
      </c>
      <c r="BL238" t="str">
        <f t="shared" si="100"/>
        <v/>
      </c>
      <c r="BM238" t="str">
        <f t="shared" si="101"/>
        <v/>
      </c>
      <c r="BN238" t="str">
        <f t="shared" si="102"/>
        <v/>
      </c>
      <c r="BO238" t="str">
        <f t="shared" si="103"/>
        <v/>
      </c>
      <c r="BP238" t="str">
        <f t="shared" si="104"/>
        <v/>
      </c>
      <c r="BQ238" t="str">
        <f t="shared" si="105"/>
        <v/>
      </c>
      <c r="BR238" t="str">
        <f t="shared" si="106"/>
        <v/>
      </c>
      <c r="BS238" t="str">
        <f t="shared" si="107"/>
        <v/>
      </c>
      <c r="BT238" t="str">
        <f t="shared" si="108"/>
        <v/>
      </c>
      <c r="BU238" t="str">
        <f t="shared" si="109"/>
        <v/>
      </c>
    </row>
    <row r="239" spans="1:73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88"/>
        <v/>
      </c>
      <c r="BA239" t="str">
        <f t="shared" si="89"/>
        <v>2 x / dag</v>
      </c>
      <c r="BB239" t="str">
        <f t="shared" si="90"/>
        <v>3 x / dag</v>
      </c>
      <c r="BC239" t="str">
        <f t="shared" si="91"/>
        <v>4 x / dag</v>
      </c>
      <c r="BD239" t="str">
        <f t="shared" si="92"/>
        <v/>
      </c>
      <c r="BE239" t="str">
        <f t="shared" si="93"/>
        <v/>
      </c>
      <c r="BF239" t="str">
        <f t="shared" si="94"/>
        <v/>
      </c>
      <c r="BG239" t="str">
        <f t="shared" si="95"/>
        <v/>
      </c>
      <c r="BH239" t="str">
        <f t="shared" si="96"/>
        <v/>
      </c>
      <c r="BI239" t="str">
        <f t="shared" si="97"/>
        <v/>
      </c>
      <c r="BJ239" t="str">
        <f t="shared" si="98"/>
        <v/>
      </c>
      <c r="BK239" t="str">
        <f t="shared" si="99"/>
        <v/>
      </c>
      <c r="BL239" t="str">
        <f t="shared" si="100"/>
        <v/>
      </c>
      <c r="BM239" t="str">
        <f t="shared" si="101"/>
        <v/>
      </c>
      <c r="BN239" t="str">
        <f t="shared" si="102"/>
        <v/>
      </c>
      <c r="BO239" t="str">
        <f t="shared" si="103"/>
        <v/>
      </c>
      <c r="BP239" t="str">
        <f t="shared" si="104"/>
        <v/>
      </c>
      <c r="BQ239" t="str">
        <f t="shared" si="105"/>
        <v/>
      </c>
      <c r="BR239" t="str">
        <f t="shared" si="106"/>
        <v/>
      </c>
      <c r="BS239" t="str">
        <f t="shared" si="107"/>
        <v/>
      </c>
      <c r="BT239" t="str">
        <f t="shared" si="108"/>
        <v/>
      </c>
      <c r="BU239" t="str">
        <f t="shared" si="109"/>
        <v/>
      </c>
    </row>
    <row r="240" spans="1:73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ConcatenateRange(AZ240:BU240,"||")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88"/>
        <v/>
      </c>
      <c r="BA240" t="str">
        <f t="shared" si="89"/>
        <v>2 x / dag</v>
      </c>
      <c r="BB240" t="str">
        <f t="shared" si="90"/>
        <v>3 x / dag</v>
      </c>
      <c r="BC240" t="str">
        <f t="shared" si="91"/>
        <v>4 x / dag</v>
      </c>
      <c r="BD240" t="str">
        <f t="shared" si="92"/>
        <v/>
      </c>
      <c r="BE240" t="str">
        <f t="shared" si="93"/>
        <v/>
      </c>
      <c r="BF240" t="str">
        <f t="shared" si="94"/>
        <v/>
      </c>
      <c r="BG240" t="str">
        <f t="shared" si="95"/>
        <v/>
      </c>
      <c r="BH240" t="str">
        <f t="shared" si="96"/>
        <v/>
      </c>
      <c r="BI240" t="str">
        <f t="shared" si="97"/>
        <v/>
      </c>
      <c r="BJ240" t="str">
        <f t="shared" si="98"/>
        <v/>
      </c>
      <c r="BK240" t="str">
        <f t="shared" si="99"/>
        <v/>
      </c>
      <c r="BL240" t="str">
        <f t="shared" si="100"/>
        <v/>
      </c>
      <c r="BM240" t="str">
        <f t="shared" si="101"/>
        <v/>
      </c>
      <c r="BN240" t="str">
        <f t="shared" si="102"/>
        <v/>
      </c>
      <c r="BO240" t="str">
        <f t="shared" si="103"/>
        <v/>
      </c>
      <c r="BP240" t="str">
        <f t="shared" si="104"/>
        <v/>
      </c>
      <c r="BQ240" t="str">
        <f t="shared" si="105"/>
        <v/>
      </c>
      <c r="BR240" t="str">
        <f t="shared" si="106"/>
        <v/>
      </c>
      <c r="BS240" t="str">
        <f t="shared" si="107"/>
        <v/>
      </c>
      <c r="BT240" t="str">
        <f t="shared" si="108"/>
        <v/>
      </c>
      <c r="BU240" t="str">
        <f t="shared" si="109"/>
        <v/>
      </c>
    </row>
    <row r="241" spans="1:73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ConcatenateRange(AZ241:BU241,"||")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88"/>
        <v/>
      </c>
      <c r="BA241" t="str">
        <f t="shared" si="89"/>
        <v>2 x / dag</v>
      </c>
      <c r="BB241" t="str">
        <f t="shared" si="90"/>
        <v>3 x / dag</v>
      </c>
      <c r="BC241" t="str">
        <f t="shared" si="91"/>
        <v>4 x / dag</v>
      </c>
      <c r="BD241" t="str">
        <f t="shared" si="92"/>
        <v/>
      </c>
      <c r="BE241" t="str">
        <f t="shared" si="93"/>
        <v/>
      </c>
      <c r="BF241" t="str">
        <f t="shared" si="94"/>
        <v/>
      </c>
      <c r="BG241" t="str">
        <f t="shared" si="95"/>
        <v/>
      </c>
      <c r="BH241" t="str">
        <f t="shared" si="96"/>
        <v/>
      </c>
      <c r="BI241" t="str">
        <f t="shared" si="97"/>
        <v/>
      </c>
      <c r="BJ241" t="str">
        <f t="shared" si="98"/>
        <v/>
      </c>
      <c r="BK241" t="str">
        <f t="shared" si="99"/>
        <v/>
      </c>
      <c r="BL241" t="str">
        <f t="shared" si="100"/>
        <v/>
      </c>
      <c r="BM241" t="str">
        <f t="shared" si="101"/>
        <v/>
      </c>
      <c r="BN241" t="str">
        <f t="shared" si="102"/>
        <v/>
      </c>
      <c r="BO241" t="str">
        <f t="shared" si="103"/>
        <v/>
      </c>
      <c r="BP241" t="str">
        <f t="shared" si="104"/>
        <v/>
      </c>
      <c r="BQ241" t="str">
        <f t="shared" si="105"/>
        <v/>
      </c>
      <c r="BR241" t="str">
        <f t="shared" si="106"/>
        <v/>
      </c>
      <c r="BS241" t="str">
        <f t="shared" si="107"/>
        <v/>
      </c>
      <c r="BT241" t="str">
        <f t="shared" si="108"/>
        <v/>
      </c>
      <c r="BU241" t="str">
        <f t="shared" si="109"/>
        <v/>
      </c>
    </row>
    <row r="242" spans="1:73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ConcatenateRange(AZ242:BU242,"||")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10">IF(AA242&lt;&gt;0,AA$2,"")</f>
        <v/>
      </c>
      <c r="BA242" t="str">
        <f t="shared" ref="BA242:BA301" si="111">IF(AB242&lt;&gt;0,AB$2,"")</f>
        <v>2 x / dag</v>
      </c>
      <c r="BB242" t="str">
        <f t="shared" ref="BB242:BB301" si="112">IF(AC242&lt;&gt;0,AC$2,"")</f>
        <v>3 x / dag</v>
      </c>
      <c r="BC242" t="str">
        <f t="shared" ref="BC242:BC301" si="113">IF(AD242&lt;&gt;0,AD$2,"")</f>
        <v>4 x / dag</v>
      </c>
      <c r="BD242" t="str">
        <f t="shared" ref="BD242:BD301" si="114">IF(AE242&lt;&gt;0,AE$2,"")</f>
        <v>5 x / dag</v>
      </c>
      <c r="BE242" t="str">
        <f t="shared" ref="BE242:BE301" si="115">IF(AF242&lt;&gt;0,AF$2,"")</f>
        <v>6 x / dag</v>
      </c>
      <c r="BF242" t="str">
        <f t="shared" ref="BF242:BF301" si="116">IF(AG242&lt;&gt;0,AG$2,"")</f>
        <v/>
      </c>
      <c r="BG242" t="str">
        <f t="shared" ref="BG242:BG301" si="117">IF(AH242&lt;&gt;0,AH$2,"")</f>
        <v/>
      </c>
      <c r="BH242" t="str">
        <f t="shared" ref="BH242:BH301" si="118">IF(AI242&lt;&gt;0,AI$2,"")</f>
        <v/>
      </c>
      <c r="BI242" t="str">
        <f t="shared" ref="BI242:BI301" si="119">IF(AJ242&lt;&gt;0,AJ$2,"")</f>
        <v/>
      </c>
      <c r="BJ242" t="str">
        <f t="shared" ref="BJ242:BJ301" si="120">IF(AK242&lt;&gt;0,AK$2,"")</f>
        <v/>
      </c>
      <c r="BK242" t="str">
        <f t="shared" ref="BK242:BK301" si="121">IF(AL242&lt;&gt;0,AL$2,"")</f>
        <v/>
      </c>
      <c r="BL242" t="str">
        <f t="shared" ref="BL242:BL301" si="122">IF(AM242&lt;&gt;0,AM$2,"")</f>
        <v/>
      </c>
      <c r="BM242" t="str">
        <f t="shared" ref="BM242:BM301" si="123">IF(AN242&lt;&gt;0,AN$2,"")</f>
        <v/>
      </c>
      <c r="BN242" t="str">
        <f t="shared" ref="BN242:BN301" si="124">IF(AO242&lt;&gt;0,AO$2,"")</f>
        <v/>
      </c>
      <c r="BO242" t="str">
        <f t="shared" ref="BO242:BO301" si="125">IF(AP242&lt;&gt;0,AP$2,"")</f>
        <v/>
      </c>
      <c r="BP242" t="str">
        <f t="shared" ref="BP242:BP301" si="126">IF(AQ242&lt;&gt;0,AQ$2,"")</f>
        <v/>
      </c>
      <c r="BQ242" t="str">
        <f t="shared" ref="BQ242:BQ301" si="127">IF(AR242&lt;&gt;0,AR$2,"")</f>
        <v/>
      </c>
      <c r="BR242" t="str">
        <f t="shared" ref="BR242:BR301" si="128">IF(AS242&lt;&gt;0,AS$2,"")</f>
        <v/>
      </c>
      <c r="BS242" t="str">
        <f t="shared" ref="BS242:BS301" si="129">IF(AT242&lt;&gt;0,AT$2,"")</f>
        <v/>
      </c>
      <c r="BT242" t="str">
        <f t="shared" ref="BT242:BT301" si="130">IF(AU242&lt;&gt;0,AU$2,"")</f>
        <v/>
      </c>
      <c r="BU242" t="str">
        <f t="shared" ref="BU242:BU301" si="131">IF(AV242&lt;&gt;0,AV$2,"")</f>
        <v/>
      </c>
    </row>
    <row r="243" spans="1:73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ConcatenateRange(AZ243:BU243,"||")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10"/>
        <v/>
      </c>
      <c r="BA243" t="str">
        <f t="shared" si="111"/>
        <v>2 x / dag</v>
      </c>
      <c r="BB243" t="str">
        <f t="shared" si="112"/>
        <v>3 x / dag</v>
      </c>
      <c r="BC243" t="str">
        <f t="shared" si="113"/>
        <v>4 x / dag</v>
      </c>
      <c r="BD243" t="str">
        <f t="shared" si="114"/>
        <v>5 x / dag</v>
      </c>
      <c r="BE243" t="str">
        <f t="shared" si="115"/>
        <v>6 x / dag</v>
      </c>
      <c r="BF243" t="str">
        <f t="shared" si="116"/>
        <v/>
      </c>
      <c r="BG243" t="str">
        <f t="shared" si="117"/>
        <v/>
      </c>
      <c r="BH243" t="str">
        <f t="shared" si="118"/>
        <v/>
      </c>
      <c r="BI243" t="str">
        <f t="shared" si="119"/>
        <v/>
      </c>
      <c r="BJ243" t="str">
        <f t="shared" si="120"/>
        <v/>
      </c>
      <c r="BK243" t="str">
        <f t="shared" si="121"/>
        <v/>
      </c>
      <c r="BL243" t="str">
        <f t="shared" si="122"/>
        <v/>
      </c>
      <c r="BM243" t="str">
        <f t="shared" si="123"/>
        <v/>
      </c>
      <c r="BN243" t="str">
        <f t="shared" si="124"/>
        <v/>
      </c>
      <c r="BO243" t="str">
        <f t="shared" si="125"/>
        <v/>
      </c>
      <c r="BP243" t="str">
        <f t="shared" si="126"/>
        <v/>
      </c>
      <c r="BQ243" t="str">
        <f t="shared" si="127"/>
        <v/>
      </c>
      <c r="BR243" t="str">
        <f t="shared" si="128"/>
        <v/>
      </c>
      <c r="BS243" t="str">
        <f t="shared" si="129"/>
        <v/>
      </c>
      <c r="BT243" t="str">
        <f t="shared" si="130"/>
        <v/>
      </c>
      <c r="BU243" t="str">
        <f t="shared" si="131"/>
        <v/>
      </c>
    </row>
    <row r="244" spans="1:73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ConcatenateRange(AZ244:BU244,"||")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10"/>
        <v/>
      </c>
      <c r="BA244" t="str">
        <f t="shared" si="111"/>
        <v>2 x / dag</v>
      </c>
      <c r="BB244" t="str">
        <f t="shared" si="112"/>
        <v>3 x / dag</v>
      </c>
      <c r="BC244" t="str">
        <f t="shared" si="113"/>
        <v>4 x / dag</v>
      </c>
      <c r="BD244" t="str">
        <f t="shared" si="114"/>
        <v>5 x / dag</v>
      </c>
      <c r="BE244" t="str">
        <f t="shared" si="115"/>
        <v>6 x / dag</v>
      </c>
      <c r="BF244" t="str">
        <f t="shared" si="116"/>
        <v/>
      </c>
      <c r="BG244" t="str">
        <f t="shared" si="117"/>
        <v/>
      </c>
      <c r="BH244" t="str">
        <f t="shared" si="118"/>
        <v/>
      </c>
      <c r="BI244" t="str">
        <f t="shared" si="119"/>
        <v/>
      </c>
      <c r="BJ244" t="str">
        <f t="shared" si="120"/>
        <v/>
      </c>
      <c r="BK244" t="str">
        <f t="shared" si="121"/>
        <v/>
      </c>
      <c r="BL244" t="str">
        <f t="shared" si="122"/>
        <v/>
      </c>
      <c r="BM244" t="str">
        <f t="shared" si="123"/>
        <v/>
      </c>
      <c r="BN244" t="str">
        <f t="shared" si="124"/>
        <v/>
      </c>
      <c r="BO244" t="str">
        <f t="shared" si="125"/>
        <v/>
      </c>
      <c r="BP244" t="str">
        <f t="shared" si="126"/>
        <v/>
      </c>
      <c r="BQ244" t="str">
        <f t="shared" si="127"/>
        <v/>
      </c>
      <c r="BR244" t="str">
        <f t="shared" si="128"/>
        <v/>
      </c>
      <c r="BS244" t="str">
        <f t="shared" si="129"/>
        <v/>
      </c>
      <c r="BT244" t="str">
        <f t="shared" si="130"/>
        <v/>
      </c>
      <c r="BU244" t="str">
        <f t="shared" si="131"/>
        <v/>
      </c>
    </row>
    <row r="245" spans="1:73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ConcatenateRange(AZ245:BU245,"||")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10"/>
        <v>1 x / dag</v>
      </c>
      <c r="BA245" t="str">
        <f t="shared" si="111"/>
        <v/>
      </c>
      <c r="BB245" t="str">
        <f t="shared" si="112"/>
        <v/>
      </c>
      <c r="BC245" t="str">
        <f t="shared" si="113"/>
        <v/>
      </c>
      <c r="BD245" t="str">
        <f t="shared" si="114"/>
        <v/>
      </c>
      <c r="BE245" t="str">
        <f t="shared" si="115"/>
        <v/>
      </c>
      <c r="BF245" t="str">
        <f t="shared" si="116"/>
        <v/>
      </c>
      <c r="BG245" t="str">
        <f t="shared" si="117"/>
        <v/>
      </c>
      <c r="BH245" t="str">
        <f t="shared" si="118"/>
        <v/>
      </c>
      <c r="BI245" t="str">
        <f t="shared" si="119"/>
        <v/>
      </c>
      <c r="BJ245" t="str">
        <f t="shared" si="120"/>
        <v/>
      </c>
      <c r="BK245" t="str">
        <f t="shared" si="121"/>
        <v/>
      </c>
      <c r="BL245" t="str">
        <f t="shared" si="122"/>
        <v/>
      </c>
      <c r="BM245" t="str">
        <f t="shared" si="123"/>
        <v/>
      </c>
      <c r="BN245" t="str">
        <f t="shared" si="124"/>
        <v/>
      </c>
      <c r="BO245" t="str">
        <f t="shared" si="125"/>
        <v/>
      </c>
      <c r="BP245" t="str">
        <f t="shared" si="126"/>
        <v/>
      </c>
      <c r="BQ245" t="str">
        <f t="shared" si="127"/>
        <v/>
      </c>
      <c r="BR245" t="str">
        <f t="shared" si="128"/>
        <v/>
      </c>
      <c r="BS245" t="str">
        <f t="shared" si="129"/>
        <v/>
      </c>
      <c r="BT245" t="str">
        <f t="shared" si="130"/>
        <v/>
      </c>
      <c r="BU245" t="str">
        <f t="shared" si="131"/>
        <v/>
      </c>
    </row>
    <row r="246" spans="1:73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ConcatenateRange(AZ246:BU246,"||")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10"/>
        <v>1 x / dag</v>
      </c>
      <c r="BA246" t="str">
        <f t="shared" si="111"/>
        <v/>
      </c>
      <c r="BB246" t="str">
        <f t="shared" si="112"/>
        <v/>
      </c>
      <c r="BC246" t="str">
        <f t="shared" si="113"/>
        <v/>
      </c>
      <c r="BD246" t="str">
        <f t="shared" si="114"/>
        <v/>
      </c>
      <c r="BE246" t="str">
        <f t="shared" si="115"/>
        <v/>
      </c>
      <c r="BF246" t="str">
        <f t="shared" si="116"/>
        <v/>
      </c>
      <c r="BG246" t="str">
        <f t="shared" si="117"/>
        <v/>
      </c>
      <c r="BH246" t="str">
        <f t="shared" si="118"/>
        <v/>
      </c>
      <c r="BI246" t="str">
        <f t="shared" si="119"/>
        <v/>
      </c>
      <c r="BJ246" t="str">
        <f t="shared" si="120"/>
        <v/>
      </c>
      <c r="BK246" t="str">
        <f t="shared" si="121"/>
        <v/>
      </c>
      <c r="BL246" t="str">
        <f t="shared" si="122"/>
        <v/>
      </c>
      <c r="BM246" t="str">
        <f t="shared" si="123"/>
        <v/>
      </c>
      <c r="BN246" t="str">
        <f t="shared" si="124"/>
        <v/>
      </c>
      <c r="BO246" t="str">
        <f t="shared" si="125"/>
        <v/>
      </c>
      <c r="BP246" t="str">
        <f t="shared" si="126"/>
        <v/>
      </c>
      <c r="BQ246" t="str">
        <f t="shared" si="127"/>
        <v/>
      </c>
      <c r="BR246" t="str">
        <f t="shared" si="128"/>
        <v/>
      </c>
      <c r="BS246" t="str">
        <f t="shared" si="129"/>
        <v/>
      </c>
      <c r="BT246" t="str">
        <f t="shared" si="130"/>
        <v/>
      </c>
      <c r="BU246" t="str">
        <f t="shared" si="131"/>
        <v/>
      </c>
    </row>
    <row r="247" spans="1:73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ConcatenateRange(AZ247:BU247,"||")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10"/>
        <v>1 x / dag</v>
      </c>
      <c r="BA247" t="str">
        <f t="shared" si="111"/>
        <v/>
      </c>
      <c r="BB247" t="str">
        <f t="shared" si="112"/>
        <v/>
      </c>
      <c r="BC247" t="str">
        <f t="shared" si="113"/>
        <v/>
      </c>
      <c r="BD247" t="str">
        <f t="shared" si="114"/>
        <v/>
      </c>
      <c r="BE247" t="str">
        <f t="shared" si="115"/>
        <v/>
      </c>
      <c r="BF247" t="str">
        <f t="shared" si="116"/>
        <v/>
      </c>
      <c r="BG247" t="str">
        <f t="shared" si="117"/>
        <v/>
      </c>
      <c r="BH247" t="str">
        <f t="shared" si="118"/>
        <v/>
      </c>
      <c r="BI247" t="str">
        <f t="shared" si="119"/>
        <v/>
      </c>
      <c r="BJ247" t="str">
        <f t="shared" si="120"/>
        <v/>
      </c>
      <c r="BK247" t="str">
        <f t="shared" si="121"/>
        <v/>
      </c>
      <c r="BL247" t="str">
        <f t="shared" si="122"/>
        <v/>
      </c>
      <c r="BM247" t="str">
        <f t="shared" si="123"/>
        <v/>
      </c>
      <c r="BN247" t="str">
        <f t="shared" si="124"/>
        <v/>
      </c>
      <c r="BO247" t="str">
        <f t="shared" si="125"/>
        <v/>
      </c>
      <c r="BP247" t="str">
        <f t="shared" si="126"/>
        <v/>
      </c>
      <c r="BQ247" t="str">
        <f t="shared" si="127"/>
        <v/>
      </c>
      <c r="BR247" t="str">
        <f t="shared" si="128"/>
        <v/>
      </c>
      <c r="BS247" t="str">
        <f t="shared" si="129"/>
        <v/>
      </c>
      <c r="BT247" t="str">
        <f t="shared" si="130"/>
        <v/>
      </c>
      <c r="BU247" t="str">
        <f t="shared" si="131"/>
        <v/>
      </c>
    </row>
    <row r="248" spans="1:73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ConcatenateRange(AZ248:BU248,"||")</f>
        <v/>
      </c>
      <c r="AZ248" t="str">
        <f t="shared" si="110"/>
        <v/>
      </c>
      <c r="BA248" t="str">
        <f t="shared" si="111"/>
        <v/>
      </c>
      <c r="BB248" t="str">
        <f t="shared" si="112"/>
        <v/>
      </c>
      <c r="BC248" t="str">
        <f t="shared" si="113"/>
        <v/>
      </c>
      <c r="BD248" t="str">
        <f t="shared" si="114"/>
        <v/>
      </c>
      <c r="BE248" t="str">
        <f t="shared" si="115"/>
        <v/>
      </c>
      <c r="BF248" t="str">
        <f t="shared" si="116"/>
        <v/>
      </c>
      <c r="BG248" t="str">
        <f t="shared" si="117"/>
        <v/>
      </c>
      <c r="BH248" t="str">
        <f t="shared" si="118"/>
        <v/>
      </c>
      <c r="BI248" t="str">
        <f t="shared" si="119"/>
        <v/>
      </c>
      <c r="BJ248" t="str">
        <f t="shared" si="120"/>
        <v/>
      </c>
      <c r="BK248" t="str">
        <f t="shared" si="121"/>
        <v/>
      </c>
      <c r="BL248" t="str">
        <f t="shared" si="122"/>
        <v/>
      </c>
      <c r="BM248" t="str">
        <f t="shared" si="123"/>
        <v/>
      </c>
      <c r="BN248" t="str">
        <f t="shared" si="124"/>
        <v/>
      </c>
      <c r="BO248" t="str">
        <f t="shared" si="125"/>
        <v/>
      </c>
      <c r="BP248" t="str">
        <f t="shared" si="126"/>
        <v/>
      </c>
      <c r="BQ248" t="str">
        <f t="shared" si="127"/>
        <v/>
      </c>
      <c r="BR248" t="str">
        <f t="shared" si="128"/>
        <v/>
      </c>
      <c r="BS248" t="str">
        <f t="shared" si="129"/>
        <v/>
      </c>
      <c r="BT248" t="str">
        <f t="shared" si="130"/>
        <v/>
      </c>
      <c r="BU248" t="str">
        <f t="shared" si="131"/>
        <v/>
      </c>
    </row>
    <row r="249" spans="1:73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ConcatenateRange(AZ249:BU249,"||")</f>
        <v/>
      </c>
      <c r="AZ249" t="str">
        <f t="shared" si="110"/>
        <v/>
      </c>
      <c r="BA249" t="str">
        <f t="shared" si="111"/>
        <v/>
      </c>
      <c r="BB249" t="str">
        <f t="shared" si="112"/>
        <v/>
      </c>
      <c r="BC249" t="str">
        <f t="shared" si="113"/>
        <v/>
      </c>
      <c r="BD249" t="str">
        <f t="shared" si="114"/>
        <v/>
      </c>
      <c r="BE249" t="str">
        <f t="shared" si="115"/>
        <v/>
      </c>
      <c r="BF249" t="str">
        <f t="shared" si="116"/>
        <v/>
      </c>
      <c r="BG249" t="str">
        <f t="shared" si="117"/>
        <v/>
      </c>
      <c r="BH249" t="str">
        <f t="shared" si="118"/>
        <v/>
      </c>
      <c r="BI249" t="str">
        <f t="shared" si="119"/>
        <v/>
      </c>
      <c r="BJ249" t="str">
        <f t="shared" si="120"/>
        <v/>
      </c>
      <c r="BK249" t="str">
        <f t="shared" si="121"/>
        <v/>
      </c>
      <c r="BL249" t="str">
        <f t="shared" si="122"/>
        <v/>
      </c>
      <c r="BM249" t="str">
        <f t="shared" si="123"/>
        <v/>
      </c>
      <c r="BN249" t="str">
        <f t="shared" si="124"/>
        <v/>
      </c>
      <c r="BO249" t="str">
        <f t="shared" si="125"/>
        <v/>
      </c>
      <c r="BP249" t="str">
        <f t="shared" si="126"/>
        <v/>
      </c>
      <c r="BQ249" t="str">
        <f t="shared" si="127"/>
        <v/>
      </c>
      <c r="BR249" t="str">
        <f t="shared" si="128"/>
        <v/>
      </c>
      <c r="BS249" t="str">
        <f t="shared" si="129"/>
        <v/>
      </c>
      <c r="BT249" t="str">
        <f t="shared" si="130"/>
        <v/>
      </c>
      <c r="BU249" t="str">
        <f t="shared" si="131"/>
        <v/>
      </c>
    </row>
    <row r="250" spans="1:73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ConcatenateRange(AZ250:BU250,"||")</f>
        <v/>
      </c>
      <c r="AZ250" t="str">
        <f t="shared" si="110"/>
        <v/>
      </c>
      <c r="BA250" t="str">
        <f t="shared" si="111"/>
        <v/>
      </c>
      <c r="BB250" t="str">
        <f t="shared" si="112"/>
        <v/>
      </c>
      <c r="BC250" t="str">
        <f t="shared" si="113"/>
        <v/>
      </c>
      <c r="BD250" t="str">
        <f t="shared" si="114"/>
        <v/>
      </c>
      <c r="BE250" t="str">
        <f t="shared" si="115"/>
        <v/>
      </c>
      <c r="BF250" t="str">
        <f t="shared" si="116"/>
        <v/>
      </c>
      <c r="BG250" t="str">
        <f t="shared" si="117"/>
        <v/>
      </c>
      <c r="BH250" t="str">
        <f t="shared" si="118"/>
        <v/>
      </c>
      <c r="BI250" t="str">
        <f t="shared" si="119"/>
        <v/>
      </c>
      <c r="BJ250" t="str">
        <f t="shared" si="120"/>
        <v/>
      </c>
      <c r="BK250" t="str">
        <f t="shared" si="121"/>
        <v/>
      </c>
      <c r="BL250" t="str">
        <f t="shared" si="122"/>
        <v/>
      </c>
      <c r="BM250" t="str">
        <f t="shared" si="123"/>
        <v/>
      </c>
      <c r="BN250" t="str">
        <f t="shared" si="124"/>
        <v/>
      </c>
      <c r="BO250" t="str">
        <f t="shared" si="125"/>
        <v/>
      </c>
      <c r="BP250" t="str">
        <f t="shared" si="126"/>
        <v/>
      </c>
      <c r="BQ250" t="str">
        <f t="shared" si="127"/>
        <v/>
      </c>
      <c r="BR250" t="str">
        <f t="shared" si="128"/>
        <v/>
      </c>
      <c r="BS250" t="str">
        <f t="shared" si="129"/>
        <v/>
      </c>
      <c r="BT250" t="str">
        <f t="shared" si="130"/>
        <v/>
      </c>
      <c r="BU250" t="str">
        <f t="shared" si="131"/>
        <v/>
      </c>
    </row>
    <row r="251" spans="1:73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ConcatenateRange(AZ251:BU251,"||")</f>
        <v/>
      </c>
      <c r="AZ251" t="str">
        <f t="shared" si="110"/>
        <v/>
      </c>
      <c r="BA251" t="str">
        <f t="shared" si="111"/>
        <v/>
      </c>
      <c r="BB251" t="str">
        <f t="shared" si="112"/>
        <v/>
      </c>
      <c r="BC251" t="str">
        <f t="shared" si="113"/>
        <v/>
      </c>
      <c r="BD251" t="str">
        <f t="shared" si="114"/>
        <v/>
      </c>
      <c r="BE251" t="str">
        <f t="shared" si="115"/>
        <v/>
      </c>
      <c r="BF251" t="str">
        <f t="shared" si="116"/>
        <v/>
      </c>
      <c r="BG251" t="str">
        <f t="shared" si="117"/>
        <v/>
      </c>
      <c r="BH251" t="str">
        <f t="shared" si="118"/>
        <v/>
      </c>
      <c r="BI251" t="str">
        <f t="shared" si="119"/>
        <v/>
      </c>
      <c r="BJ251" t="str">
        <f t="shared" si="120"/>
        <v/>
      </c>
      <c r="BK251" t="str">
        <f t="shared" si="121"/>
        <v/>
      </c>
      <c r="BL251" t="str">
        <f t="shared" si="122"/>
        <v/>
      </c>
      <c r="BM251" t="str">
        <f t="shared" si="123"/>
        <v/>
      </c>
      <c r="BN251" t="str">
        <f t="shared" si="124"/>
        <v/>
      </c>
      <c r="BO251" t="str">
        <f t="shared" si="125"/>
        <v/>
      </c>
      <c r="BP251" t="str">
        <f t="shared" si="126"/>
        <v/>
      </c>
      <c r="BQ251" t="str">
        <f t="shared" si="127"/>
        <v/>
      </c>
      <c r="BR251" t="str">
        <f t="shared" si="128"/>
        <v/>
      </c>
      <c r="BS251" t="str">
        <f t="shared" si="129"/>
        <v/>
      </c>
      <c r="BT251" t="str">
        <f t="shared" si="130"/>
        <v/>
      </c>
      <c r="BU251" t="str">
        <f t="shared" si="131"/>
        <v/>
      </c>
    </row>
    <row r="252" spans="1:73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ConcatenateRange(AZ252:BU252,"||")</f>
        <v/>
      </c>
      <c r="AZ252" t="str">
        <f t="shared" si="110"/>
        <v/>
      </c>
      <c r="BA252" t="str">
        <f t="shared" si="111"/>
        <v/>
      </c>
      <c r="BB252" t="str">
        <f t="shared" si="112"/>
        <v/>
      </c>
      <c r="BC252" t="str">
        <f t="shared" si="113"/>
        <v/>
      </c>
      <c r="BD252" t="str">
        <f t="shared" si="114"/>
        <v/>
      </c>
      <c r="BE252" t="str">
        <f t="shared" si="115"/>
        <v/>
      </c>
      <c r="BF252" t="str">
        <f t="shared" si="116"/>
        <v/>
      </c>
      <c r="BG252" t="str">
        <f t="shared" si="117"/>
        <v/>
      </c>
      <c r="BH252" t="str">
        <f t="shared" si="118"/>
        <v/>
      </c>
      <c r="BI252" t="str">
        <f t="shared" si="119"/>
        <v/>
      </c>
      <c r="BJ252" t="str">
        <f t="shared" si="120"/>
        <v/>
      </c>
      <c r="BK252" t="str">
        <f t="shared" si="121"/>
        <v/>
      </c>
      <c r="BL252" t="str">
        <f t="shared" si="122"/>
        <v/>
      </c>
      <c r="BM252" t="str">
        <f t="shared" si="123"/>
        <v/>
      </c>
      <c r="BN252" t="str">
        <f t="shared" si="124"/>
        <v/>
      </c>
      <c r="BO252" t="str">
        <f t="shared" si="125"/>
        <v/>
      </c>
      <c r="BP252" t="str">
        <f t="shared" si="126"/>
        <v/>
      </c>
      <c r="BQ252" t="str">
        <f t="shared" si="127"/>
        <v/>
      </c>
      <c r="BR252" t="str">
        <f t="shared" si="128"/>
        <v/>
      </c>
      <c r="BS252" t="str">
        <f t="shared" si="129"/>
        <v/>
      </c>
      <c r="BT252" t="str">
        <f t="shared" si="130"/>
        <v/>
      </c>
      <c r="BU252" t="str">
        <f t="shared" si="131"/>
        <v/>
      </c>
    </row>
    <row r="253" spans="1:73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ConcatenateRange(AZ253:BU253,"||")</f>
        <v/>
      </c>
      <c r="AZ253" t="str">
        <f t="shared" si="110"/>
        <v/>
      </c>
      <c r="BA253" t="str">
        <f t="shared" si="111"/>
        <v/>
      </c>
      <c r="BB253" t="str">
        <f t="shared" si="112"/>
        <v/>
      </c>
      <c r="BC253" t="str">
        <f t="shared" si="113"/>
        <v/>
      </c>
      <c r="BD253" t="str">
        <f t="shared" si="114"/>
        <v/>
      </c>
      <c r="BE253" t="str">
        <f t="shared" si="115"/>
        <v/>
      </c>
      <c r="BF253" t="str">
        <f t="shared" si="116"/>
        <v/>
      </c>
      <c r="BG253" t="str">
        <f t="shared" si="117"/>
        <v/>
      </c>
      <c r="BH253" t="str">
        <f t="shared" si="118"/>
        <v/>
      </c>
      <c r="BI253" t="str">
        <f t="shared" si="119"/>
        <v/>
      </c>
      <c r="BJ253" t="str">
        <f t="shared" si="120"/>
        <v/>
      </c>
      <c r="BK253" t="str">
        <f t="shared" si="121"/>
        <v/>
      </c>
      <c r="BL253" t="str">
        <f t="shared" si="122"/>
        <v/>
      </c>
      <c r="BM253" t="str">
        <f t="shared" si="123"/>
        <v/>
      </c>
      <c r="BN253" t="str">
        <f t="shared" si="124"/>
        <v/>
      </c>
      <c r="BO253" t="str">
        <f t="shared" si="125"/>
        <v/>
      </c>
      <c r="BP253" t="str">
        <f t="shared" si="126"/>
        <v/>
      </c>
      <c r="BQ253" t="str">
        <f t="shared" si="127"/>
        <v/>
      </c>
      <c r="BR253" t="str">
        <f t="shared" si="128"/>
        <v/>
      </c>
      <c r="BS253" t="str">
        <f t="shared" si="129"/>
        <v/>
      </c>
      <c r="BT253" t="str">
        <f t="shared" si="130"/>
        <v/>
      </c>
      <c r="BU253" t="str">
        <f t="shared" si="131"/>
        <v/>
      </c>
    </row>
    <row r="254" spans="1:73">
      <c r="A254" s="1">
        <v>83852</v>
      </c>
      <c r="B254" t="str">
        <f>VLOOKUP($A254,[1]Table!$A$2:$N441,B$1,FALSE)</f>
        <v>S01AA01</v>
      </c>
      <c r="C254" t="str">
        <f>VLOOKUP($A254,[1]Table!$A$2:$N441,C$1,FALSE)</f>
        <v>MIDDELEN VOOR OOGHEELKUNDIG GEBRUIK</v>
      </c>
      <c r="D254" t="str">
        <f>VLOOKUP($A254,[1]Table!$A$2:$N441,D$1,FALSE)</f>
        <v>ANTIMICROBIELE MIDDELEN</v>
      </c>
      <c r="E254" t="str">
        <f>VLOOKUP($A254,[1]Table!$A$2:$N441,E$1,FALSE)</f>
        <v>CHLOORAMFENICOL</v>
      </c>
      <c r="F254" t="str">
        <f>VLOOKUP($A254,[1]Table!$A$2:$N441,F$1,FALSE)</f>
        <v>CHLOORAMFENICOL 0.4 % OOGDR  10ML</v>
      </c>
      <c r="G254" t="str">
        <f>VLOOKUP($A254,[1]Table!$A$2:$N441,G$1,FALSE)</f>
        <v>CHLOORAMFENICOL 4MG/ML OOGD</v>
      </c>
      <c r="H254" t="str">
        <f>VLOOKUP($A254,[1]Table!$A$2:$N441,H$1,FALSE)</f>
        <v>oogdruppels</v>
      </c>
      <c r="I254" t="str">
        <f>VLOOKUP($A254,[1]Table!$A$2:$N441,I$1,FALSE)</f>
        <v>oog</v>
      </c>
      <c r="J254">
        <f>VLOOKUP($A254,[1]Table!$A$2:$N441,J$1,FALSE)</f>
        <v>4</v>
      </c>
      <c r="K254" t="str">
        <f>VLOOKUP($A254,[1]Table!$A$2:$N441,K$1,FALSE)</f>
        <v>mg/ml</v>
      </c>
      <c r="L254">
        <f>VLOOKUP($A254,[1]Table!$A$2:$N441,L$1,FALSE)</f>
        <v>4</v>
      </c>
      <c r="M254" t="str">
        <f>VLOOKUP($A254,[1]Table!$A$2:$N441,M$1,FALSE)</f>
        <v>mg</v>
      </c>
      <c r="N254" t="str">
        <f>VLOOKUP($A254,[1]Table!$A$2:$N441,N$1,FALSE)</f>
        <v xml:space="preserve">Ooginfecties (geen trachoma) </v>
      </c>
      <c r="O254" t="str">
        <f>ConcatenateRange(AZ254:BU254,"||")</f>
        <v/>
      </c>
      <c r="AZ254" t="str">
        <f t="shared" si="110"/>
        <v/>
      </c>
      <c r="BA254" t="str">
        <f t="shared" si="111"/>
        <v/>
      </c>
      <c r="BB254" t="str">
        <f t="shared" si="112"/>
        <v/>
      </c>
      <c r="BC254" t="str">
        <f t="shared" si="113"/>
        <v/>
      </c>
      <c r="BD254" t="str">
        <f t="shared" si="114"/>
        <v/>
      </c>
      <c r="BE254" t="str">
        <f t="shared" si="115"/>
        <v/>
      </c>
      <c r="BF254" t="str">
        <f t="shared" si="116"/>
        <v/>
      </c>
      <c r="BG254" t="str">
        <f t="shared" si="117"/>
        <v/>
      </c>
      <c r="BH254" t="str">
        <f t="shared" si="118"/>
        <v/>
      </c>
      <c r="BI254" t="str">
        <f t="shared" si="119"/>
        <v/>
      </c>
      <c r="BJ254" t="str">
        <f t="shared" si="120"/>
        <v/>
      </c>
      <c r="BK254" t="str">
        <f t="shared" si="121"/>
        <v/>
      </c>
      <c r="BL254" t="str">
        <f t="shared" si="122"/>
        <v/>
      </c>
      <c r="BM254" t="str">
        <f t="shared" si="123"/>
        <v/>
      </c>
      <c r="BN254" t="str">
        <f t="shared" si="124"/>
        <v/>
      </c>
      <c r="BO254" t="str">
        <f t="shared" si="125"/>
        <v/>
      </c>
      <c r="BP254" t="str">
        <f t="shared" si="126"/>
        <v/>
      </c>
      <c r="BQ254" t="str">
        <f t="shared" si="127"/>
        <v/>
      </c>
      <c r="BR254" t="str">
        <f t="shared" si="128"/>
        <v/>
      </c>
      <c r="BS254" t="str">
        <f t="shared" si="129"/>
        <v/>
      </c>
      <c r="BT254" t="str">
        <f t="shared" si="130"/>
        <v/>
      </c>
      <c r="BU254" t="str">
        <f t="shared" si="131"/>
        <v/>
      </c>
    </row>
    <row r="255" spans="1:73">
      <c r="A255" s="1">
        <v>37583</v>
      </c>
      <c r="B255" t="str">
        <f>VLOOKUP($A255,[1]Table!$A$2:$N442,B$1,FALSE)</f>
        <v>S01AA01</v>
      </c>
      <c r="C255" t="str">
        <f>VLOOKUP($A255,[1]Table!$A$2:$N442,C$1,FALSE)</f>
        <v>MIDDELEN VOOR OOGHEELKUNDIG GEBRUIK</v>
      </c>
      <c r="D255" t="str">
        <f>VLOOKUP($A255,[1]Table!$A$2:$N442,D$1,FALSE)</f>
        <v>ANTIMICROBIELE MIDDELEN</v>
      </c>
      <c r="E255" t="str">
        <f>VLOOKUP($A255,[1]Table!$A$2:$N442,E$1,FALSE)</f>
        <v>CHLOORAMFENICOL</v>
      </c>
      <c r="F255" t="str">
        <f>VLOOKUP($A255,[1]Table!$A$2:$N442,F$1,FALSE)</f>
        <v>CHLOORAMFENICOL 0.5 % MINIMS 0.5ML</v>
      </c>
      <c r="G255" t="str">
        <f>VLOOKUP($A255,[1]Table!$A$2:$N442,G$1,FALSE)</f>
        <v>CHLOORAMFENICOL 5MG/ML OOGD</v>
      </c>
      <c r="H255" t="str">
        <f>VLOOKUP($A255,[1]Table!$A$2:$N442,H$1,FALSE)</f>
        <v>oogdruppels</v>
      </c>
      <c r="I255" t="str">
        <f>VLOOKUP($A255,[1]Table!$A$2:$N442,I$1,FALSE)</f>
        <v>oog</v>
      </c>
      <c r="J255">
        <f>VLOOKUP($A255,[1]Table!$A$2:$N442,J$1,FALSE)</f>
        <v>5</v>
      </c>
      <c r="K255" t="str">
        <f>VLOOKUP($A255,[1]Table!$A$2:$N442,K$1,FALSE)</f>
        <v>mg/ml</v>
      </c>
      <c r="L255">
        <f>VLOOKUP($A255,[1]Table!$A$2:$N442,L$1,FALSE)</f>
        <v>5</v>
      </c>
      <c r="M255" t="str">
        <f>VLOOKUP($A255,[1]Table!$A$2:$N442,M$1,FALSE)</f>
        <v>mg</v>
      </c>
      <c r="N255" t="str">
        <f>VLOOKUP($A255,[1]Table!$A$2:$N442,N$1,FALSE)</f>
        <v xml:space="preserve">Ooginfecties (geen trachoma) </v>
      </c>
      <c r="O255" t="str">
        <f>ConcatenateRange(AZ255:BU255,"||")</f>
        <v/>
      </c>
      <c r="AZ255" t="str">
        <f t="shared" si="110"/>
        <v/>
      </c>
      <c r="BA255" t="str">
        <f t="shared" si="111"/>
        <v/>
      </c>
      <c r="BB255" t="str">
        <f t="shared" si="112"/>
        <v/>
      </c>
      <c r="BC255" t="str">
        <f t="shared" si="113"/>
        <v/>
      </c>
      <c r="BD255" t="str">
        <f t="shared" si="114"/>
        <v/>
      </c>
      <c r="BE255" t="str">
        <f t="shared" si="115"/>
        <v/>
      </c>
      <c r="BF255" t="str">
        <f t="shared" si="116"/>
        <v/>
      </c>
      <c r="BG255" t="str">
        <f t="shared" si="117"/>
        <v/>
      </c>
      <c r="BH255" t="str">
        <f t="shared" si="118"/>
        <v/>
      </c>
      <c r="BI255" t="str">
        <f t="shared" si="119"/>
        <v/>
      </c>
      <c r="BJ255" t="str">
        <f t="shared" si="120"/>
        <v/>
      </c>
      <c r="BK255" t="str">
        <f t="shared" si="121"/>
        <v/>
      </c>
      <c r="BL255" t="str">
        <f t="shared" si="122"/>
        <v/>
      </c>
      <c r="BM255" t="str">
        <f t="shared" si="123"/>
        <v/>
      </c>
      <c r="BN255" t="str">
        <f t="shared" si="124"/>
        <v/>
      </c>
      <c r="BO255" t="str">
        <f t="shared" si="125"/>
        <v/>
      </c>
      <c r="BP255" t="str">
        <f t="shared" si="126"/>
        <v/>
      </c>
      <c r="BQ255" t="str">
        <f t="shared" si="127"/>
        <v/>
      </c>
      <c r="BR255" t="str">
        <f t="shared" si="128"/>
        <v/>
      </c>
      <c r="BS255" t="str">
        <f t="shared" si="129"/>
        <v/>
      </c>
      <c r="BT255" t="str">
        <f t="shared" si="130"/>
        <v/>
      </c>
      <c r="BU255" t="str">
        <f t="shared" si="131"/>
        <v/>
      </c>
    </row>
    <row r="256" spans="1:73">
      <c r="A256" s="1">
        <v>15822</v>
      </c>
      <c r="B256" t="str">
        <f>VLOOKUP($A256,[1]Table!$A$2:$N443,B$1,FALSE)</f>
        <v>S01AA01</v>
      </c>
      <c r="C256" t="str">
        <f>VLOOKUP($A256,[1]Table!$A$2:$N443,C$1,FALSE)</f>
        <v>MIDDELEN VOOR OOGHEELKUNDIG GEBRUIK</v>
      </c>
      <c r="D256" t="str">
        <f>VLOOKUP($A256,[1]Table!$A$2:$N443,D$1,FALSE)</f>
        <v>ANTIMICROBIELE MIDDELEN</v>
      </c>
      <c r="E256" t="str">
        <f>VLOOKUP($A256,[1]Table!$A$2:$N443,E$1,FALSE)</f>
        <v>CHLOORAMFENICOL</v>
      </c>
      <c r="F256" t="str">
        <f>VLOOKUP($A256,[1]Table!$A$2:$N443,F$1,FALSE)</f>
        <v>CHLOORAMFENICOL 1 % OOGZALF 5G</v>
      </c>
      <c r="G256" t="str">
        <f>VLOOKUP($A256,[1]Table!$A$2:$N443,G$1,FALSE)</f>
        <v>CHLOORAMFENICOL 10MG/G OOGZ</v>
      </c>
      <c r="H256" t="str">
        <f>VLOOKUP($A256,[1]Table!$A$2:$N443,H$1,FALSE)</f>
        <v>oogzalf</v>
      </c>
      <c r="I256" t="str">
        <f>VLOOKUP($A256,[1]Table!$A$2:$N443,I$1,FALSE)</f>
        <v>oog</v>
      </c>
      <c r="J256">
        <f>VLOOKUP($A256,[1]Table!$A$2:$N443,J$1,FALSE)</f>
        <v>10</v>
      </c>
      <c r="K256" t="str">
        <f>VLOOKUP($A256,[1]Table!$A$2:$N443,K$1,FALSE)</f>
        <v>mg/gr</v>
      </c>
      <c r="L256">
        <f>VLOOKUP($A256,[1]Table!$A$2:$N443,L$1,FALSE)</f>
        <v>10</v>
      </c>
      <c r="M256" t="str">
        <f>VLOOKUP($A256,[1]Table!$A$2:$N443,M$1,FALSE)</f>
        <v>mg</v>
      </c>
      <c r="N256" t="str">
        <f>VLOOKUP($A256,[1]Table!$A$2:$N443,N$1,FALSE)</f>
        <v xml:space="preserve">Ooginfecties (geen trachoma) </v>
      </c>
      <c r="O256" t="str">
        <f>ConcatenateRange(AZ256:BU256,"||")</f>
        <v/>
      </c>
      <c r="AZ256" t="str">
        <f t="shared" si="110"/>
        <v/>
      </c>
      <c r="BA256" t="str">
        <f t="shared" si="111"/>
        <v/>
      </c>
      <c r="BB256" t="str">
        <f t="shared" si="112"/>
        <v/>
      </c>
      <c r="BC256" t="str">
        <f t="shared" si="113"/>
        <v/>
      </c>
      <c r="BD256" t="str">
        <f t="shared" si="114"/>
        <v/>
      </c>
      <c r="BE256" t="str">
        <f t="shared" si="115"/>
        <v/>
      </c>
      <c r="BF256" t="str">
        <f t="shared" si="116"/>
        <v/>
      </c>
      <c r="BG256" t="str">
        <f t="shared" si="117"/>
        <v/>
      </c>
      <c r="BH256" t="str">
        <f t="shared" si="118"/>
        <v/>
      </c>
      <c r="BI256" t="str">
        <f t="shared" si="119"/>
        <v/>
      </c>
      <c r="BJ256" t="str">
        <f t="shared" si="120"/>
        <v/>
      </c>
      <c r="BK256" t="str">
        <f t="shared" si="121"/>
        <v/>
      </c>
      <c r="BL256" t="str">
        <f t="shared" si="122"/>
        <v/>
      </c>
      <c r="BM256" t="str">
        <f t="shared" si="123"/>
        <v/>
      </c>
      <c r="BN256" t="str">
        <f t="shared" si="124"/>
        <v/>
      </c>
      <c r="BO256" t="str">
        <f t="shared" si="125"/>
        <v/>
      </c>
      <c r="BP256" t="str">
        <f t="shared" si="126"/>
        <v/>
      </c>
      <c r="BQ256" t="str">
        <f t="shared" si="127"/>
        <v/>
      </c>
      <c r="BR256" t="str">
        <f t="shared" si="128"/>
        <v/>
      </c>
      <c r="BS256" t="str">
        <f t="shared" si="129"/>
        <v/>
      </c>
      <c r="BT256" t="str">
        <f t="shared" si="130"/>
        <v/>
      </c>
      <c r="BU256" t="str">
        <f t="shared" si="131"/>
        <v/>
      </c>
    </row>
    <row r="257" spans="1:73">
      <c r="A257" s="1">
        <v>26603</v>
      </c>
      <c r="B257" t="str">
        <f>VLOOKUP($A257,[1]Table!$A$2:$N444,B$1,FALSE)</f>
        <v>D08AC02</v>
      </c>
      <c r="C257" t="str">
        <f>VLOOKUP($A257,[1]Table!$A$2:$N444,C$1,FALSE)</f>
        <v>DESINFECTANTIA</v>
      </c>
      <c r="D257" t="str">
        <f>VLOOKUP($A257,[1]Table!$A$2:$N444,D$1,FALSE)</f>
        <v>DESINFECTANTIA</v>
      </c>
      <c r="E257" t="str">
        <f>VLOOKUP($A257,[1]Table!$A$2:$N444,E$1,FALSE)</f>
        <v>CHLOORHEXIDINE</v>
      </c>
      <c r="F257" t="str">
        <f>VLOOKUP($A257,[1]Table!$A$2:$N444,F$1,FALSE)</f>
        <v>CHLOORHEXIDINE 1 % CREME 30 GRAM</v>
      </c>
      <c r="G257" t="str">
        <f>VLOOKUP($A257,[1]Table!$A$2:$N444,G$1,FALSE)</f>
        <v>CHLOORHEXIDINE 10MG/G CREME</v>
      </c>
      <c r="H257" t="str">
        <f>VLOOKUP($A257,[1]Table!$A$2:$N444,H$1,FALSE)</f>
        <v>creme</v>
      </c>
      <c r="I257" t="str">
        <f>VLOOKUP($A257,[1]Table!$A$2:$N444,I$1,FALSE)</f>
        <v>cutaan</v>
      </c>
      <c r="J257">
        <f>VLOOKUP($A257,[1]Table!$A$2:$N444,J$1,FALSE)</f>
        <v>10</v>
      </c>
      <c r="K257" t="str">
        <f>VLOOKUP($A257,[1]Table!$A$2:$N444,K$1,FALSE)</f>
        <v>mg/gr</v>
      </c>
      <c r="L257">
        <f>VLOOKUP($A257,[1]Table!$A$2:$N444,L$1,FALSE)</f>
        <v>10</v>
      </c>
      <c r="M257" t="str">
        <f>VLOOKUP($A257,[1]Table!$A$2:$N444,M$1,FALSE)</f>
        <v>mg</v>
      </c>
      <c r="N257" t="str">
        <f>VLOOKUP($A257,[1]Table!$A$2:$N444,N$1,FALSE)</f>
        <v>Desinfectie van de huid</v>
      </c>
      <c r="O257" t="str">
        <f>ConcatenateRange(AZ257:BU257,"||")</f>
        <v/>
      </c>
      <c r="AZ257" t="str">
        <f t="shared" si="110"/>
        <v/>
      </c>
      <c r="BA257" t="str">
        <f t="shared" si="111"/>
        <v/>
      </c>
      <c r="BB257" t="str">
        <f t="shared" si="112"/>
        <v/>
      </c>
      <c r="BC257" t="str">
        <f t="shared" si="113"/>
        <v/>
      </c>
      <c r="BD257" t="str">
        <f t="shared" si="114"/>
        <v/>
      </c>
      <c r="BE257" t="str">
        <f t="shared" si="115"/>
        <v/>
      </c>
      <c r="BF257" t="str">
        <f t="shared" si="116"/>
        <v/>
      </c>
      <c r="BG257" t="str">
        <f t="shared" si="117"/>
        <v/>
      </c>
      <c r="BH257" t="str">
        <f t="shared" si="118"/>
        <v/>
      </c>
      <c r="BI257" t="str">
        <f t="shared" si="119"/>
        <v/>
      </c>
      <c r="BJ257" t="str">
        <f t="shared" si="120"/>
        <v/>
      </c>
      <c r="BK257" t="str">
        <f t="shared" si="121"/>
        <v/>
      </c>
      <c r="BL257" t="str">
        <f t="shared" si="122"/>
        <v/>
      </c>
      <c r="BM257" t="str">
        <f t="shared" si="123"/>
        <v/>
      </c>
      <c r="BN257" t="str">
        <f t="shared" si="124"/>
        <v/>
      </c>
      <c r="BO257" t="str">
        <f t="shared" si="125"/>
        <v/>
      </c>
      <c r="BP257" t="str">
        <f t="shared" si="126"/>
        <v/>
      </c>
      <c r="BQ257" t="str">
        <f t="shared" si="127"/>
        <v/>
      </c>
      <c r="BR257" t="str">
        <f t="shared" si="128"/>
        <v/>
      </c>
      <c r="BS257" t="str">
        <f t="shared" si="129"/>
        <v/>
      </c>
      <c r="BT257" t="str">
        <f t="shared" si="130"/>
        <v/>
      </c>
      <c r="BU257" t="str">
        <f t="shared" si="131"/>
        <v/>
      </c>
    </row>
    <row r="258" spans="1:73">
      <c r="A258" s="1">
        <v>119296</v>
      </c>
      <c r="B258" t="str">
        <f>VLOOKUP($A258,[1]Table!$A$2:$N445,B$1,FALSE)</f>
        <v>D08AC02</v>
      </c>
      <c r="C258" t="str">
        <f>VLOOKUP($A258,[1]Table!$A$2:$N445,C$1,FALSE)</f>
        <v>DESINFECTANTIA</v>
      </c>
      <c r="D258" t="str">
        <f>VLOOKUP($A258,[1]Table!$A$2:$N445,D$1,FALSE)</f>
        <v>DESINFECTANTIA</v>
      </c>
      <c r="E258" t="str">
        <f>VLOOKUP($A258,[1]Table!$A$2:$N445,E$1,FALSE)</f>
        <v>CHLOORHEXIDINE</v>
      </c>
      <c r="F258" t="str">
        <f>VLOOKUP($A258,[1]Table!$A$2:$N445,F$1,FALSE)</f>
        <v>CATHEJELL-S  CATHETER GLIJMIDDEL 12.5 G</v>
      </c>
      <c r="G258" t="str">
        <f>VLOOKUP($A258,[1]Table!$A$2:$N445,G$1,FALSE)</f>
        <v>CHLOORHEX 0,5MG/GURETRHAGEL</v>
      </c>
      <c r="H258" t="str">
        <f>VLOOKUP($A258,[1]Table!$A$2:$N445,H$1,FALSE)</f>
        <v>gel voor urethraal gebruik</v>
      </c>
      <c r="I258" t="str">
        <f>VLOOKUP($A258,[1]Table!$A$2:$N445,I$1,FALSE)</f>
        <v>urethr</v>
      </c>
      <c r="J258">
        <f>VLOOKUP($A258,[1]Table!$A$2:$N445,J$1,FALSE)</f>
        <v>0.5</v>
      </c>
      <c r="K258" t="str">
        <f>VLOOKUP($A258,[1]Table!$A$2:$N445,K$1,FALSE)</f>
        <v>mg/gr</v>
      </c>
      <c r="L258">
        <f>VLOOKUP($A258,[1]Table!$A$2:$N445,L$1,FALSE)</f>
        <v>0.5</v>
      </c>
      <c r="M258" t="str">
        <f>VLOOKUP($A258,[1]Table!$A$2:$N445,M$1,FALSE)</f>
        <v>mg</v>
      </c>
      <c r="N258" t="str">
        <f>VLOOKUP($A258,[1]Table!$A$2:$N445,N$1,FALSE)</f>
        <v>Desinfectie van de huid</v>
      </c>
      <c r="O258" t="str">
        <f>ConcatenateRange(AZ258:BU258,"||")</f>
        <v/>
      </c>
      <c r="AZ258" t="str">
        <f t="shared" si="110"/>
        <v/>
      </c>
      <c r="BA258" t="str">
        <f t="shared" si="111"/>
        <v/>
      </c>
      <c r="BB258" t="str">
        <f t="shared" si="112"/>
        <v/>
      </c>
      <c r="BC258" t="str">
        <f t="shared" si="113"/>
        <v/>
      </c>
      <c r="BD258" t="str">
        <f t="shared" si="114"/>
        <v/>
      </c>
      <c r="BE258" t="str">
        <f t="shared" si="115"/>
        <v/>
      </c>
      <c r="BF258" t="str">
        <f t="shared" si="116"/>
        <v/>
      </c>
      <c r="BG258" t="str">
        <f t="shared" si="117"/>
        <v/>
      </c>
      <c r="BH258" t="str">
        <f t="shared" si="118"/>
        <v/>
      </c>
      <c r="BI258" t="str">
        <f t="shared" si="119"/>
        <v/>
      </c>
      <c r="BJ258" t="str">
        <f t="shared" si="120"/>
        <v/>
      </c>
      <c r="BK258" t="str">
        <f t="shared" si="121"/>
        <v/>
      </c>
      <c r="BL258" t="str">
        <f t="shared" si="122"/>
        <v/>
      </c>
      <c r="BM258" t="str">
        <f t="shared" si="123"/>
        <v/>
      </c>
      <c r="BN258" t="str">
        <f t="shared" si="124"/>
        <v/>
      </c>
      <c r="BO258" t="str">
        <f t="shared" si="125"/>
        <v/>
      </c>
      <c r="BP258" t="str">
        <f t="shared" si="126"/>
        <v/>
      </c>
      <c r="BQ258" t="str">
        <f t="shared" si="127"/>
        <v/>
      </c>
      <c r="BR258" t="str">
        <f t="shared" si="128"/>
        <v/>
      </c>
      <c r="BS258" t="str">
        <f t="shared" si="129"/>
        <v/>
      </c>
      <c r="BT258" t="str">
        <f t="shared" si="130"/>
        <v/>
      </c>
      <c r="BU258" t="str">
        <f t="shared" si="131"/>
        <v/>
      </c>
    </row>
    <row r="259" spans="1:73">
      <c r="A259" s="1">
        <v>119806</v>
      </c>
      <c r="B259" t="str">
        <f>VLOOKUP($A259,[1]Table!$A$2:$N446,B$1,FALSE)</f>
        <v>A01AB03</v>
      </c>
      <c r="C259" t="str">
        <f>VLOOKUP($A259,[1]Table!$A$2:$N446,C$1,FALSE)</f>
        <v>MONDPREPARATEN</v>
      </c>
      <c r="D259" t="str">
        <f>VLOOKUP($A259,[1]Table!$A$2:$N446,D$1,FALSE)</f>
        <v>MONDPREPARATEN</v>
      </c>
      <c r="E259" t="str">
        <f>VLOOKUP($A259,[1]Table!$A$2:$N446,E$1,FALSE)</f>
        <v>CHLOORHEXIDINE</v>
      </c>
      <c r="F259" t="str">
        <f>VLOOKUP($A259,[1]Table!$A$2:$N446,F$1,FALSE)</f>
        <v>CORSODYL 2 MG/ML MONDSPOELING 200ML</v>
      </c>
      <c r="G259" t="str">
        <f>VLOOKUP($A259,[1]Table!$A$2:$N446,G$1,FALSE)</f>
        <v>CHLOORHEX 2MG/ML MONDSPOEL</v>
      </c>
      <c r="H259" t="str">
        <f>VLOOKUP($A259,[1]Table!$A$2:$N446,H$1,FALSE)</f>
        <v>mondspoeling</v>
      </c>
      <c r="I259" t="str">
        <f>VLOOKUP($A259,[1]Table!$A$2:$N446,I$1,FALSE)</f>
        <v>oromuc</v>
      </c>
      <c r="J259">
        <f>VLOOKUP($A259,[1]Table!$A$2:$N446,J$1,FALSE)</f>
        <v>2</v>
      </c>
      <c r="K259" t="str">
        <f>VLOOKUP($A259,[1]Table!$A$2:$N446,K$1,FALSE)</f>
        <v>mg/ml</v>
      </c>
      <c r="L259">
        <f>VLOOKUP($A259,[1]Table!$A$2:$N446,L$1,FALSE)</f>
        <v>2</v>
      </c>
      <c r="M259" t="str">
        <f>VLOOKUP($A259,[1]Table!$A$2:$N446,M$1,FALSE)</f>
        <v>mg</v>
      </c>
      <c r="N259" t="str">
        <f>VLOOKUP($A259,[1]Table!$A$2:$N446,N$1,FALSE)</f>
        <v>Profylaxe mondinfecties na ingrepen, gingivitis, mondhygiene wanneer tandenpoetsen niet mogelijk is||Ernstige mucositis tijdens chemotherapie en bestraling</v>
      </c>
      <c r="O259" t="str">
        <f>ConcatenateRange(AZ259:BU259,"||")</f>
        <v/>
      </c>
      <c r="AZ259" t="str">
        <f t="shared" si="110"/>
        <v/>
      </c>
      <c r="BA259" t="str">
        <f t="shared" si="111"/>
        <v/>
      </c>
      <c r="BB259" t="str">
        <f t="shared" si="112"/>
        <v/>
      </c>
      <c r="BC259" t="str">
        <f t="shared" si="113"/>
        <v/>
      </c>
      <c r="BD259" t="str">
        <f t="shared" si="114"/>
        <v/>
      </c>
      <c r="BE259" t="str">
        <f t="shared" si="115"/>
        <v/>
      </c>
      <c r="BF259" t="str">
        <f t="shared" si="116"/>
        <v/>
      </c>
      <c r="BG259" t="str">
        <f t="shared" si="117"/>
        <v/>
      </c>
      <c r="BH259" t="str">
        <f t="shared" si="118"/>
        <v/>
      </c>
      <c r="BI259" t="str">
        <f t="shared" si="119"/>
        <v/>
      </c>
      <c r="BJ259" t="str">
        <f t="shared" si="120"/>
        <v/>
      </c>
      <c r="BK259" t="str">
        <f t="shared" si="121"/>
        <v/>
      </c>
      <c r="BL259" t="str">
        <f t="shared" si="122"/>
        <v/>
      </c>
      <c r="BM259" t="str">
        <f t="shared" si="123"/>
        <v/>
      </c>
      <c r="BN259" t="str">
        <f t="shared" si="124"/>
        <v/>
      </c>
      <c r="BO259" t="str">
        <f t="shared" si="125"/>
        <v/>
      </c>
      <c r="BP259" t="str">
        <f t="shared" si="126"/>
        <v/>
      </c>
      <c r="BQ259" t="str">
        <f t="shared" si="127"/>
        <v/>
      </c>
      <c r="BR259" t="str">
        <f t="shared" si="128"/>
        <v/>
      </c>
      <c r="BS259" t="str">
        <f t="shared" si="129"/>
        <v/>
      </c>
      <c r="BT259" t="str">
        <f t="shared" si="130"/>
        <v/>
      </c>
      <c r="BU259" t="str">
        <f t="shared" si="131"/>
        <v/>
      </c>
    </row>
    <row r="260" spans="1:73">
      <c r="A260" s="1">
        <v>120294</v>
      </c>
      <c r="B260" t="str">
        <f>VLOOKUP($A260,[1]Table!$A$2:$N447,B$1,FALSE)</f>
        <v>D08AC02</v>
      </c>
      <c r="C260" t="str">
        <f>VLOOKUP($A260,[1]Table!$A$2:$N447,C$1,FALSE)</f>
        <v>DESINFECTANTIA</v>
      </c>
      <c r="D260" t="str">
        <f>VLOOKUP($A260,[1]Table!$A$2:$N447,D$1,FALSE)</f>
        <v>DESINFECTANTIA</v>
      </c>
      <c r="E260" t="str">
        <f>VLOOKUP($A260,[1]Table!$A$2:$N447,E$1,FALSE)</f>
        <v>CHLOORHEXIDINE</v>
      </c>
      <c r="F260" t="str">
        <f>VLOOKUP($A260,[1]Table!$A$2:$N447,F$1,FALSE)</f>
        <v>HIBISCRUB 4 % OPLOSSING VOOR CUTAAN GEBRUIK 100 ML</v>
      </c>
      <c r="G260" t="str">
        <f>VLOOKUP($A260,[1]Table!$A$2:$N447,G$1,FALSE)</f>
        <v>CHLOORHEXID 40MG/ML OPL CUT</v>
      </c>
      <c r="H260" t="str">
        <f>VLOOKUP($A260,[1]Table!$A$2:$N447,H$1,FALSE)</f>
        <v>oplossing voor cutaan gebruik</v>
      </c>
      <c r="I260" t="str">
        <f>VLOOKUP($A260,[1]Table!$A$2:$N447,I$1,FALSE)</f>
        <v>cutaan</v>
      </c>
      <c r="J260">
        <f>VLOOKUP($A260,[1]Table!$A$2:$N447,J$1,FALSE)</f>
        <v>40</v>
      </c>
      <c r="K260" t="str">
        <f>VLOOKUP($A260,[1]Table!$A$2:$N447,K$1,FALSE)</f>
        <v>mg/ml</v>
      </c>
      <c r="L260">
        <f>VLOOKUP($A260,[1]Table!$A$2:$N447,L$1,FALSE)</f>
        <v>40</v>
      </c>
      <c r="M260" t="str">
        <f>VLOOKUP($A260,[1]Table!$A$2:$N447,M$1,FALSE)</f>
        <v>mg</v>
      </c>
      <c r="N260" t="str">
        <f>VLOOKUP($A260,[1]Table!$A$2:$N447,N$1,FALSE)</f>
        <v>Desinfectie van de huid</v>
      </c>
      <c r="O260" t="str">
        <f>ConcatenateRange(AZ260:BU260,"||")</f>
        <v/>
      </c>
      <c r="AZ260" t="str">
        <f t="shared" si="110"/>
        <v/>
      </c>
      <c r="BA260" t="str">
        <f t="shared" si="111"/>
        <v/>
      </c>
      <c r="BB260" t="str">
        <f t="shared" si="112"/>
        <v/>
      </c>
      <c r="BC260" t="str">
        <f t="shared" si="113"/>
        <v/>
      </c>
      <c r="BD260" t="str">
        <f t="shared" si="114"/>
        <v/>
      </c>
      <c r="BE260" t="str">
        <f t="shared" si="115"/>
        <v/>
      </c>
      <c r="BF260" t="str">
        <f t="shared" si="116"/>
        <v/>
      </c>
      <c r="BG260" t="str">
        <f t="shared" si="117"/>
        <v/>
      </c>
      <c r="BH260" t="str">
        <f t="shared" si="118"/>
        <v/>
      </c>
      <c r="BI260" t="str">
        <f t="shared" si="119"/>
        <v/>
      </c>
      <c r="BJ260" t="str">
        <f t="shared" si="120"/>
        <v/>
      </c>
      <c r="BK260" t="str">
        <f t="shared" si="121"/>
        <v/>
      </c>
      <c r="BL260" t="str">
        <f t="shared" si="122"/>
        <v/>
      </c>
      <c r="BM260" t="str">
        <f t="shared" si="123"/>
        <v/>
      </c>
      <c r="BN260" t="str">
        <f t="shared" si="124"/>
        <v/>
      </c>
      <c r="BO260" t="str">
        <f t="shared" si="125"/>
        <v/>
      </c>
      <c r="BP260" t="str">
        <f t="shared" si="126"/>
        <v/>
      </c>
      <c r="BQ260" t="str">
        <f t="shared" si="127"/>
        <v/>
      </c>
      <c r="BR260" t="str">
        <f t="shared" si="128"/>
        <v/>
      </c>
      <c r="BS260" t="str">
        <f t="shared" si="129"/>
        <v/>
      </c>
      <c r="BT260" t="str">
        <f t="shared" si="130"/>
        <v/>
      </c>
      <c r="BU260" t="str">
        <f t="shared" si="131"/>
        <v/>
      </c>
    </row>
    <row r="261" spans="1:73">
      <c r="A261" s="1">
        <v>119776</v>
      </c>
      <c r="B261" t="str">
        <f>VLOOKUP($A261,[1]Table!$A$2:$N448,B$1,FALSE)</f>
        <v>A01AB03</v>
      </c>
      <c r="C261" t="str">
        <f>VLOOKUP($A261,[1]Table!$A$2:$N448,C$1,FALSE)</f>
        <v>MONDPREPARATEN</v>
      </c>
      <c r="D261" t="str">
        <f>VLOOKUP($A261,[1]Table!$A$2:$N448,D$1,FALSE)</f>
        <v>MONDPREPARATEN</v>
      </c>
      <c r="E261" t="str">
        <f>VLOOKUP($A261,[1]Table!$A$2:$N448,E$1,FALSE)</f>
        <v>CHLOORHEXIDINE</v>
      </c>
      <c r="F261" t="str">
        <f>VLOOKUP($A261,[1]Table!$A$2:$N448,F$1,FALSE)</f>
        <v>CORSODYL 2 MG/ML MONDSPRAY 60ML</v>
      </c>
      <c r="G261" t="str">
        <f>VLOOKUP($A261,[1]Table!$A$2:$N448,G$1,FALSE)</f>
        <v>CHLOORHEXIDINE 2MG/ML SPRAY</v>
      </c>
      <c r="H261" t="str">
        <f>VLOOKUP($A261,[1]Table!$A$2:$N448,H$1,FALSE)</f>
        <v>spray voor oromucosaal gebruik</v>
      </c>
      <c r="I261" t="str">
        <f>VLOOKUP($A261,[1]Table!$A$2:$N448,I$1,FALSE)</f>
        <v>oromuc</v>
      </c>
      <c r="J261">
        <f>VLOOKUP($A261,[1]Table!$A$2:$N448,J$1,FALSE)</f>
        <v>2</v>
      </c>
      <c r="K261" t="str">
        <f>VLOOKUP($A261,[1]Table!$A$2:$N448,K$1,FALSE)</f>
        <v>mg/ml</v>
      </c>
      <c r="L261">
        <f>VLOOKUP($A261,[1]Table!$A$2:$N448,L$1,FALSE)</f>
        <v>2</v>
      </c>
      <c r="M261" t="str">
        <f>VLOOKUP($A261,[1]Table!$A$2:$N448,M$1,FALSE)</f>
        <v>mg</v>
      </c>
      <c r="N261" t="str">
        <f>VLOOKUP($A261,[1]Table!$A$2:$N448,N$1,FALSE)</f>
        <v>Profylaxe mondinfecties na ingrepen, gingivitis, mondhygiene wanneer tandenpoetsen niet mogelijk is||Ernstige mucositis tijdens chemotherapie en bestraling</v>
      </c>
      <c r="O261" t="str">
        <f>ConcatenateRange(AZ261:BU261,"||")</f>
        <v/>
      </c>
      <c r="AZ261" t="str">
        <f t="shared" si="110"/>
        <v/>
      </c>
      <c r="BA261" t="str">
        <f t="shared" si="111"/>
        <v/>
      </c>
      <c r="BB261" t="str">
        <f t="shared" si="112"/>
        <v/>
      </c>
      <c r="BC261" t="str">
        <f t="shared" si="113"/>
        <v/>
      </c>
      <c r="BD261" t="str">
        <f t="shared" si="114"/>
        <v/>
      </c>
      <c r="BE261" t="str">
        <f t="shared" si="115"/>
        <v/>
      </c>
      <c r="BF261" t="str">
        <f t="shared" si="116"/>
        <v/>
      </c>
      <c r="BG261" t="str">
        <f t="shared" si="117"/>
        <v/>
      </c>
      <c r="BH261" t="str">
        <f t="shared" si="118"/>
        <v/>
      </c>
      <c r="BI261" t="str">
        <f t="shared" si="119"/>
        <v/>
      </c>
      <c r="BJ261" t="str">
        <f t="shared" si="120"/>
        <v/>
      </c>
      <c r="BK261" t="str">
        <f t="shared" si="121"/>
        <v/>
      </c>
      <c r="BL261" t="str">
        <f t="shared" si="122"/>
        <v/>
      </c>
      <c r="BM261" t="str">
        <f t="shared" si="123"/>
        <v/>
      </c>
      <c r="BN261" t="str">
        <f t="shared" si="124"/>
        <v/>
      </c>
      <c r="BO261" t="str">
        <f t="shared" si="125"/>
        <v/>
      </c>
      <c r="BP261" t="str">
        <f t="shared" si="126"/>
        <v/>
      </c>
      <c r="BQ261" t="str">
        <f t="shared" si="127"/>
        <v/>
      </c>
      <c r="BR261" t="str">
        <f t="shared" si="128"/>
        <v/>
      </c>
      <c r="BS261" t="str">
        <f t="shared" si="129"/>
        <v/>
      </c>
      <c r="BT261" t="str">
        <f t="shared" si="130"/>
        <v/>
      </c>
      <c r="BU261" t="str">
        <f t="shared" si="131"/>
        <v/>
      </c>
    </row>
    <row r="262" spans="1:73">
      <c r="A262" s="1">
        <v>38911</v>
      </c>
      <c r="B262" t="str">
        <f>VLOOKUP($A262,[1]Table!$A$2:$N450,B$1,FALSE)</f>
        <v>C03BA04</v>
      </c>
      <c r="C262" t="str">
        <f>VLOOKUP($A262,[1]Table!$A$2:$N450,C$1,FALSE)</f>
        <v>DIURETICA</v>
      </c>
      <c r="D262" t="str">
        <f>VLOOKUP($A262,[1]Table!$A$2:$N450,D$1,FALSE)</f>
        <v>LOW-CEILING' DIURETICA, EXCLUSIEF THIAZIDEN</v>
      </c>
      <c r="E262" t="str">
        <f>VLOOKUP($A262,[1]Table!$A$2:$N450,E$1,FALSE)</f>
        <v>CHLOORTALIDON</v>
      </c>
      <c r="F262" t="str">
        <f>VLOOKUP($A262,[1]Table!$A$2:$N450,F$1,FALSE)</f>
        <v>CHLOORTALIDON 25 MG TABLET</v>
      </c>
      <c r="G262" t="str">
        <f>VLOOKUP($A262,[1]Table!$A$2:$N450,G$1,FALSE)</f>
        <v>CHLOORTALIDON 25MG TABLET</v>
      </c>
      <c r="H262" t="str">
        <f>VLOOKUP($A262,[1]Table!$A$2:$N450,H$1,FALSE)</f>
        <v>tablet</v>
      </c>
      <c r="I262" t="str">
        <f>VLOOKUP($A262,[1]Table!$A$2:$N450,I$1,FALSE)</f>
        <v>or</v>
      </c>
      <c r="J262">
        <f>VLOOKUP($A262,[1]Table!$A$2:$N450,J$1,FALSE)</f>
        <v>25</v>
      </c>
      <c r="K262" t="str">
        <f>VLOOKUP($A262,[1]Table!$A$2:$N450,K$1,FALSE)</f>
        <v>mg/stuk</v>
      </c>
      <c r="L262">
        <f>VLOOKUP($A262,[1]Table!$A$2:$N450,L$1,FALSE)</f>
        <v>12.5</v>
      </c>
      <c r="M262" t="str">
        <f>VLOOKUP($A262,[1]Table!$A$2:$N450,M$1,FALSE)</f>
        <v>mg</v>
      </c>
      <c r="N262" t="str">
        <f>VLOOKUP($A262,[1]Table!$A$2:$N450,N$1,FALSE)</f>
        <v>Hypertensie, stabiel hartfalen, oedeem</v>
      </c>
      <c r="O262" t="str">
        <f>ConcatenateRange(AZ262:BU262,"||")</f>
        <v/>
      </c>
      <c r="AZ262" t="str">
        <f t="shared" si="110"/>
        <v/>
      </c>
      <c r="BA262" t="str">
        <f t="shared" si="111"/>
        <v/>
      </c>
      <c r="BB262" t="str">
        <f t="shared" si="112"/>
        <v/>
      </c>
      <c r="BC262" t="str">
        <f t="shared" si="113"/>
        <v/>
      </c>
      <c r="BD262" t="str">
        <f t="shared" si="114"/>
        <v/>
      </c>
      <c r="BE262" t="str">
        <f t="shared" si="115"/>
        <v/>
      </c>
      <c r="BF262" t="str">
        <f t="shared" si="116"/>
        <v/>
      </c>
      <c r="BG262" t="str">
        <f t="shared" si="117"/>
        <v/>
      </c>
      <c r="BH262" t="str">
        <f t="shared" si="118"/>
        <v/>
      </c>
      <c r="BI262" t="str">
        <f t="shared" si="119"/>
        <v/>
      </c>
      <c r="BJ262" t="str">
        <f t="shared" si="120"/>
        <v/>
      </c>
      <c r="BK262" t="str">
        <f t="shared" si="121"/>
        <v/>
      </c>
      <c r="BL262" t="str">
        <f t="shared" si="122"/>
        <v/>
      </c>
      <c r="BM262" t="str">
        <f t="shared" si="123"/>
        <v/>
      </c>
      <c r="BN262" t="str">
        <f t="shared" si="124"/>
        <v/>
      </c>
      <c r="BO262" t="str">
        <f t="shared" si="125"/>
        <v/>
      </c>
      <c r="BP262" t="str">
        <f t="shared" si="126"/>
        <v/>
      </c>
      <c r="BQ262" t="str">
        <f t="shared" si="127"/>
        <v/>
      </c>
      <c r="BR262" t="str">
        <f t="shared" si="128"/>
        <v/>
      </c>
      <c r="BS262" t="str">
        <f t="shared" si="129"/>
        <v/>
      </c>
      <c r="BT262" t="str">
        <f t="shared" si="130"/>
        <v/>
      </c>
      <c r="BU262" t="str">
        <f t="shared" si="131"/>
        <v/>
      </c>
    </row>
    <row r="263" spans="1:73">
      <c r="A263" s="1">
        <v>40347</v>
      </c>
      <c r="B263" t="str">
        <f>VLOOKUP($A263,[1]Table!$A$2:$N451,B$1,FALSE)</f>
        <v>C03BA04</v>
      </c>
      <c r="C263" t="str">
        <f>VLOOKUP($A263,[1]Table!$A$2:$N451,C$1,FALSE)</f>
        <v>DIURETICA</v>
      </c>
      <c r="D263" t="str">
        <f>VLOOKUP($A263,[1]Table!$A$2:$N451,D$1,FALSE)</f>
        <v>LOW-CEILING' DIURETICA, EXCLUSIEF THIAZIDEN</v>
      </c>
      <c r="E263" t="str">
        <f>VLOOKUP($A263,[1]Table!$A$2:$N451,E$1,FALSE)</f>
        <v>CHLOORTALIDON</v>
      </c>
      <c r="F263" t="str">
        <f>VLOOKUP($A263,[1]Table!$A$2:$N451,F$1,FALSE)</f>
        <v>CHLOORTALIDON 50 MG TABLET</v>
      </c>
      <c r="G263" t="str">
        <f>VLOOKUP($A263,[1]Table!$A$2:$N451,G$1,FALSE)</f>
        <v>CHLOORTALIDON 50MG TABLET</v>
      </c>
      <c r="H263" t="str">
        <f>VLOOKUP($A263,[1]Table!$A$2:$N451,H$1,FALSE)</f>
        <v>tablet</v>
      </c>
      <c r="I263" t="str">
        <f>VLOOKUP($A263,[1]Table!$A$2:$N451,I$1,FALSE)</f>
        <v>or</v>
      </c>
      <c r="J263">
        <f>VLOOKUP($A263,[1]Table!$A$2:$N451,J$1,FALSE)</f>
        <v>50</v>
      </c>
      <c r="K263" t="str">
        <f>VLOOKUP($A263,[1]Table!$A$2:$N451,K$1,FALSE)</f>
        <v>mg/stuk</v>
      </c>
      <c r="L263">
        <f>VLOOKUP($A263,[1]Table!$A$2:$N451,L$1,FALSE)</f>
        <v>25</v>
      </c>
      <c r="M263" t="str">
        <f>VLOOKUP($A263,[1]Table!$A$2:$N451,M$1,FALSE)</f>
        <v>mg</v>
      </c>
      <c r="N263" t="str">
        <f>VLOOKUP($A263,[1]Table!$A$2:$N451,N$1,FALSE)</f>
        <v>Hypertensie, stabiel hartfalen, oedeem</v>
      </c>
      <c r="O263" t="str">
        <f>ConcatenateRange(AZ263:BU263,"||")</f>
        <v/>
      </c>
      <c r="AZ263" t="str">
        <f t="shared" si="110"/>
        <v/>
      </c>
      <c r="BA263" t="str">
        <f t="shared" si="111"/>
        <v/>
      </c>
      <c r="BB263" t="str">
        <f t="shared" si="112"/>
        <v/>
      </c>
      <c r="BC263" t="str">
        <f t="shared" si="113"/>
        <v/>
      </c>
      <c r="BD263" t="str">
        <f t="shared" si="114"/>
        <v/>
      </c>
      <c r="BE263" t="str">
        <f t="shared" si="115"/>
        <v/>
      </c>
      <c r="BF263" t="str">
        <f t="shared" si="116"/>
        <v/>
      </c>
      <c r="BG263" t="str">
        <f t="shared" si="117"/>
        <v/>
      </c>
      <c r="BH263" t="str">
        <f t="shared" si="118"/>
        <v/>
      </c>
      <c r="BI263" t="str">
        <f t="shared" si="119"/>
        <v/>
      </c>
      <c r="BJ263" t="str">
        <f t="shared" si="120"/>
        <v/>
      </c>
      <c r="BK263" t="str">
        <f t="shared" si="121"/>
        <v/>
      </c>
      <c r="BL263" t="str">
        <f t="shared" si="122"/>
        <v/>
      </c>
      <c r="BM263" t="str">
        <f t="shared" si="123"/>
        <v/>
      </c>
      <c r="BN263" t="str">
        <f t="shared" si="124"/>
        <v/>
      </c>
      <c r="BO263" t="str">
        <f t="shared" si="125"/>
        <v/>
      </c>
      <c r="BP263" t="str">
        <f t="shared" si="126"/>
        <v/>
      </c>
      <c r="BQ263" t="str">
        <f t="shared" si="127"/>
        <v/>
      </c>
      <c r="BR263" t="str">
        <f t="shared" si="128"/>
        <v/>
      </c>
      <c r="BS263" t="str">
        <f t="shared" si="129"/>
        <v/>
      </c>
      <c r="BT263" t="str">
        <f t="shared" si="130"/>
        <v/>
      </c>
      <c r="BU263" t="str">
        <f t="shared" si="131"/>
        <v/>
      </c>
    </row>
    <row r="264" spans="1:73">
      <c r="A264" s="1">
        <v>30201</v>
      </c>
      <c r="B264" t="str">
        <f>VLOOKUP($A264,[1]Table!$A$2:$N452,B$1,FALSE)</f>
        <v>N05CC01</v>
      </c>
      <c r="C264" t="str">
        <f>VLOOKUP($A264,[1]Table!$A$2:$N452,C$1,FALSE)</f>
        <v>PSYCHOLEPTICA</v>
      </c>
      <c r="D264" t="str">
        <f>VLOOKUP($A264,[1]Table!$A$2:$N452,D$1,FALSE)</f>
        <v>HYPNOTICA EN SEDATIVA</v>
      </c>
      <c r="E264" t="str">
        <f>VLOOKUP($A264,[1]Table!$A$2:$N452,E$1,FALSE)</f>
        <v>CHLORALHYDRAAT</v>
      </c>
      <c r="F264" t="str">
        <f>VLOOKUP($A264,[1]Table!$A$2:$N452,F$1,FALSE)</f>
        <v>CHLORALHYDRAAT 100 MG/ML DRANK</v>
      </c>
      <c r="G264" t="str">
        <f>VLOOKUP($A264,[1]Table!$A$2:$N452,G$1,FALSE)</f>
        <v>CHLORALHYDRAAT 100MG/ML DRA</v>
      </c>
      <c r="H264" t="str">
        <f>VLOOKUP($A264,[1]Table!$A$2:$N452,H$1,FALSE)</f>
        <v>drank</v>
      </c>
      <c r="I264" t="str">
        <f>VLOOKUP($A264,[1]Table!$A$2:$N452,I$1,FALSE)</f>
        <v>or</v>
      </c>
      <c r="J264">
        <f>VLOOKUP($A264,[1]Table!$A$2:$N452,J$1,FALSE)</f>
        <v>100</v>
      </c>
      <c r="K264" t="str">
        <f>VLOOKUP($A264,[1]Table!$A$2:$N452,K$1,FALSE)</f>
        <v>mg/ml</v>
      </c>
      <c r="L264">
        <f>VLOOKUP($A264,[1]Table!$A$2:$N452,L$1,FALSE)</f>
        <v>100</v>
      </c>
      <c r="M264" t="str">
        <f>VLOOKUP($A264,[1]Table!$A$2:$N452,M$1,FALSE)</f>
        <v>mg</v>
      </c>
      <c r="N264" t="str">
        <f>VLOOKUP($A264,[1]Table!$A$2:$N452,N$1,FALSE)</f>
        <v>Sedatie/premedicatie bij niet pijnlijke procedures; aanvalsbehandeling bij epilepsie</v>
      </c>
      <c r="O264" t="str">
        <f>ConcatenateRange(AZ264:BU264,"||")</f>
        <v/>
      </c>
      <c r="AZ264" t="str">
        <f t="shared" si="110"/>
        <v/>
      </c>
      <c r="BA264" t="str">
        <f t="shared" si="111"/>
        <v/>
      </c>
      <c r="BB264" t="str">
        <f t="shared" si="112"/>
        <v/>
      </c>
      <c r="BC264" t="str">
        <f t="shared" si="113"/>
        <v/>
      </c>
      <c r="BD264" t="str">
        <f t="shared" si="114"/>
        <v/>
      </c>
      <c r="BE264" t="str">
        <f t="shared" si="115"/>
        <v/>
      </c>
      <c r="BF264" t="str">
        <f t="shared" si="116"/>
        <v/>
      </c>
      <c r="BG264" t="str">
        <f t="shared" si="117"/>
        <v/>
      </c>
      <c r="BH264" t="str">
        <f t="shared" si="118"/>
        <v/>
      </c>
      <c r="BI264" t="str">
        <f t="shared" si="119"/>
        <v/>
      </c>
      <c r="BJ264" t="str">
        <f t="shared" si="120"/>
        <v/>
      </c>
      <c r="BK264" t="str">
        <f t="shared" si="121"/>
        <v/>
      </c>
      <c r="BL264" t="str">
        <f t="shared" si="122"/>
        <v/>
      </c>
      <c r="BM264" t="str">
        <f t="shared" si="123"/>
        <v/>
      </c>
      <c r="BN264" t="str">
        <f t="shared" si="124"/>
        <v/>
      </c>
      <c r="BO264" t="str">
        <f t="shared" si="125"/>
        <v/>
      </c>
      <c r="BP264" t="str">
        <f t="shared" si="126"/>
        <v/>
      </c>
      <c r="BQ264" t="str">
        <f t="shared" si="127"/>
        <v/>
      </c>
      <c r="BR264" t="str">
        <f t="shared" si="128"/>
        <v/>
      </c>
      <c r="BS264" t="str">
        <f t="shared" si="129"/>
        <v/>
      </c>
      <c r="BT264" t="str">
        <f t="shared" si="130"/>
        <v/>
      </c>
      <c r="BU264" t="str">
        <f t="shared" si="131"/>
        <v/>
      </c>
    </row>
    <row r="265" spans="1:73">
      <c r="A265" s="1">
        <v>128880</v>
      </c>
      <c r="B265" t="str">
        <f>VLOOKUP($A265,[1]Table!$A$2:$N453,B$1,FALSE)</f>
        <v>P01BA01</v>
      </c>
      <c r="C265" t="str">
        <f>VLOOKUP($A265,[1]Table!$A$2:$N453,C$1,FALSE)</f>
        <v>ANTIPROTOZOICA</v>
      </c>
      <c r="D265" t="str">
        <f>VLOOKUP($A265,[1]Table!$A$2:$N453,D$1,FALSE)</f>
        <v>MALARIAMIDDELEN</v>
      </c>
      <c r="E265" t="str">
        <f>VLOOKUP($A265,[1]Table!$A$2:$N453,E$1,FALSE)</f>
        <v>CHLOROQUINE</v>
      </c>
      <c r="F265" t="str">
        <f>VLOOKUP($A265,[1]Table!$A$2:$N453,F$1,FALSE)</f>
        <v>CHLOROQUINE (A-CQ) 100 MG TABLET</v>
      </c>
      <c r="G265" t="str">
        <f>VLOOKUP($A265,[1]Table!$A$2:$N453,G$1,FALSE)</f>
        <v>CHLOROQUINE 100MG TABLET</v>
      </c>
      <c r="H265" t="str">
        <f>VLOOKUP($A265,[1]Table!$A$2:$N453,H$1,FALSE)</f>
        <v>tablet</v>
      </c>
      <c r="I265" t="str">
        <f>VLOOKUP($A265,[1]Table!$A$2:$N453,I$1,FALSE)</f>
        <v>or</v>
      </c>
      <c r="J265">
        <f>VLOOKUP($A265,[1]Table!$A$2:$N453,J$1,FALSE)</f>
        <v>100</v>
      </c>
      <c r="K265" t="str">
        <f>VLOOKUP($A265,[1]Table!$A$2:$N453,K$1,FALSE)</f>
        <v>mg/stuk</v>
      </c>
      <c r="L265">
        <f>VLOOKUP($A265,[1]Table!$A$2:$N453,L$1,FALSE)</f>
        <v>50</v>
      </c>
      <c r="M265" t="str">
        <f>VLOOKUP($A265,[1]Table!$A$2:$N453,M$1,FALSE)</f>
        <v>mg</v>
      </c>
      <c r="N265" t="str">
        <f>VLOOKUP($A265,[1]Table!$A$2:$N453,N$1,FALSE)</f>
        <v>Profylaxe malaria||Behandeling malaria</v>
      </c>
      <c r="O265" t="str">
        <f>ConcatenateRange(AZ265:BU265,"||")</f>
        <v/>
      </c>
      <c r="AZ265" t="str">
        <f t="shared" si="110"/>
        <v/>
      </c>
      <c r="BA265" t="str">
        <f t="shared" si="111"/>
        <v/>
      </c>
      <c r="BB265" t="str">
        <f t="shared" si="112"/>
        <v/>
      </c>
      <c r="BC265" t="str">
        <f t="shared" si="113"/>
        <v/>
      </c>
      <c r="BD265" t="str">
        <f t="shared" si="114"/>
        <v/>
      </c>
      <c r="BE265" t="str">
        <f t="shared" si="115"/>
        <v/>
      </c>
      <c r="BF265" t="str">
        <f t="shared" si="116"/>
        <v/>
      </c>
      <c r="BG265" t="str">
        <f t="shared" si="117"/>
        <v/>
      </c>
      <c r="BH265" t="str">
        <f t="shared" si="118"/>
        <v/>
      </c>
      <c r="BI265" t="str">
        <f t="shared" si="119"/>
        <v/>
      </c>
      <c r="BJ265" t="str">
        <f t="shared" si="120"/>
        <v/>
      </c>
      <c r="BK265" t="str">
        <f t="shared" si="121"/>
        <v/>
      </c>
      <c r="BL265" t="str">
        <f t="shared" si="122"/>
        <v/>
      </c>
      <c r="BM265" t="str">
        <f t="shared" si="123"/>
        <v/>
      </c>
      <c r="BN265" t="str">
        <f t="shared" si="124"/>
        <v/>
      </c>
      <c r="BO265" t="str">
        <f t="shared" si="125"/>
        <v/>
      </c>
      <c r="BP265" t="str">
        <f t="shared" si="126"/>
        <v/>
      </c>
      <c r="BQ265" t="str">
        <f t="shared" si="127"/>
        <v/>
      </c>
      <c r="BR265" t="str">
        <f t="shared" si="128"/>
        <v/>
      </c>
      <c r="BS265" t="str">
        <f t="shared" si="129"/>
        <v/>
      </c>
      <c r="BT265" t="str">
        <f t="shared" si="130"/>
        <v/>
      </c>
      <c r="BU265" t="str">
        <f t="shared" si="131"/>
        <v/>
      </c>
    </row>
    <row r="266" spans="1:73">
      <c r="A266" s="1">
        <v>106186</v>
      </c>
      <c r="B266" t="str">
        <f>VLOOKUP($A266,[1]Table!$A$2:$N454,B$1,FALSE)</f>
        <v>G03GA01</v>
      </c>
      <c r="C266" t="str">
        <f>VLOOKUP($A266,[1]Table!$A$2:$N454,C$1,FALSE)</f>
        <v>GESLACHTSHORMONEN EN MODULATOREN VAN HET GENITALE STELSEL</v>
      </c>
      <c r="D266" t="str">
        <f>VLOOKUP($A266,[1]Table!$A$2:$N454,D$1,FALSE)</f>
        <v>GONADOTROFINEN EN ANDERE OVULATIESTIMULERENDE MIDDELEN</v>
      </c>
      <c r="E266" t="str">
        <f>VLOOKUP($A266,[1]Table!$A$2:$N454,E$1,FALSE)</f>
        <v>CHORIONGONADOTROFINE</v>
      </c>
      <c r="F266" t="str">
        <f>VLOOKUP($A266,[1]Table!$A$2:$N454,F$1,FALSE)</f>
        <v>PREGNYL INJECTIEPOEDER FLACON 1500IE + SOLVENS 1ML</v>
      </c>
      <c r="G266" t="str">
        <f>VLOOKUP($A266,[1]Table!$A$2:$N454,G$1,FALSE)</f>
        <v>CHORIONGONADOT 1500IE INJPD</v>
      </c>
      <c r="H266" t="str">
        <f>VLOOKUP($A266,[1]Table!$A$2:$N454,H$1,FALSE)</f>
        <v>poeder voor injectievloeistof</v>
      </c>
      <c r="I266" t="str">
        <f>VLOOKUP($A266,[1]Table!$A$2:$N454,I$1,FALSE)</f>
        <v>im||sc</v>
      </c>
      <c r="J266">
        <f>VLOOKUP($A266,[1]Table!$A$2:$N454,J$1,FALSE)</f>
        <v>1500</v>
      </c>
      <c r="K266" t="str">
        <f>VLOOKUP($A266,[1]Table!$A$2:$N454,K$1,FALSE)</f>
        <v>IE/stuk</v>
      </c>
      <c r="L266">
        <f>VLOOKUP($A266,[1]Table!$A$2:$N454,L$1,FALSE)</f>
        <v>1500</v>
      </c>
      <c r="M266" t="str">
        <f>VLOOKUP($A266,[1]Table!$A$2:$N454,M$1,FALSE)</f>
        <v>IE</v>
      </c>
      <c r="N266" t="str">
        <f>VLOOKUP($A266,[1]Table!$A$2:$N454,N$1,FALSE)</f>
        <v>Diagnosticum: HCG test||Hypogonadotroop hypogonadisme, puberteitsinductie</v>
      </c>
      <c r="O266" t="str">
        <f>ConcatenateRange(AZ266:BU266,"||")</f>
        <v/>
      </c>
      <c r="AZ266" t="str">
        <f t="shared" si="110"/>
        <v/>
      </c>
      <c r="BA266" t="str">
        <f t="shared" si="111"/>
        <v/>
      </c>
      <c r="BB266" t="str">
        <f t="shared" si="112"/>
        <v/>
      </c>
      <c r="BC266" t="str">
        <f t="shared" si="113"/>
        <v/>
      </c>
      <c r="BD266" t="str">
        <f t="shared" si="114"/>
        <v/>
      </c>
      <c r="BE266" t="str">
        <f t="shared" si="115"/>
        <v/>
      </c>
      <c r="BF266" t="str">
        <f t="shared" si="116"/>
        <v/>
      </c>
      <c r="BG266" t="str">
        <f t="shared" si="117"/>
        <v/>
      </c>
      <c r="BH266" t="str">
        <f t="shared" si="118"/>
        <v/>
      </c>
      <c r="BI266" t="str">
        <f t="shared" si="119"/>
        <v/>
      </c>
      <c r="BJ266" t="str">
        <f t="shared" si="120"/>
        <v/>
      </c>
      <c r="BK266" t="str">
        <f t="shared" si="121"/>
        <v/>
      </c>
      <c r="BL266" t="str">
        <f t="shared" si="122"/>
        <v/>
      </c>
      <c r="BM266" t="str">
        <f t="shared" si="123"/>
        <v/>
      </c>
      <c r="BN266" t="str">
        <f t="shared" si="124"/>
        <v/>
      </c>
      <c r="BO266" t="str">
        <f t="shared" si="125"/>
        <v/>
      </c>
      <c r="BP266" t="str">
        <f t="shared" si="126"/>
        <v/>
      </c>
      <c r="BQ266" t="str">
        <f t="shared" si="127"/>
        <v/>
      </c>
      <c r="BR266" t="str">
        <f t="shared" si="128"/>
        <v/>
      </c>
      <c r="BS266" t="str">
        <f t="shared" si="129"/>
        <v/>
      </c>
      <c r="BT266" t="str">
        <f t="shared" si="130"/>
        <v/>
      </c>
      <c r="BU266" t="str">
        <f t="shared" si="131"/>
        <v/>
      </c>
    </row>
    <row r="267" spans="1:73">
      <c r="A267" s="1">
        <v>103853</v>
      </c>
      <c r="B267" t="str">
        <f>VLOOKUP($A267,[1]Table!$A$2:$N455,B$1,FALSE)</f>
        <v>G03GA01</v>
      </c>
      <c r="C267" t="str">
        <f>VLOOKUP($A267,[1]Table!$A$2:$N455,C$1,FALSE)</f>
        <v>GESLACHTSHORMONEN EN MODULATOREN VAN HET GENITALE STELSEL</v>
      </c>
      <c r="D267" t="str">
        <f>VLOOKUP($A267,[1]Table!$A$2:$N455,D$1,FALSE)</f>
        <v>GONADOTROFINEN EN ANDERE OVULATIESTIMULERENDE MIDDELEN</v>
      </c>
      <c r="E267" t="str">
        <f>VLOOKUP($A267,[1]Table!$A$2:$N455,E$1,FALSE)</f>
        <v>CHORIONGONADOTROFINE</v>
      </c>
      <c r="F267" t="str">
        <f>VLOOKUP($A267,[1]Table!$A$2:$N455,F$1,FALSE)</f>
        <v>PREGNYL INJECTIEPOEDER FLACON 5000IE + SOLVENS 1ML</v>
      </c>
      <c r="G267" t="str">
        <f>VLOOKUP($A267,[1]Table!$A$2:$N455,G$1,FALSE)</f>
        <v>CHORIONGONADOT 5000IE INJPD</v>
      </c>
      <c r="H267" t="str">
        <f>VLOOKUP($A267,[1]Table!$A$2:$N455,H$1,FALSE)</f>
        <v>poeder voor injectievloeistof</v>
      </c>
      <c r="I267" t="str">
        <f>VLOOKUP($A267,[1]Table!$A$2:$N455,I$1,FALSE)</f>
        <v>im||sc</v>
      </c>
      <c r="J267">
        <f>VLOOKUP($A267,[1]Table!$A$2:$N455,J$1,FALSE)</f>
        <v>5000</v>
      </c>
      <c r="K267" t="str">
        <f>VLOOKUP($A267,[1]Table!$A$2:$N455,K$1,FALSE)</f>
        <v>IE/stuk</v>
      </c>
      <c r="L267">
        <f>VLOOKUP($A267,[1]Table!$A$2:$N455,L$1,FALSE)</f>
        <v>5000</v>
      </c>
      <c r="M267" t="str">
        <f>VLOOKUP($A267,[1]Table!$A$2:$N455,M$1,FALSE)</f>
        <v>IE</v>
      </c>
      <c r="N267" t="str">
        <f>VLOOKUP($A267,[1]Table!$A$2:$N455,N$1,FALSE)</f>
        <v>Diagnosticum: HCG test||Hypogonadotroop hypogonadisme, puberteitsinductie</v>
      </c>
      <c r="O267" t="str">
        <f>ConcatenateRange(AZ267:BU267,"||")</f>
        <v/>
      </c>
      <c r="AZ267" t="str">
        <f t="shared" si="110"/>
        <v/>
      </c>
      <c r="BA267" t="str">
        <f t="shared" si="111"/>
        <v/>
      </c>
      <c r="BB267" t="str">
        <f t="shared" si="112"/>
        <v/>
      </c>
      <c r="BC267" t="str">
        <f t="shared" si="113"/>
        <v/>
      </c>
      <c r="BD267" t="str">
        <f t="shared" si="114"/>
        <v/>
      </c>
      <c r="BE267" t="str">
        <f t="shared" si="115"/>
        <v/>
      </c>
      <c r="BF267" t="str">
        <f t="shared" si="116"/>
        <v/>
      </c>
      <c r="BG267" t="str">
        <f t="shared" si="117"/>
        <v/>
      </c>
      <c r="BH267" t="str">
        <f t="shared" si="118"/>
        <v/>
      </c>
      <c r="BI267" t="str">
        <f t="shared" si="119"/>
        <v/>
      </c>
      <c r="BJ267" t="str">
        <f t="shared" si="120"/>
        <v/>
      </c>
      <c r="BK267" t="str">
        <f t="shared" si="121"/>
        <v/>
      </c>
      <c r="BL267" t="str">
        <f t="shared" si="122"/>
        <v/>
      </c>
      <c r="BM267" t="str">
        <f t="shared" si="123"/>
        <v/>
      </c>
      <c r="BN267" t="str">
        <f t="shared" si="124"/>
        <v/>
      </c>
      <c r="BO267" t="str">
        <f t="shared" si="125"/>
        <v/>
      </c>
      <c r="BP267" t="str">
        <f t="shared" si="126"/>
        <v/>
      </c>
      <c r="BQ267" t="str">
        <f t="shared" si="127"/>
        <v/>
      </c>
      <c r="BR267" t="str">
        <f t="shared" si="128"/>
        <v/>
      </c>
      <c r="BS267" t="str">
        <f t="shared" si="129"/>
        <v/>
      </c>
      <c r="BT267" t="str">
        <f t="shared" si="130"/>
        <v/>
      </c>
      <c r="BU267" t="str">
        <f t="shared" si="131"/>
        <v/>
      </c>
    </row>
    <row r="268" spans="1:73">
      <c r="A268" s="1">
        <v>123609</v>
      </c>
      <c r="B268" t="str">
        <f>VLOOKUP($A268,[1]Table!$A$2:$N456,B$1,FALSE)</f>
        <v>R03BA08</v>
      </c>
      <c r="C268" t="str">
        <f>VLOOKUP($A268,[1]Table!$A$2:$N456,C$1,FALSE)</f>
        <v>MIDDELEN BIJ ASTMA/COPD</v>
      </c>
      <c r="D268" t="str">
        <f>VLOOKUP($A268,[1]Table!$A$2:$N456,D$1,FALSE)</f>
        <v>OVERIGE MIDDELEN BIJ ASTMA/COPD VOOR INHALATIE</v>
      </c>
      <c r="E268" t="str">
        <f>VLOOKUP($A268,[1]Table!$A$2:$N456,E$1,FALSE)</f>
        <v>CICLESONIDE</v>
      </c>
      <c r="F268" t="str">
        <f>VLOOKUP($A268,[1]Table!$A$2:$N456,F$1,FALSE)</f>
        <v>ALVESCO  80 AEROSOL 120 DOSES</v>
      </c>
      <c r="G268" t="str">
        <f>VLOOKUP($A268,[1]Table!$A$2:$N456,G$1,FALSE)</f>
        <v>CICLESONIDE 80UG/DO AEROSOL</v>
      </c>
      <c r="H268" t="str">
        <f>VLOOKUP($A268,[1]Table!$A$2:$N456,H$1,FALSE)</f>
        <v>aerosol</v>
      </c>
      <c r="I268" t="str">
        <f>VLOOKUP($A268,[1]Table!$A$2:$N456,I$1,FALSE)</f>
        <v>inh</v>
      </c>
      <c r="J268">
        <f>VLOOKUP($A268,[1]Table!$A$2:$N456,J$1,FALSE)</f>
        <v>80</v>
      </c>
      <c r="K268" t="str">
        <f>VLOOKUP($A268,[1]Table!$A$2:$N456,K$1,FALSE)</f>
        <v>mcg/dose</v>
      </c>
      <c r="L268">
        <f>VLOOKUP($A268,[1]Table!$A$2:$N456,L$1,FALSE)</f>
        <v>80</v>
      </c>
      <c r="M268" t="str">
        <f>VLOOKUP($A268,[1]Table!$A$2:$N456,M$1,FALSE)</f>
        <v>mcg</v>
      </c>
      <c r="N268" t="str">
        <f>VLOOKUP($A268,[1]Table!$A$2:$N456,N$1,FALSE)</f>
        <v>Astma, verminderen bronchiale hyperreactiviteit</v>
      </c>
      <c r="O268" t="str">
        <f>ConcatenateRange(AZ268:BU268,"||")</f>
        <v/>
      </c>
      <c r="AZ268" t="str">
        <f t="shared" si="110"/>
        <v/>
      </c>
      <c r="BA268" t="str">
        <f t="shared" si="111"/>
        <v/>
      </c>
      <c r="BB268" t="str">
        <f t="shared" si="112"/>
        <v/>
      </c>
      <c r="BC268" t="str">
        <f t="shared" si="113"/>
        <v/>
      </c>
      <c r="BD268" t="str">
        <f t="shared" si="114"/>
        <v/>
      </c>
      <c r="BE268" t="str">
        <f t="shared" si="115"/>
        <v/>
      </c>
      <c r="BF268" t="str">
        <f t="shared" si="116"/>
        <v/>
      </c>
      <c r="BG268" t="str">
        <f t="shared" si="117"/>
        <v/>
      </c>
      <c r="BH268" t="str">
        <f t="shared" si="118"/>
        <v/>
      </c>
      <c r="BI268" t="str">
        <f t="shared" si="119"/>
        <v/>
      </c>
      <c r="BJ268" t="str">
        <f t="shared" si="120"/>
        <v/>
      </c>
      <c r="BK268" t="str">
        <f t="shared" si="121"/>
        <v/>
      </c>
      <c r="BL268" t="str">
        <f t="shared" si="122"/>
        <v/>
      </c>
      <c r="BM268" t="str">
        <f t="shared" si="123"/>
        <v/>
      </c>
      <c r="BN268" t="str">
        <f t="shared" si="124"/>
        <v/>
      </c>
      <c r="BO268" t="str">
        <f t="shared" si="125"/>
        <v/>
      </c>
      <c r="BP268" t="str">
        <f t="shared" si="126"/>
        <v/>
      </c>
      <c r="BQ268" t="str">
        <f t="shared" si="127"/>
        <v/>
      </c>
      <c r="BR268" t="str">
        <f t="shared" si="128"/>
        <v/>
      </c>
      <c r="BS268" t="str">
        <f t="shared" si="129"/>
        <v/>
      </c>
      <c r="BT268" t="str">
        <f t="shared" si="130"/>
        <v/>
      </c>
      <c r="BU268" t="str">
        <f t="shared" si="131"/>
        <v/>
      </c>
    </row>
    <row r="269" spans="1:73">
      <c r="A269" s="1">
        <v>123617</v>
      </c>
      <c r="B269" t="str">
        <f>VLOOKUP($A269,[1]Table!$A$2:$N457,B$1,FALSE)</f>
        <v>R03BA08</v>
      </c>
      <c r="C269" t="str">
        <f>VLOOKUP($A269,[1]Table!$A$2:$N457,C$1,FALSE)</f>
        <v>MIDDELEN BIJ ASTMA/COPD</v>
      </c>
      <c r="D269" t="str">
        <f>VLOOKUP($A269,[1]Table!$A$2:$N457,D$1,FALSE)</f>
        <v>OVERIGE MIDDELEN BIJ ASTMA/COPD VOOR INHALATIE</v>
      </c>
      <c r="E269" t="str">
        <f>VLOOKUP($A269,[1]Table!$A$2:$N457,E$1,FALSE)</f>
        <v>CICLESONIDE</v>
      </c>
      <c r="F269" t="str">
        <f>VLOOKUP($A269,[1]Table!$A$2:$N457,F$1,FALSE)</f>
        <v>ALVESCO 160 AEROCHAMBER PLUS + MONDSTUK</v>
      </c>
      <c r="G269" t="str">
        <f>VLOOKUP($A269,[1]Table!$A$2:$N457,G$1,FALSE)</f>
        <v>CICLESONIDE 160UG/DO AEROSO</v>
      </c>
      <c r="H269" t="str">
        <f>VLOOKUP($A269,[1]Table!$A$2:$N457,H$1,FALSE)</f>
        <v>aerosol</v>
      </c>
      <c r="I269" t="str">
        <f>VLOOKUP($A269,[1]Table!$A$2:$N457,I$1,FALSE)</f>
        <v>inh</v>
      </c>
      <c r="J269">
        <f>VLOOKUP($A269,[1]Table!$A$2:$N457,J$1,FALSE)</f>
        <v>160</v>
      </c>
      <c r="K269" t="str">
        <f>VLOOKUP($A269,[1]Table!$A$2:$N457,K$1,FALSE)</f>
        <v>mcg/dose</v>
      </c>
      <c r="L269">
        <f>VLOOKUP($A269,[1]Table!$A$2:$N457,L$1,FALSE)</f>
        <v>160</v>
      </c>
      <c r="M269" t="str">
        <f>VLOOKUP($A269,[1]Table!$A$2:$N457,M$1,FALSE)</f>
        <v>mcg</v>
      </c>
      <c r="N269" t="str">
        <f>VLOOKUP($A269,[1]Table!$A$2:$N457,N$1,FALSE)</f>
        <v>Astma, verminderen bronchiale hyperreactiviteit</v>
      </c>
      <c r="O269" t="str">
        <f>ConcatenateRange(AZ269:BU269,"||")</f>
        <v/>
      </c>
      <c r="AZ269" t="str">
        <f t="shared" si="110"/>
        <v/>
      </c>
      <c r="BA269" t="str">
        <f t="shared" si="111"/>
        <v/>
      </c>
      <c r="BB269" t="str">
        <f t="shared" si="112"/>
        <v/>
      </c>
      <c r="BC269" t="str">
        <f t="shared" si="113"/>
        <v/>
      </c>
      <c r="BD269" t="str">
        <f t="shared" si="114"/>
        <v/>
      </c>
      <c r="BE269" t="str">
        <f t="shared" si="115"/>
        <v/>
      </c>
      <c r="BF269" t="str">
        <f t="shared" si="116"/>
        <v/>
      </c>
      <c r="BG269" t="str">
        <f t="shared" si="117"/>
        <v/>
      </c>
      <c r="BH269" t="str">
        <f t="shared" si="118"/>
        <v/>
      </c>
      <c r="BI269" t="str">
        <f t="shared" si="119"/>
        <v/>
      </c>
      <c r="BJ269" t="str">
        <f t="shared" si="120"/>
        <v/>
      </c>
      <c r="BK269" t="str">
        <f t="shared" si="121"/>
        <v/>
      </c>
      <c r="BL269" t="str">
        <f t="shared" si="122"/>
        <v/>
      </c>
      <c r="BM269" t="str">
        <f t="shared" si="123"/>
        <v/>
      </c>
      <c r="BN269" t="str">
        <f t="shared" si="124"/>
        <v/>
      </c>
      <c r="BO269" t="str">
        <f t="shared" si="125"/>
        <v/>
      </c>
      <c r="BP269" t="str">
        <f t="shared" si="126"/>
        <v/>
      </c>
      <c r="BQ269" t="str">
        <f t="shared" si="127"/>
        <v/>
      </c>
      <c r="BR269" t="str">
        <f t="shared" si="128"/>
        <v/>
      </c>
      <c r="BS269" t="str">
        <f t="shared" si="129"/>
        <v/>
      </c>
      <c r="BT269" t="str">
        <f t="shared" si="130"/>
        <v/>
      </c>
      <c r="BU269" t="str">
        <f t="shared" si="131"/>
        <v/>
      </c>
    </row>
    <row r="270" spans="1:73">
      <c r="A270" s="1">
        <v>135534</v>
      </c>
      <c r="B270" t="str">
        <f>VLOOKUP($A270,[1]Table!$A$2:$N458,B$1,FALSE)</f>
        <v>L04AD01</v>
      </c>
      <c r="C270" t="str">
        <f>VLOOKUP($A270,[1]Table!$A$2:$N458,C$1,FALSE)</f>
        <v>IMMUNOSUPPRESSIVA</v>
      </c>
      <c r="D270" t="str">
        <f>VLOOKUP($A270,[1]Table!$A$2:$N458,D$1,FALSE)</f>
        <v>IMMUNOSUPPRESSIVA</v>
      </c>
      <c r="E270" t="str">
        <f>VLOOKUP($A270,[1]Table!$A$2:$N458,E$1,FALSE)</f>
        <v>CICLOSPORINE</v>
      </c>
      <c r="F270" t="str">
        <f>VLOOKUP($A270,[1]Table!$A$2:$N458,F$1,FALSE)</f>
        <v>NEORAL 25 MG CAPSULE</v>
      </c>
      <c r="G270" t="str">
        <f>VLOOKUP($A270,[1]Table!$A$2:$N458,G$1,FALSE)</f>
        <v>CICLOSPORINE 25MG CAP ZACHT</v>
      </c>
      <c r="H270" t="str">
        <f>VLOOKUP($A270,[1]Table!$A$2:$N458,H$1,FALSE)</f>
        <v>capsule, zacht</v>
      </c>
      <c r="I270" t="str">
        <f>VLOOKUP($A270,[1]Table!$A$2:$N458,I$1,FALSE)</f>
        <v>or</v>
      </c>
      <c r="J270">
        <f>VLOOKUP($A270,[1]Table!$A$2:$N458,J$1,FALSE)</f>
        <v>25</v>
      </c>
      <c r="K270" t="str">
        <f>VLOOKUP($A270,[1]Table!$A$2:$N458,K$1,FALSE)</f>
        <v>mg/stuk</v>
      </c>
      <c r="L270">
        <f>VLOOKUP($A270,[1]Table!$A$2:$N458,L$1,FALSE)</f>
        <v>25</v>
      </c>
      <c r="M270" t="str">
        <f>VLOOKUP($A270,[1]Table!$A$2:$N458,M$1,FALSE)</f>
        <v>mg</v>
      </c>
      <c r="N270" t="str">
        <f>VLOOKUP($A270,[1]Table!$A$2:$N458,N$1,FALSE)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>ConcatenateRange(AZ270:BU270,"||")</f>
        <v/>
      </c>
      <c r="AZ270" t="str">
        <f t="shared" si="110"/>
        <v/>
      </c>
      <c r="BA270" t="str">
        <f t="shared" si="111"/>
        <v/>
      </c>
      <c r="BB270" t="str">
        <f t="shared" si="112"/>
        <v/>
      </c>
      <c r="BC270" t="str">
        <f t="shared" si="113"/>
        <v/>
      </c>
      <c r="BD270" t="str">
        <f t="shared" si="114"/>
        <v/>
      </c>
      <c r="BE270" t="str">
        <f t="shared" si="115"/>
        <v/>
      </c>
      <c r="BF270" t="str">
        <f t="shared" si="116"/>
        <v/>
      </c>
      <c r="BG270" t="str">
        <f t="shared" si="117"/>
        <v/>
      </c>
      <c r="BH270" t="str">
        <f t="shared" si="118"/>
        <v/>
      </c>
      <c r="BI270" t="str">
        <f t="shared" si="119"/>
        <v/>
      </c>
      <c r="BJ270" t="str">
        <f t="shared" si="120"/>
        <v/>
      </c>
      <c r="BK270" t="str">
        <f t="shared" si="121"/>
        <v/>
      </c>
      <c r="BL270" t="str">
        <f t="shared" si="122"/>
        <v/>
      </c>
      <c r="BM270" t="str">
        <f t="shared" si="123"/>
        <v/>
      </c>
      <c r="BN270" t="str">
        <f t="shared" si="124"/>
        <v/>
      </c>
      <c r="BO270" t="str">
        <f t="shared" si="125"/>
        <v/>
      </c>
      <c r="BP270" t="str">
        <f t="shared" si="126"/>
        <v/>
      </c>
      <c r="BQ270" t="str">
        <f t="shared" si="127"/>
        <v/>
      </c>
      <c r="BR270" t="str">
        <f t="shared" si="128"/>
        <v/>
      </c>
      <c r="BS270" t="str">
        <f t="shared" si="129"/>
        <v/>
      </c>
      <c r="BT270" t="str">
        <f t="shared" si="130"/>
        <v/>
      </c>
      <c r="BU270" t="str">
        <f t="shared" si="131"/>
        <v/>
      </c>
    </row>
    <row r="271" spans="1:73">
      <c r="A271" s="1">
        <v>135542</v>
      </c>
      <c r="B271" t="str">
        <f>VLOOKUP($A271,[1]Table!$A$2:$N459,B$1,FALSE)</f>
        <v>L04AD01</v>
      </c>
      <c r="C271" t="str">
        <f>VLOOKUP($A271,[1]Table!$A$2:$N459,C$1,FALSE)</f>
        <v>IMMUNOSUPPRESSIVA</v>
      </c>
      <c r="D271" t="str">
        <f>VLOOKUP($A271,[1]Table!$A$2:$N459,D$1,FALSE)</f>
        <v>IMMUNOSUPPRESSIVA</v>
      </c>
      <c r="E271" t="str">
        <f>VLOOKUP($A271,[1]Table!$A$2:$N459,E$1,FALSE)</f>
        <v>CICLOSPORINE</v>
      </c>
      <c r="F271" t="str">
        <f>VLOOKUP($A271,[1]Table!$A$2:$N459,F$1,FALSE)</f>
        <v>NEORAL 100 MG CAPSULE</v>
      </c>
      <c r="G271" t="str">
        <f>VLOOKUP($A271,[1]Table!$A$2:$N459,G$1,FALSE)</f>
        <v>CICLOSPORINE 100MG CAP ZACH</v>
      </c>
      <c r="H271" t="str">
        <f>VLOOKUP($A271,[1]Table!$A$2:$N459,H$1,FALSE)</f>
        <v>capsule, zacht</v>
      </c>
      <c r="I271" t="str">
        <f>VLOOKUP($A271,[1]Table!$A$2:$N459,I$1,FALSE)</f>
        <v>or</v>
      </c>
      <c r="J271">
        <f>VLOOKUP($A271,[1]Table!$A$2:$N459,J$1,FALSE)</f>
        <v>100</v>
      </c>
      <c r="K271" t="str">
        <f>VLOOKUP($A271,[1]Table!$A$2:$N459,K$1,FALSE)</f>
        <v>mg/stuk</v>
      </c>
      <c r="L271">
        <f>VLOOKUP($A271,[1]Table!$A$2:$N459,L$1,FALSE)</f>
        <v>100</v>
      </c>
      <c r="M271" t="str">
        <f>VLOOKUP($A271,[1]Table!$A$2:$N459,M$1,FALSE)</f>
        <v>mg</v>
      </c>
      <c r="N271" t="str">
        <f>VLOOKUP($A271,[1]Table!$A$2:$N459,N$1,FALSE)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>ConcatenateRange(AZ271:BU271,"||")</f>
        <v/>
      </c>
      <c r="AZ271" t="str">
        <f t="shared" si="110"/>
        <v/>
      </c>
      <c r="BA271" t="str">
        <f t="shared" si="111"/>
        <v/>
      </c>
      <c r="BB271" t="str">
        <f t="shared" si="112"/>
        <v/>
      </c>
      <c r="BC271" t="str">
        <f t="shared" si="113"/>
        <v/>
      </c>
      <c r="BD271" t="str">
        <f t="shared" si="114"/>
        <v/>
      </c>
      <c r="BE271" t="str">
        <f t="shared" si="115"/>
        <v/>
      </c>
      <c r="BF271" t="str">
        <f t="shared" si="116"/>
        <v/>
      </c>
      <c r="BG271" t="str">
        <f t="shared" si="117"/>
        <v/>
      </c>
      <c r="BH271" t="str">
        <f t="shared" si="118"/>
        <v/>
      </c>
      <c r="BI271" t="str">
        <f t="shared" si="119"/>
        <v/>
      </c>
      <c r="BJ271" t="str">
        <f t="shared" si="120"/>
        <v/>
      </c>
      <c r="BK271" t="str">
        <f t="shared" si="121"/>
        <v/>
      </c>
      <c r="BL271" t="str">
        <f t="shared" si="122"/>
        <v/>
      </c>
      <c r="BM271" t="str">
        <f t="shared" si="123"/>
        <v/>
      </c>
      <c r="BN271" t="str">
        <f t="shared" si="124"/>
        <v/>
      </c>
      <c r="BO271" t="str">
        <f t="shared" si="125"/>
        <v/>
      </c>
      <c r="BP271" t="str">
        <f t="shared" si="126"/>
        <v/>
      </c>
      <c r="BQ271" t="str">
        <f t="shared" si="127"/>
        <v/>
      </c>
      <c r="BR271" t="str">
        <f t="shared" si="128"/>
        <v/>
      </c>
      <c r="BS271" t="str">
        <f t="shared" si="129"/>
        <v/>
      </c>
      <c r="BT271" t="str">
        <f t="shared" si="130"/>
        <v/>
      </c>
      <c r="BU271" t="str">
        <f t="shared" si="131"/>
        <v/>
      </c>
    </row>
    <row r="272" spans="1:73">
      <c r="A272" s="1">
        <v>45357</v>
      </c>
      <c r="B272" t="str">
        <f>VLOOKUP($A272,[1]Table!$A$2:$N460,B$1,FALSE)</f>
        <v>L04AD01</v>
      </c>
      <c r="C272" t="str">
        <f>VLOOKUP($A272,[1]Table!$A$2:$N460,C$1,FALSE)</f>
        <v>IMMUNOSUPPRESSIVA</v>
      </c>
      <c r="D272" t="str">
        <f>VLOOKUP($A272,[1]Table!$A$2:$N460,D$1,FALSE)</f>
        <v>IMMUNOSUPPRESSIVA</v>
      </c>
      <c r="E272" t="str">
        <f>VLOOKUP($A272,[1]Table!$A$2:$N460,E$1,FALSE)</f>
        <v>CICLOSPORINE</v>
      </c>
      <c r="F272" t="str">
        <f>VLOOKUP($A272,[1]Table!$A$2:$N460,F$1,FALSE)</f>
        <v>SANDIMMUNE 50 MG/ML AMPUL</v>
      </c>
      <c r="G272" t="str">
        <f>VLOOKUP($A272,[1]Table!$A$2:$N460,G$1,FALSE)</f>
        <v>CICLOSPORIN 50MG/ML INFCONC</v>
      </c>
      <c r="H272" t="str">
        <f>VLOOKUP($A272,[1]Table!$A$2:$N460,H$1,FALSE)</f>
        <v>concentraat voor oplossing voor infusie</v>
      </c>
      <c r="I272" t="str">
        <f>VLOOKUP($A272,[1]Table!$A$2:$N460,I$1,FALSE)</f>
        <v>iv</v>
      </c>
      <c r="J272">
        <f>VLOOKUP($A272,[1]Table!$A$2:$N460,J$1,FALSE)</f>
        <v>50</v>
      </c>
      <c r="K272" t="str">
        <f>VLOOKUP($A272,[1]Table!$A$2:$N460,K$1,FALSE)</f>
        <v>mg/ml</v>
      </c>
      <c r="L272">
        <f>VLOOKUP($A272,[1]Table!$A$2:$N460,L$1,FALSE)</f>
        <v>50</v>
      </c>
      <c r="M272" t="str">
        <f>VLOOKUP($A272,[1]Table!$A$2:$N460,M$1,FALSE)</f>
        <v>mg</v>
      </c>
      <c r="N272" t="str">
        <f>VLOOKUP($A272,[1]Table!$A$2:$N460,N$1,FALSE)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2" t="str">
        <f>ConcatenateRange(AZ272:BU272,"||")</f>
        <v/>
      </c>
      <c r="AZ272" t="str">
        <f t="shared" si="110"/>
        <v/>
      </c>
      <c r="BA272" t="str">
        <f t="shared" si="111"/>
        <v/>
      </c>
      <c r="BB272" t="str">
        <f t="shared" si="112"/>
        <v/>
      </c>
      <c r="BC272" t="str">
        <f t="shared" si="113"/>
        <v/>
      </c>
      <c r="BD272" t="str">
        <f t="shared" si="114"/>
        <v/>
      </c>
      <c r="BE272" t="str">
        <f t="shared" si="115"/>
        <v/>
      </c>
      <c r="BF272" t="str">
        <f t="shared" si="116"/>
        <v/>
      </c>
      <c r="BG272" t="str">
        <f t="shared" si="117"/>
        <v/>
      </c>
      <c r="BH272" t="str">
        <f t="shared" si="118"/>
        <v/>
      </c>
      <c r="BI272" t="str">
        <f t="shared" si="119"/>
        <v/>
      </c>
      <c r="BJ272" t="str">
        <f t="shared" si="120"/>
        <v/>
      </c>
      <c r="BK272" t="str">
        <f t="shared" si="121"/>
        <v/>
      </c>
      <c r="BL272" t="str">
        <f t="shared" si="122"/>
        <v/>
      </c>
      <c r="BM272" t="str">
        <f t="shared" si="123"/>
        <v/>
      </c>
      <c r="BN272" t="str">
        <f t="shared" si="124"/>
        <v/>
      </c>
      <c r="BO272" t="str">
        <f t="shared" si="125"/>
        <v/>
      </c>
      <c r="BP272" t="str">
        <f t="shared" si="126"/>
        <v/>
      </c>
      <c r="BQ272" t="str">
        <f t="shared" si="127"/>
        <v/>
      </c>
      <c r="BR272" t="str">
        <f t="shared" si="128"/>
        <v/>
      </c>
      <c r="BS272" t="str">
        <f t="shared" si="129"/>
        <v/>
      </c>
      <c r="BT272" t="str">
        <f t="shared" si="130"/>
        <v/>
      </c>
      <c r="BU272" t="str">
        <f t="shared" si="131"/>
        <v/>
      </c>
    </row>
    <row r="273" spans="1:73">
      <c r="A273" s="1">
        <v>45365</v>
      </c>
      <c r="B273" t="str">
        <f>VLOOKUP($A273,[1]Table!$A$2:$N461,B$1,FALSE)</f>
        <v>L04AD01</v>
      </c>
      <c r="C273" t="str">
        <f>VLOOKUP($A273,[1]Table!$A$2:$N461,C$1,FALSE)</f>
        <v>IMMUNOSUPPRESSIVA</v>
      </c>
      <c r="D273" t="str">
        <f>VLOOKUP($A273,[1]Table!$A$2:$N461,D$1,FALSE)</f>
        <v>IMMUNOSUPPRESSIVA</v>
      </c>
      <c r="E273" t="str">
        <f>VLOOKUP($A273,[1]Table!$A$2:$N461,E$1,FALSE)</f>
        <v>CICLOSPORINE</v>
      </c>
      <c r="F273" t="str">
        <f>VLOOKUP($A273,[1]Table!$A$2:$N461,F$1,FALSE)</f>
        <v>NEORAL 100 MG/ML 50ML</v>
      </c>
      <c r="G273" t="str">
        <f>VLOOKUP($A273,[1]Table!$A$2:$N461,G$1,FALSE)</f>
        <v>CICLOSPORINE 100MG/ML DRANK</v>
      </c>
      <c r="H273" t="str">
        <f>VLOOKUP($A273,[1]Table!$A$2:$N461,H$1,FALSE)</f>
        <v>drank</v>
      </c>
      <c r="I273" t="str">
        <f>VLOOKUP($A273,[1]Table!$A$2:$N461,I$1,FALSE)</f>
        <v>or</v>
      </c>
      <c r="J273">
        <f>VLOOKUP($A273,[1]Table!$A$2:$N461,J$1,FALSE)</f>
        <v>100</v>
      </c>
      <c r="K273" t="str">
        <f>VLOOKUP($A273,[1]Table!$A$2:$N461,K$1,FALSE)</f>
        <v>mg/ml</v>
      </c>
      <c r="L273">
        <f>VLOOKUP($A273,[1]Table!$A$2:$N461,L$1,FALSE)</f>
        <v>100</v>
      </c>
      <c r="M273" t="str">
        <f>VLOOKUP($A273,[1]Table!$A$2:$N461,M$1,FALSE)</f>
        <v>mg</v>
      </c>
      <c r="N273" t="str">
        <f>VLOOKUP($A273,[1]Table!$A$2:$N461,N$1,FALSE)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3" t="str">
        <f>ConcatenateRange(AZ273:BU273,"||")</f>
        <v/>
      </c>
      <c r="AZ273" t="str">
        <f t="shared" si="110"/>
        <v/>
      </c>
      <c r="BA273" t="str">
        <f t="shared" si="111"/>
        <v/>
      </c>
      <c r="BB273" t="str">
        <f t="shared" si="112"/>
        <v/>
      </c>
      <c r="BC273" t="str">
        <f t="shared" si="113"/>
        <v/>
      </c>
      <c r="BD273" t="str">
        <f t="shared" si="114"/>
        <v/>
      </c>
      <c r="BE273" t="str">
        <f t="shared" si="115"/>
        <v/>
      </c>
      <c r="BF273" t="str">
        <f t="shared" si="116"/>
        <v/>
      </c>
      <c r="BG273" t="str">
        <f t="shared" si="117"/>
        <v/>
      </c>
      <c r="BH273" t="str">
        <f t="shared" si="118"/>
        <v/>
      </c>
      <c r="BI273" t="str">
        <f t="shared" si="119"/>
        <v/>
      </c>
      <c r="BJ273" t="str">
        <f t="shared" si="120"/>
        <v/>
      </c>
      <c r="BK273" t="str">
        <f t="shared" si="121"/>
        <v/>
      </c>
      <c r="BL273" t="str">
        <f t="shared" si="122"/>
        <v/>
      </c>
      <c r="BM273" t="str">
        <f t="shared" si="123"/>
        <v/>
      </c>
      <c r="BN273" t="str">
        <f t="shared" si="124"/>
        <v/>
      </c>
      <c r="BO273" t="str">
        <f t="shared" si="125"/>
        <v/>
      </c>
      <c r="BP273" t="str">
        <f t="shared" si="126"/>
        <v/>
      </c>
      <c r="BQ273" t="str">
        <f t="shared" si="127"/>
        <v/>
      </c>
      <c r="BR273" t="str">
        <f t="shared" si="128"/>
        <v/>
      </c>
      <c r="BS273" t="str">
        <f t="shared" si="129"/>
        <v/>
      </c>
      <c r="BT273" t="str">
        <f t="shared" si="130"/>
        <v/>
      </c>
      <c r="BU273" t="str">
        <f t="shared" si="131"/>
        <v/>
      </c>
    </row>
    <row r="274" spans="1:73">
      <c r="A274" s="1">
        <v>40223</v>
      </c>
      <c r="B274" t="str">
        <f>VLOOKUP($A274,[1]Table!$A$2:$N463,B$1,FALSE)</f>
        <v>A02BA01</v>
      </c>
      <c r="C274" t="str">
        <f>VLOOKUP($A274,[1]Table!$A$2:$N463,C$1,FALSE)</f>
        <v>MIDDELEN BIJ ZUURGERELATEERDE AFWIJKINGEN</v>
      </c>
      <c r="D274" t="str">
        <f>VLOOKUP($A274,[1]Table!$A$2:$N463,D$1,FALSE)</f>
        <v>MIDDELEN BIJ ULCUS PEPTICUM EN GASTRO-OESOFAGEALE REFLUX</v>
      </c>
      <c r="E274" t="str">
        <f>VLOOKUP($A274,[1]Table!$A$2:$N463,E$1,FALSE)</f>
        <v>CIMETIDINE</v>
      </c>
      <c r="F274" t="str">
        <f>VLOOKUP($A274,[1]Table!$A$2:$N463,F$1,FALSE)</f>
        <v>CIMETIDINE 400 MG TABLET</v>
      </c>
      <c r="G274" t="str">
        <f>VLOOKUP($A274,[1]Table!$A$2:$N463,G$1,FALSE)</f>
        <v>CIMETIDINE 400MG TABLET</v>
      </c>
      <c r="H274" t="str">
        <f>VLOOKUP($A274,[1]Table!$A$2:$N463,H$1,FALSE)</f>
        <v>tablet</v>
      </c>
      <c r="I274" t="str">
        <f>VLOOKUP($A274,[1]Table!$A$2:$N463,I$1,FALSE)</f>
        <v>or</v>
      </c>
      <c r="J274">
        <f>VLOOKUP($A274,[1]Table!$A$2:$N463,J$1,FALSE)</f>
        <v>400</v>
      </c>
      <c r="K274" t="str">
        <f>VLOOKUP($A274,[1]Table!$A$2:$N463,K$1,FALSE)</f>
        <v>mg/stuk</v>
      </c>
      <c r="L274">
        <f>VLOOKUP($A274,[1]Table!$A$2:$N463,L$1,FALSE)</f>
        <v>400</v>
      </c>
      <c r="M274" t="str">
        <f>VLOOKUP($A274,[1]Table!$A$2:$N463,M$1,FALSE)</f>
        <v>mg</v>
      </c>
      <c r="N274" t="str">
        <f>VLOOKUP($A274,[1]Table!$A$2:$N463,N$1,FALSE)</f>
        <v>GERD, Chronische erosieve oesofagitis, therapie resistente ulcera</v>
      </c>
      <c r="O274" t="str">
        <f>ConcatenateRange(AZ274:BU274,"||")</f>
        <v/>
      </c>
      <c r="AZ274" t="str">
        <f t="shared" si="110"/>
        <v/>
      </c>
      <c r="BA274" t="str">
        <f t="shared" si="111"/>
        <v/>
      </c>
      <c r="BB274" t="str">
        <f t="shared" si="112"/>
        <v/>
      </c>
      <c r="BC274" t="str">
        <f t="shared" si="113"/>
        <v/>
      </c>
      <c r="BD274" t="str">
        <f t="shared" si="114"/>
        <v/>
      </c>
      <c r="BE274" t="str">
        <f t="shared" si="115"/>
        <v/>
      </c>
      <c r="BF274" t="str">
        <f t="shared" si="116"/>
        <v/>
      </c>
      <c r="BG274" t="str">
        <f t="shared" si="117"/>
        <v/>
      </c>
      <c r="BH274" t="str">
        <f t="shared" si="118"/>
        <v/>
      </c>
      <c r="BI274" t="str">
        <f t="shared" si="119"/>
        <v/>
      </c>
      <c r="BJ274" t="str">
        <f t="shared" si="120"/>
        <v/>
      </c>
      <c r="BK274" t="str">
        <f t="shared" si="121"/>
        <v/>
      </c>
      <c r="BL274" t="str">
        <f t="shared" si="122"/>
        <v/>
      </c>
      <c r="BM274" t="str">
        <f t="shared" si="123"/>
        <v/>
      </c>
      <c r="BN274" t="str">
        <f t="shared" si="124"/>
        <v/>
      </c>
      <c r="BO274" t="str">
        <f t="shared" si="125"/>
        <v/>
      </c>
      <c r="BP274" t="str">
        <f t="shared" si="126"/>
        <v/>
      </c>
      <c r="BQ274" t="str">
        <f t="shared" si="127"/>
        <v/>
      </c>
      <c r="BR274" t="str">
        <f t="shared" si="128"/>
        <v/>
      </c>
      <c r="BS274" t="str">
        <f t="shared" si="129"/>
        <v/>
      </c>
      <c r="BT274" t="str">
        <f t="shared" si="130"/>
        <v/>
      </c>
      <c r="BU274" t="str">
        <f t="shared" si="131"/>
        <v/>
      </c>
    </row>
    <row r="275" spans="1:73">
      <c r="A275" s="1">
        <v>1244</v>
      </c>
      <c r="B275" t="str">
        <f>VLOOKUP($A275,[1]Table!$A$2:$N464,B$1,FALSE)</f>
        <v>N07CA02</v>
      </c>
      <c r="C275" t="str">
        <f>VLOOKUP($A275,[1]Table!$A$2:$N464,C$1,FALSE)</f>
        <v>OVERIGE MIDDELEN WERKZAAM OP HET ZENUWSTELSEL</v>
      </c>
      <c r="D275" t="str">
        <f>VLOOKUP($A275,[1]Table!$A$2:$N464,D$1,FALSE)</f>
        <v>VERTIGOMIDDELEN</v>
      </c>
      <c r="E275" t="str">
        <f>VLOOKUP($A275,[1]Table!$A$2:$N464,E$1,FALSE)</f>
        <v>CINNARIZINE</v>
      </c>
      <c r="F275" t="str">
        <f>VLOOKUP($A275,[1]Table!$A$2:$N464,F$1,FALSE)</f>
        <v>CINNARIZINE 25MG TABLET</v>
      </c>
      <c r="G275" t="str">
        <f>VLOOKUP($A275,[1]Table!$A$2:$N464,G$1,FALSE)</f>
        <v>CINNARIZINE 25MG TABLET</v>
      </c>
      <c r="H275" t="str">
        <f>VLOOKUP($A275,[1]Table!$A$2:$N464,H$1,FALSE)</f>
        <v>tablet</v>
      </c>
      <c r="I275" t="str">
        <f>VLOOKUP($A275,[1]Table!$A$2:$N464,I$1,FALSE)</f>
        <v>or</v>
      </c>
      <c r="J275">
        <f>VLOOKUP($A275,[1]Table!$A$2:$N464,J$1,FALSE)</f>
        <v>25</v>
      </c>
      <c r="K275" t="str">
        <f>VLOOKUP($A275,[1]Table!$A$2:$N464,K$1,FALSE)</f>
        <v>mg/stuk</v>
      </c>
      <c r="L275">
        <f>VLOOKUP($A275,[1]Table!$A$2:$N464,L$1,FALSE)</f>
        <v>12.5</v>
      </c>
      <c r="M275" t="str">
        <f>VLOOKUP($A275,[1]Table!$A$2:$N464,M$1,FALSE)</f>
        <v>mg</v>
      </c>
      <c r="N275" t="str">
        <f>VLOOKUP($A275,[1]Table!$A$2:$N464,N$1,FALSE)</f>
        <v>Reisziekte</v>
      </c>
      <c r="O275" t="str">
        <f>ConcatenateRange(AZ275:BU275,"||")</f>
        <v/>
      </c>
      <c r="AZ275" t="str">
        <f t="shared" si="110"/>
        <v/>
      </c>
      <c r="BA275" t="str">
        <f t="shared" si="111"/>
        <v/>
      </c>
      <c r="BB275" t="str">
        <f t="shared" si="112"/>
        <v/>
      </c>
      <c r="BC275" t="str">
        <f t="shared" si="113"/>
        <v/>
      </c>
      <c r="BD275" t="str">
        <f t="shared" si="114"/>
        <v/>
      </c>
      <c r="BE275" t="str">
        <f t="shared" si="115"/>
        <v/>
      </c>
      <c r="BF275" t="str">
        <f t="shared" si="116"/>
        <v/>
      </c>
      <c r="BG275" t="str">
        <f t="shared" si="117"/>
        <v/>
      </c>
      <c r="BH275" t="str">
        <f t="shared" si="118"/>
        <v/>
      </c>
      <c r="BI275" t="str">
        <f t="shared" si="119"/>
        <v/>
      </c>
      <c r="BJ275" t="str">
        <f t="shared" si="120"/>
        <v/>
      </c>
      <c r="BK275" t="str">
        <f t="shared" si="121"/>
        <v/>
      </c>
      <c r="BL275" t="str">
        <f t="shared" si="122"/>
        <v/>
      </c>
      <c r="BM275" t="str">
        <f t="shared" si="123"/>
        <v/>
      </c>
      <c r="BN275" t="str">
        <f t="shared" si="124"/>
        <v/>
      </c>
      <c r="BO275" t="str">
        <f t="shared" si="125"/>
        <v/>
      </c>
      <c r="BP275" t="str">
        <f t="shared" si="126"/>
        <v/>
      </c>
      <c r="BQ275" t="str">
        <f t="shared" si="127"/>
        <v/>
      </c>
      <c r="BR275" t="str">
        <f t="shared" si="128"/>
        <v/>
      </c>
      <c r="BS275" t="str">
        <f t="shared" si="129"/>
        <v/>
      </c>
      <c r="BT275" t="str">
        <f t="shared" si="130"/>
        <v/>
      </c>
      <c r="BU275" t="str">
        <f t="shared" si="131"/>
        <v/>
      </c>
    </row>
    <row r="276" spans="1:73">
      <c r="A276" s="1">
        <v>280</v>
      </c>
      <c r="B276" t="str">
        <f>VLOOKUP($A276,[1]Table!$A$2:$N465,B$1,FALSE)</f>
        <v>N07CA52</v>
      </c>
      <c r="C276" t="str">
        <f>VLOOKUP($A276,[1]Table!$A$2:$N465,C$1,FALSE)</f>
        <v>OVERIGE MIDDELEN WERKZAAM OP HET ZENUWSTELSEL</v>
      </c>
      <c r="D276" t="str">
        <f>VLOOKUP($A276,[1]Table!$A$2:$N465,D$1,FALSE)</f>
        <v>VERTIGOMIDDELEN</v>
      </c>
      <c r="E276" t="str">
        <f>VLOOKUP($A276,[1]Table!$A$2:$N465,E$1,FALSE)</f>
        <v>CINNARIZINE/CHLOORCYCLIZINE</v>
      </c>
      <c r="F276" t="str">
        <f>VLOOKUP($A276,[1]Table!$A$2:$N465,F$1,FALSE)</f>
        <v>PRIMATOUR TABLET</v>
      </c>
      <c r="G276" t="str">
        <f>VLOOKUP($A276,[1]Table!$A$2:$N465,G$1,FALSE)</f>
        <v>CINNARIZ/CHLOORCYCL 12,5/25</v>
      </c>
      <c r="H276" t="str">
        <f>VLOOKUP($A276,[1]Table!$A$2:$N465,H$1,FALSE)</f>
        <v>tablet</v>
      </c>
      <c r="I276" t="str">
        <f>VLOOKUP($A276,[1]Table!$A$2:$N465,I$1,FALSE)</f>
        <v>or</v>
      </c>
      <c r="J276">
        <f>VLOOKUP($A276,[1]Table!$A$2:$N465,J$1,FALSE)</f>
        <v>12.5</v>
      </c>
      <c r="K276" t="str">
        <f>VLOOKUP($A276,[1]Table!$A$2:$N465,K$1,FALSE)</f>
        <v>mg/stuk</v>
      </c>
      <c r="L276">
        <f>VLOOKUP($A276,[1]Table!$A$2:$N465,L$1,FALSE)</f>
        <v>12.5</v>
      </c>
      <c r="M276" t="str">
        <f>VLOOKUP($A276,[1]Table!$A$2:$N465,M$1,FALSE)</f>
        <v>mg</v>
      </c>
      <c r="N276" t="str">
        <f>VLOOKUP($A276,[1]Table!$A$2:$N465,N$1,FALSE)</f>
        <v>Reisziekte</v>
      </c>
      <c r="O276" t="str">
        <f>ConcatenateRange(AZ276:BU276,"||")</f>
        <v/>
      </c>
      <c r="AZ276" t="str">
        <f t="shared" si="110"/>
        <v/>
      </c>
      <c r="BA276" t="str">
        <f t="shared" si="111"/>
        <v/>
      </c>
      <c r="BB276" t="str">
        <f t="shared" si="112"/>
        <v/>
      </c>
      <c r="BC276" t="str">
        <f t="shared" si="113"/>
        <v/>
      </c>
      <c r="BD276" t="str">
        <f t="shared" si="114"/>
        <v/>
      </c>
      <c r="BE276" t="str">
        <f t="shared" si="115"/>
        <v/>
      </c>
      <c r="BF276" t="str">
        <f t="shared" si="116"/>
        <v/>
      </c>
      <c r="BG276" t="str">
        <f t="shared" si="117"/>
        <v/>
      </c>
      <c r="BH276" t="str">
        <f t="shared" si="118"/>
        <v/>
      </c>
      <c r="BI276" t="str">
        <f t="shared" si="119"/>
        <v/>
      </c>
      <c r="BJ276" t="str">
        <f t="shared" si="120"/>
        <v/>
      </c>
      <c r="BK276" t="str">
        <f t="shared" si="121"/>
        <v/>
      </c>
      <c r="BL276" t="str">
        <f t="shared" si="122"/>
        <v/>
      </c>
      <c r="BM276" t="str">
        <f t="shared" si="123"/>
        <v/>
      </c>
      <c r="BN276" t="str">
        <f t="shared" si="124"/>
        <v/>
      </c>
      <c r="BO276" t="str">
        <f t="shared" si="125"/>
        <v/>
      </c>
      <c r="BP276" t="str">
        <f t="shared" si="126"/>
        <v/>
      </c>
      <c r="BQ276" t="str">
        <f t="shared" si="127"/>
        <v/>
      </c>
      <c r="BR276" t="str">
        <f t="shared" si="128"/>
        <v/>
      </c>
      <c r="BS276" t="str">
        <f t="shared" si="129"/>
        <v/>
      </c>
      <c r="BT276" t="str">
        <f t="shared" si="130"/>
        <v/>
      </c>
      <c r="BU276" t="str">
        <f t="shared" si="131"/>
        <v/>
      </c>
    </row>
    <row r="277" spans="1:73">
      <c r="A277" s="13">
        <v>167002</v>
      </c>
      <c r="B277" t="str">
        <f>VLOOKUP($A277,[1]Table!$A$2:$N1705,B$1,FALSE)</f>
        <v>J01MA02</v>
      </c>
      <c r="C277" t="str">
        <f>VLOOKUP($A277,[1]Table!$A$2:$N1705,C$1,FALSE)</f>
        <v>ANTIBACTERIELE MIDDELEN VOOR SYSTEMISCH GEBRUIK</v>
      </c>
      <c r="D277" t="str">
        <f>VLOOKUP($A277,[1]Table!$A$2:$N1705,D$1,FALSE)</f>
        <v>CHINOLONEN</v>
      </c>
      <c r="E277" t="str">
        <f>VLOOKUP($A277,[1]Table!$A$2:$N1705,E$1,FALSE)</f>
        <v>CIPROFLOXACINE</v>
      </c>
      <c r="F277" t="str">
        <f>VLOOKUP($A277,[1]Table!$A$2:$N1705,F$1,FALSE)</f>
        <v>CIPROFLOXACINE 2 MG/ML INFUSIEZAK 100ML</v>
      </c>
      <c r="G277" t="str">
        <f>VLOOKUP($A277,[1]Table!$A$2:$N1705,G$1,FALSE)</f>
        <v>CIPROFLOXACINE 2MG/ML INFVL</v>
      </c>
      <c r="H277" t="str">
        <f>VLOOKUP($A277,[1]Table!$A$2:$N1705,H$1,FALSE)</f>
        <v>infusievloeistof</v>
      </c>
      <c r="I277" t="str">
        <f>VLOOKUP($A277,[1]Table!$A$2:$N1705,I$1,FALSE)</f>
        <v>iv</v>
      </c>
      <c r="J277">
        <f>VLOOKUP($A277,[1]Table!$A$2:$N1705,J$1,FALSE)</f>
        <v>2</v>
      </c>
      <c r="K277" t="str">
        <f>VLOOKUP($A277,[1]Table!$A$2:$N1705,K$1,FALSE)</f>
        <v>mg/ml</v>
      </c>
      <c r="L277">
        <f>VLOOKUP($A277,[1]Table!$A$2:$N1705,L$1,FALSE)</f>
        <v>2</v>
      </c>
      <c r="M277" t="str">
        <f>VLOOKUP($A277,[1]Table!$A$2:$N1705,M$1,FALSE)</f>
        <v>mg</v>
      </c>
      <c r="N277" t="str">
        <f>VLOOKUP($A277,[1]Table!$A$2:$N1705,N$1,FALSE)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7" t="str">
        <f t="shared" si="110"/>
        <v/>
      </c>
      <c r="BA277" t="str">
        <f t="shared" si="111"/>
        <v/>
      </c>
      <c r="BB277" t="str">
        <f t="shared" si="112"/>
        <v/>
      </c>
      <c r="BC277" t="str">
        <f t="shared" si="113"/>
        <v/>
      </c>
      <c r="BD277" t="str">
        <f t="shared" si="114"/>
        <v/>
      </c>
      <c r="BE277" t="str">
        <f t="shared" si="115"/>
        <v/>
      </c>
      <c r="BF277" t="str">
        <f t="shared" si="116"/>
        <v/>
      </c>
      <c r="BG277" t="str">
        <f t="shared" si="117"/>
        <v/>
      </c>
      <c r="BH277" t="str">
        <f t="shared" si="118"/>
        <v/>
      </c>
      <c r="BI277" t="str">
        <f t="shared" si="119"/>
        <v/>
      </c>
      <c r="BJ277" t="str">
        <f t="shared" si="120"/>
        <v/>
      </c>
      <c r="BK277" t="str">
        <f t="shared" si="121"/>
        <v/>
      </c>
      <c r="BL277" t="str">
        <f t="shared" si="122"/>
        <v/>
      </c>
      <c r="BM277" t="str">
        <f t="shared" si="123"/>
        <v/>
      </c>
      <c r="BN277" t="str">
        <f t="shared" si="124"/>
        <v/>
      </c>
      <c r="BO277" t="str">
        <f t="shared" si="125"/>
        <v/>
      </c>
      <c r="BP277" t="str">
        <f t="shared" si="126"/>
        <v/>
      </c>
      <c r="BQ277" t="str">
        <f t="shared" si="127"/>
        <v/>
      </c>
      <c r="BR277" t="str">
        <f t="shared" si="128"/>
        <v/>
      </c>
      <c r="BS277" t="str">
        <f t="shared" si="129"/>
        <v/>
      </c>
      <c r="BT277" t="str">
        <f t="shared" si="130"/>
        <v/>
      </c>
      <c r="BU277" t="str">
        <f t="shared" si="131"/>
        <v/>
      </c>
    </row>
    <row r="278" spans="1:73">
      <c r="A278" s="1">
        <v>103764</v>
      </c>
      <c r="B278" t="str">
        <f>VLOOKUP($A278,[1]Table!$A$2:$N469,B$1,FALSE)</f>
        <v>J01MA02</v>
      </c>
      <c r="C278" t="str">
        <f>VLOOKUP($A278,[1]Table!$A$2:$N469,C$1,FALSE)</f>
        <v>ANTIBACTERIELE MIDDELEN VOOR SYSTEMISCH GEBRUIK</v>
      </c>
      <c r="D278" t="str">
        <f>VLOOKUP($A278,[1]Table!$A$2:$N469,D$1,FALSE)</f>
        <v>CHINOLONEN</v>
      </c>
      <c r="E278" t="str">
        <f>VLOOKUP($A278,[1]Table!$A$2:$N469,E$1,FALSE)</f>
        <v>CIPROFLOXACINE</v>
      </c>
      <c r="F278" t="str">
        <f>VLOOKUP($A278,[1]Table!$A$2:$N469,F$1,FALSE)</f>
        <v>CIPROXIN 50 MG/ML SUSPENSIE 107ML</v>
      </c>
      <c r="G278" t="str">
        <f>VLOOKUP($A278,[1]Table!$A$2:$N469,G$1,FALSE)</f>
        <v>CIPROFLOXACINE 50MG/ML SUSP</v>
      </c>
      <c r="H278" t="str">
        <f>VLOOKUP($A278,[1]Table!$A$2:$N469,H$1,FALSE)</f>
        <v>suspensie voor oraal gebruik</v>
      </c>
      <c r="I278" t="str">
        <f>VLOOKUP($A278,[1]Table!$A$2:$N469,I$1,FALSE)</f>
        <v>or</v>
      </c>
      <c r="J278">
        <f>VLOOKUP($A278,[1]Table!$A$2:$N469,J$1,FALSE)</f>
        <v>50</v>
      </c>
      <c r="K278" t="str">
        <f>VLOOKUP($A278,[1]Table!$A$2:$N469,K$1,FALSE)</f>
        <v>mg/ml</v>
      </c>
      <c r="L278">
        <f>VLOOKUP($A278,[1]Table!$A$2:$N469,L$1,FALSE)</f>
        <v>50</v>
      </c>
      <c r="M278" t="str">
        <f>VLOOKUP($A278,[1]Table!$A$2:$N469,M$1,FALSE)</f>
        <v>mg</v>
      </c>
      <c r="N278" t="str">
        <f>VLOOKUP($A278,[1]Table!$A$2:$N469,N$1,FALSE)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8" t="str">
        <f>ConcatenateRange(AZ278:BU278,"||")</f>
        <v/>
      </c>
      <c r="AZ278" t="str">
        <f t="shared" si="110"/>
        <v/>
      </c>
      <c r="BA278" t="str">
        <f t="shared" si="111"/>
        <v/>
      </c>
      <c r="BB278" t="str">
        <f t="shared" si="112"/>
        <v/>
      </c>
      <c r="BC278" t="str">
        <f t="shared" si="113"/>
        <v/>
      </c>
      <c r="BD278" t="str">
        <f t="shared" si="114"/>
        <v/>
      </c>
      <c r="BE278" t="str">
        <f t="shared" si="115"/>
        <v/>
      </c>
      <c r="BF278" t="str">
        <f t="shared" si="116"/>
        <v/>
      </c>
      <c r="BG278" t="str">
        <f t="shared" si="117"/>
        <v/>
      </c>
      <c r="BH278" t="str">
        <f t="shared" si="118"/>
        <v/>
      </c>
      <c r="BI278" t="str">
        <f t="shared" si="119"/>
        <v/>
      </c>
      <c r="BJ278" t="str">
        <f t="shared" si="120"/>
        <v/>
      </c>
      <c r="BK278" t="str">
        <f t="shared" si="121"/>
        <v/>
      </c>
      <c r="BL278" t="str">
        <f t="shared" si="122"/>
        <v/>
      </c>
      <c r="BM278" t="str">
        <f t="shared" si="123"/>
        <v/>
      </c>
      <c r="BN278" t="str">
        <f t="shared" si="124"/>
        <v/>
      </c>
      <c r="BO278" t="str">
        <f t="shared" si="125"/>
        <v/>
      </c>
      <c r="BP278" t="str">
        <f t="shared" si="126"/>
        <v/>
      </c>
      <c r="BQ278" t="str">
        <f t="shared" si="127"/>
        <v/>
      </c>
      <c r="BR278" t="str">
        <f t="shared" si="128"/>
        <v/>
      </c>
      <c r="BS278" t="str">
        <f t="shared" si="129"/>
        <v/>
      </c>
      <c r="BT278" t="str">
        <f t="shared" si="130"/>
        <v/>
      </c>
      <c r="BU278" t="str">
        <f t="shared" si="131"/>
        <v/>
      </c>
    </row>
    <row r="279" spans="1:73">
      <c r="A279" s="1">
        <v>103772</v>
      </c>
      <c r="B279" t="str">
        <f>VLOOKUP($A279,[1]Table!$A$2:$N469,B$1,FALSE)</f>
        <v>J01MA02</v>
      </c>
      <c r="C279" t="str">
        <f>VLOOKUP($A279,[1]Table!$A$2:$N469,C$1,FALSE)</f>
        <v>ANTIBACTERIELE MIDDELEN VOOR SYSTEMISCH GEBRUIK</v>
      </c>
      <c r="D279" t="str">
        <f>VLOOKUP($A279,[1]Table!$A$2:$N469,D$1,FALSE)</f>
        <v>CHINOLONEN</v>
      </c>
      <c r="E279" t="str">
        <f>VLOOKUP($A279,[1]Table!$A$2:$N469,E$1,FALSE)</f>
        <v>CIPROFLOXACINE</v>
      </c>
      <c r="F279" t="str">
        <f>VLOOKUP($A279,[1]Table!$A$2:$N469,F$1,FALSE)</f>
        <v>CIPROXIN 100 MG/ML SUSPENSIE</v>
      </c>
      <c r="G279" t="str">
        <f>VLOOKUP($A279,[1]Table!$A$2:$N469,G$1,FALSE)</f>
        <v>CIPROFLOXACINE 100MG/ML SUS</v>
      </c>
      <c r="H279" t="str">
        <f>VLOOKUP($A279,[1]Table!$A$2:$N469,H$1,FALSE)</f>
        <v>suspensie voor oraal gebruik</v>
      </c>
      <c r="I279" t="str">
        <f>VLOOKUP($A279,[1]Table!$A$2:$N469,I$1,FALSE)</f>
        <v>or</v>
      </c>
      <c r="J279">
        <f>VLOOKUP($A279,[1]Table!$A$2:$N469,J$1,FALSE)</f>
        <v>100</v>
      </c>
      <c r="K279" t="str">
        <f>VLOOKUP($A279,[1]Table!$A$2:$N469,K$1,FALSE)</f>
        <v>mg/ml</v>
      </c>
      <c r="L279">
        <f>VLOOKUP($A279,[1]Table!$A$2:$N469,L$1,FALSE)</f>
        <v>100</v>
      </c>
      <c r="M279" t="str">
        <f>VLOOKUP($A279,[1]Table!$A$2:$N469,M$1,FALSE)</f>
        <v>mg</v>
      </c>
      <c r="N279" t="str">
        <f>VLOOKUP($A279,[1]Table!$A$2:$N469,N$1,FALSE)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9" t="str">
        <f>ConcatenateRange(AZ279:BU279,"||")</f>
        <v/>
      </c>
      <c r="AZ279" t="str">
        <f t="shared" si="110"/>
        <v/>
      </c>
      <c r="BA279" t="str">
        <f t="shared" si="111"/>
        <v/>
      </c>
      <c r="BB279" t="str">
        <f t="shared" si="112"/>
        <v/>
      </c>
      <c r="BC279" t="str">
        <f t="shared" si="113"/>
        <v/>
      </c>
      <c r="BD279" t="str">
        <f t="shared" si="114"/>
        <v/>
      </c>
      <c r="BE279" t="str">
        <f t="shared" si="115"/>
        <v/>
      </c>
      <c r="BF279" t="str">
        <f t="shared" si="116"/>
        <v/>
      </c>
      <c r="BG279" t="str">
        <f t="shared" si="117"/>
        <v/>
      </c>
      <c r="BH279" t="str">
        <f t="shared" si="118"/>
        <v/>
      </c>
      <c r="BI279" t="str">
        <f t="shared" si="119"/>
        <v/>
      </c>
      <c r="BJ279" t="str">
        <f t="shared" si="120"/>
        <v/>
      </c>
      <c r="BK279" t="str">
        <f t="shared" si="121"/>
        <v/>
      </c>
      <c r="BL279" t="str">
        <f t="shared" si="122"/>
        <v/>
      </c>
      <c r="BM279" t="str">
        <f t="shared" si="123"/>
        <v/>
      </c>
      <c r="BN279" t="str">
        <f t="shared" si="124"/>
        <v/>
      </c>
      <c r="BO279" t="str">
        <f t="shared" si="125"/>
        <v/>
      </c>
      <c r="BP279" t="str">
        <f t="shared" si="126"/>
        <v/>
      </c>
      <c r="BQ279" t="str">
        <f t="shared" si="127"/>
        <v/>
      </c>
      <c r="BR279" t="str">
        <f t="shared" si="128"/>
        <v/>
      </c>
      <c r="BS279" t="str">
        <f t="shared" si="129"/>
        <v/>
      </c>
      <c r="BT279" t="str">
        <f t="shared" si="130"/>
        <v/>
      </c>
      <c r="BU279" t="str">
        <f t="shared" si="131"/>
        <v/>
      </c>
    </row>
    <row r="280" spans="1:73">
      <c r="A280" s="13">
        <v>167460</v>
      </c>
      <c r="B280" t="str">
        <f>VLOOKUP($A280,[1]Table!$A$2:$N1706,B$1,FALSE)</f>
        <v>J01MA02</v>
      </c>
      <c r="C280" t="str">
        <f>VLOOKUP($A280,[1]Table!$A$2:$N1706,C$1,FALSE)</f>
        <v>ANTIBACTERIELE MIDDELEN VOOR SYSTEMISCH GEBRUIK</v>
      </c>
      <c r="D280" t="str">
        <f>VLOOKUP($A280,[1]Table!$A$2:$N1706,D$1,FALSE)</f>
        <v>CHINOLONEN</v>
      </c>
      <c r="E280" t="str">
        <f>VLOOKUP($A280,[1]Table!$A$2:$N1706,E$1,FALSE)</f>
        <v>CIPROFLOXACINE</v>
      </c>
      <c r="F280" t="str">
        <f>VLOOKUP($A280,[1]Table!$A$2:$N1706,F$1,FALSE)</f>
        <v>CIPROFLOXACINE 250 MG TABLET</v>
      </c>
      <c r="G280" t="str">
        <f>VLOOKUP($A280,[1]Table!$A$2:$N1706,G$1,FALSE)</f>
        <v>CIPROFLOXACINE 250MG TABLET</v>
      </c>
      <c r="H280" t="str">
        <f>VLOOKUP($A280,[1]Table!$A$2:$N1706,H$1,FALSE)</f>
        <v>tablet</v>
      </c>
      <c r="I280" t="str">
        <f>VLOOKUP($A280,[1]Table!$A$2:$N1706,I$1,FALSE)</f>
        <v>or</v>
      </c>
      <c r="J280">
        <f>VLOOKUP($A280,[1]Table!$A$2:$N1706,J$1,FALSE)</f>
        <v>250</v>
      </c>
      <c r="K280" t="str">
        <f>VLOOKUP($A280,[1]Table!$A$2:$N1706,K$1,FALSE)</f>
        <v>mg/stuk</v>
      </c>
      <c r="L280">
        <f>VLOOKUP($A280,[1]Table!$A$2:$N1706,L$1,FALSE)</f>
        <v>125</v>
      </c>
      <c r="M280" t="str">
        <f>VLOOKUP($A280,[1]Table!$A$2:$N1706,M$1,FALSE)</f>
        <v>mg</v>
      </c>
      <c r="N280" t="str">
        <f>VLOOKUP($A280,[1]Table!$A$2:$N1706,N$1,FALSE)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10"/>
        <v/>
      </c>
      <c r="BA280" t="str">
        <f t="shared" si="111"/>
        <v/>
      </c>
      <c r="BB280" t="str">
        <f t="shared" si="112"/>
        <v/>
      </c>
      <c r="BC280" t="str">
        <f t="shared" si="113"/>
        <v/>
      </c>
      <c r="BD280" t="str">
        <f t="shared" si="114"/>
        <v/>
      </c>
      <c r="BE280" t="str">
        <f t="shared" si="115"/>
        <v/>
      </c>
      <c r="BF280" t="str">
        <f t="shared" si="116"/>
        <v/>
      </c>
      <c r="BG280" t="str">
        <f t="shared" si="117"/>
        <v/>
      </c>
      <c r="BH280" t="str">
        <f t="shared" si="118"/>
        <v/>
      </c>
      <c r="BI280" t="str">
        <f t="shared" si="119"/>
        <v/>
      </c>
      <c r="BJ280" t="str">
        <f t="shared" si="120"/>
        <v/>
      </c>
      <c r="BK280" t="str">
        <f t="shared" si="121"/>
        <v/>
      </c>
      <c r="BL280" t="str">
        <f t="shared" si="122"/>
        <v/>
      </c>
      <c r="BM280" t="str">
        <f t="shared" si="123"/>
        <v/>
      </c>
      <c r="BN280" t="str">
        <f t="shared" si="124"/>
        <v/>
      </c>
      <c r="BO280" t="str">
        <f t="shared" si="125"/>
        <v/>
      </c>
      <c r="BP280" t="str">
        <f t="shared" si="126"/>
        <v/>
      </c>
      <c r="BQ280" t="str">
        <f t="shared" si="127"/>
        <v/>
      </c>
      <c r="BR280" t="str">
        <f t="shared" si="128"/>
        <v/>
      </c>
      <c r="BS280" t="str">
        <f t="shared" si="129"/>
        <v/>
      </c>
      <c r="BT280" t="str">
        <f t="shared" si="130"/>
        <v/>
      </c>
      <c r="BU280" t="str">
        <f t="shared" si="131"/>
        <v/>
      </c>
    </row>
    <row r="281" spans="1:73">
      <c r="A281" s="16">
        <v>167479</v>
      </c>
      <c r="B281" t="str">
        <f>VLOOKUP($A281,[1]Table!$A$2:$N1707,B$1,FALSE)</f>
        <v>J01MA02</v>
      </c>
      <c r="C281" t="str">
        <f>VLOOKUP($A281,[1]Table!$A$2:$N1707,C$1,FALSE)</f>
        <v>ANTIBACTERIELE MIDDELEN VOOR SYSTEMISCH GEBRUIK</v>
      </c>
      <c r="D281" t="str">
        <f>VLOOKUP($A281,[1]Table!$A$2:$N1707,D$1,FALSE)</f>
        <v>CHINOLONEN</v>
      </c>
      <c r="E281" t="str">
        <f>VLOOKUP($A281,[1]Table!$A$2:$N1707,E$1,FALSE)</f>
        <v>CIPROFLOXACINE</v>
      </c>
      <c r="F281" t="str">
        <f>VLOOKUP($A281,[1]Table!$A$2:$N1707,F$1,FALSE)</f>
        <v>CIPROFLOXACINE PCH TABLET 500MG</v>
      </c>
      <c r="G281" t="str">
        <f>VLOOKUP($A281,[1]Table!$A$2:$N1707,G$1,FALSE)</f>
        <v>CIPROFLOXACINE 500MG TABLET</v>
      </c>
      <c r="H281" t="str">
        <f>VLOOKUP($A281,[1]Table!$A$2:$N1707,H$1,FALSE)</f>
        <v>tablet</v>
      </c>
      <c r="I281" t="str">
        <f>VLOOKUP($A281,[1]Table!$A$2:$N1707,I$1,FALSE)</f>
        <v>or</v>
      </c>
      <c r="J281">
        <f>VLOOKUP($A281,[1]Table!$A$2:$N1707,J$1,FALSE)</f>
        <v>500</v>
      </c>
      <c r="K281" t="str">
        <f>VLOOKUP($A281,[1]Table!$A$2:$N1707,K$1,FALSE)</f>
        <v>mg/stuk</v>
      </c>
      <c r="L281">
        <f>VLOOKUP($A281,[1]Table!$A$2:$N1707,L$1,FALSE)</f>
        <v>250</v>
      </c>
      <c r="M281" t="str">
        <f>VLOOKUP($A281,[1]Table!$A$2:$N1707,M$1,FALSE)</f>
        <v>mg</v>
      </c>
      <c r="N281" t="str">
        <f>VLOOKUP($A281,[1]Table!$A$2:$N1707,N$1,FALSE)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1" t="str">
        <f t="shared" si="110"/>
        <v/>
      </c>
      <c r="BA281" t="str">
        <f t="shared" si="111"/>
        <v/>
      </c>
      <c r="BB281" t="str">
        <f t="shared" si="112"/>
        <v/>
      </c>
      <c r="BC281" t="str">
        <f t="shared" si="113"/>
        <v/>
      </c>
      <c r="BD281" t="str">
        <f t="shared" si="114"/>
        <v/>
      </c>
      <c r="BE281" t="str">
        <f t="shared" si="115"/>
        <v/>
      </c>
      <c r="BF281" t="str">
        <f t="shared" si="116"/>
        <v/>
      </c>
      <c r="BG281" t="str">
        <f t="shared" si="117"/>
        <v/>
      </c>
      <c r="BH281" t="str">
        <f t="shared" si="118"/>
        <v/>
      </c>
      <c r="BI281" t="str">
        <f t="shared" si="119"/>
        <v/>
      </c>
      <c r="BJ281" t="str">
        <f t="shared" si="120"/>
        <v/>
      </c>
      <c r="BK281" t="str">
        <f t="shared" si="121"/>
        <v/>
      </c>
      <c r="BL281" t="str">
        <f t="shared" si="122"/>
        <v/>
      </c>
      <c r="BM281" t="str">
        <f t="shared" si="123"/>
        <v/>
      </c>
      <c r="BN281" t="str">
        <f t="shared" si="124"/>
        <v/>
      </c>
      <c r="BO281" t="str">
        <f t="shared" si="125"/>
        <v/>
      </c>
      <c r="BP281" t="str">
        <f t="shared" si="126"/>
        <v/>
      </c>
      <c r="BQ281" t="str">
        <f t="shared" si="127"/>
        <v/>
      </c>
      <c r="BR281" t="str">
        <f t="shared" si="128"/>
        <v/>
      </c>
      <c r="BS281" t="str">
        <f t="shared" si="129"/>
        <v/>
      </c>
      <c r="BT281" t="str">
        <f t="shared" si="130"/>
        <v/>
      </c>
      <c r="BU281" t="str">
        <f t="shared" si="131"/>
        <v/>
      </c>
    </row>
    <row r="282" spans="1:73">
      <c r="A282" s="16">
        <v>167487</v>
      </c>
      <c r="B282" t="str">
        <f>VLOOKUP($A282,[1]Table!$A$2:$N1708,B$1,FALSE)</f>
        <v>J01MA02</v>
      </c>
      <c r="C282" t="str">
        <f>VLOOKUP($A282,[1]Table!$A$2:$N1708,C$1,FALSE)</f>
        <v>ANTIBACTERIELE MIDDELEN VOOR SYSTEMISCH GEBRUIK</v>
      </c>
      <c r="D282" t="str">
        <f>VLOOKUP($A282,[1]Table!$A$2:$N1708,D$1,FALSE)</f>
        <v>CHINOLONEN</v>
      </c>
      <c r="E282" t="str">
        <f>VLOOKUP($A282,[1]Table!$A$2:$N1708,E$1,FALSE)</f>
        <v>CIPROFLOXACINE</v>
      </c>
      <c r="F282" t="str">
        <f>VLOOKUP($A282,[1]Table!$A$2:$N1708,F$1,FALSE)</f>
        <v>CIPROFLOXACINE 750 MG TABLET</v>
      </c>
      <c r="G282" t="str">
        <f>VLOOKUP($A282,[1]Table!$A$2:$N1708,G$1,FALSE)</f>
        <v>CIPROFLOXACINE 750MG TABLET</v>
      </c>
      <c r="H282" t="str">
        <f>VLOOKUP($A282,[1]Table!$A$2:$N1708,H$1,FALSE)</f>
        <v>tablet</v>
      </c>
      <c r="I282" t="str">
        <f>VLOOKUP($A282,[1]Table!$A$2:$N1708,I$1,FALSE)</f>
        <v>or</v>
      </c>
      <c r="J282">
        <f>VLOOKUP($A282,[1]Table!$A$2:$N1708,J$1,FALSE)</f>
        <v>750</v>
      </c>
      <c r="K282" t="str">
        <f>VLOOKUP($A282,[1]Table!$A$2:$N1708,K$1,FALSE)</f>
        <v>mg/stuk</v>
      </c>
      <c r="L282">
        <f>VLOOKUP($A282,[1]Table!$A$2:$N1708,L$1,FALSE)</f>
        <v>375</v>
      </c>
      <c r="M282" t="str">
        <f>VLOOKUP($A282,[1]Table!$A$2:$N1708,M$1,FALSE)</f>
        <v>mg</v>
      </c>
      <c r="N282" t="str">
        <f>VLOOKUP($A282,[1]Table!$A$2:$N1708,N$1,FALSE)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2" t="str">
        <f t="shared" si="110"/>
        <v/>
      </c>
      <c r="BA282" t="str">
        <f t="shared" si="111"/>
        <v/>
      </c>
      <c r="BB282" t="str">
        <f t="shared" si="112"/>
        <v/>
      </c>
      <c r="BC282" t="str">
        <f t="shared" si="113"/>
        <v/>
      </c>
      <c r="BD282" t="str">
        <f t="shared" si="114"/>
        <v/>
      </c>
      <c r="BE282" t="str">
        <f t="shared" si="115"/>
        <v/>
      </c>
      <c r="BF282" t="str">
        <f t="shared" si="116"/>
        <v/>
      </c>
      <c r="BG282" t="str">
        <f t="shared" si="117"/>
        <v/>
      </c>
      <c r="BH282" t="str">
        <f t="shared" si="118"/>
        <v/>
      </c>
      <c r="BI282" t="str">
        <f t="shared" si="119"/>
        <v/>
      </c>
      <c r="BJ282" t="str">
        <f t="shared" si="120"/>
        <v/>
      </c>
      <c r="BK282" t="str">
        <f t="shared" si="121"/>
        <v/>
      </c>
      <c r="BL282" t="str">
        <f t="shared" si="122"/>
        <v/>
      </c>
      <c r="BM282" t="str">
        <f t="shared" si="123"/>
        <v/>
      </c>
      <c r="BN282" t="str">
        <f t="shared" si="124"/>
        <v/>
      </c>
      <c r="BO282" t="str">
        <f t="shared" si="125"/>
        <v/>
      </c>
      <c r="BP282" t="str">
        <f t="shared" si="126"/>
        <v/>
      </c>
      <c r="BQ282" t="str">
        <f t="shared" si="127"/>
        <v/>
      </c>
      <c r="BR282" t="str">
        <f t="shared" si="128"/>
        <v/>
      </c>
      <c r="BS282" t="str">
        <f t="shared" si="129"/>
        <v/>
      </c>
      <c r="BT282" t="str">
        <f t="shared" si="130"/>
        <v/>
      </c>
      <c r="BU282" t="str">
        <f t="shared" si="131"/>
        <v/>
      </c>
    </row>
    <row r="283" spans="1:73">
      <c r="A283" s="1">
        <v>98159</v>
      </c>
      <c r="B283" t="str">
        <f>VLOOKUP($A283,[1]Table!$A$2:$N470,B$1,FALSE)</f>
        <v>M03AC11</v>
      </c>
      <c r="C283" t="str">
        <f>VLOOKUP($A283,[1]Table!$A$2:$N470,C$1,FALSE)</f>
        <v>SPIERRELAXANTIA</v>
      </c>
      <c r="D283" t="str">
        <f>VLOOKUP($A283,[1]Table!$A$2:$N470,D$1,FALSE)</f>
        <v>PERIFEER WERKENDE SPIERRELAXANTIA</v>
      </c>
      <c r="E283" t="str">
        <f>VLOOKUP($A283,[1]Table!$A$2:$N470,E$1,FALSE)</f>
        <v>CISATRACURIUM</v>
      </c>
      <c r="F283" t="str">
        <f>VLOOKUP($A283,[1]Table!$A$2:$N470,F$1,FALSE)</f>
        <v>NIMBEX 2 MG/ML AMPUL 5 ML</v>
      </c>
      <c r="G283" t="str">
        <f>VLOOKUP($A283,[1]Table!$A$2:$N470,G$1,FALSE)</f>
        <v>CISATRACURIUM 2MG/ML INJVLS</v>
      </c>
      <c r="H283" t="str">
        <f>VLOOKUP($A283,[1]Table!$A$2:$N470,H$1,FALSE)</f>
        <v>injectievloeistof</v>
      </c>
      <c r="I283" t="str">
        <f>VLOOKUP($A283,[1]Table!$A$2:$N470,I$1,FALSE)</f>
        <v>iv</v>
      </c>
      <c r="J283">
        <f>VLOOKUP($A283,[1]Table!$A$2:$N470,J$1,FALSE)</f>
        <v>2</v>
      </c>
      <c r="K283" t="str">
        <f>VLOOKUP($A283,[1]Table!$A$2:$N470,K$1,FALSE)</f>
        <v>mg/ml</v>
      </c>
      <c r="L283">
        <f>VLOOKUP($A283,[1]Table!$A$2:$N470,L$1,FALSE)</f>
        <v>2</v>
      </c>
      <c r="M283" t="str">
        <f>VLOOKUP($A283,[1]Table!$A$2:$N470,M$1,FALSE)</f>
        <v>mg</v>
      </c>
      <c r="N283" t="str">
        <f>VLOOKUP($A283,[1]Table!$A$2:$N470,N$1,FALSE)</f>
        <v>Verslapping van skeletspieren||Intubatie</v>
      </c>
      <c r="O283" t="str">
        <f>ConcatenateRange(AZ283:BU283,"||")</f>
        <v/>
      </c>
      <c r="AZ283" t="str">
        <f t="shared" si="110"/>
        <v/>
      </c>
      <c r="BA283" t="str">
        <f t="shared" si="111"/>
        <v/>
      </c>
      <c r="BB283" t="str">
        <f t="shared" si="112"/>
        <v/>
      </c>
      <c r="BC283" t="str">
        <f t="shared" si="113"/>
        <v/>
      </c>
      <c r="BD283" t="str">
        <f t="shared" si="114"/>
        <v/>
      </c>
      <c r="BE283" t="str">
        <f t="shared" si="115"/>
        <v/>
      </c>
      <c r="BF283" t="str">
        <f t="shared" si="116"/>
        <v/>
      </c>
      <c r="BG283" t="str">
        <f t="shared" si="117"/>
        <v/>
      </c>
      <c r="BH283" t="str">
        <f t="shared" si="118"/>
        <v/>
      </c>
      <c r="BI283" t="str">
        <f t="shared" si="119"/>
        <v/>
      </c>
      <c r="BJ283" t="str">
        <f t="shared" si="120"/>
        <v/>
      </c>
      <c r="BK283" t="str">
        <f t="shared" si="121"/>
        <v/>
      </c>
      <c r="BL283" t="str">
        <f t="shared" si="122"/>
        <v/>
      </c>
      <c r="BM283" t="str">
        <f t="shared" si="123"/>
        <v/>
      </c>
      <c r="BN283" t="str">
        <f t="shared" si="124"/>
        <v/>
      </c>
      <c r="BO283" t="str">
        <f t="shared" si="125"/>
        <v/>
      </c>
      <c r="BP283" t="str">
        <f t="shared" si="126"/>
        <v/>
      </c>
      <c r="BQ283" t="str">
        <f t="shared" si="127"/>
        <v/>
      </c>
      <c r="BR283" t="str">
        <f t="shared" si="128"/>
        <v/>
      </c>
      <c r="BS283" t="str">
        <f t="shared" si="129"/>
        <v/>
      </c>
      <c r="BT283" t="str">
        <f t="shared" si="130"/>
        <v/>
      </c>
      <c r="BU283" t="str">
        <f t="shared" si="131"/>
        <v/>
      </c>
    </row>
    <row r="284" spans="1:73">
      <c r="A284" s="1">
        <v>106496</v>
      </c>
      <c r="B284" t="str">
        <f>VLOOKUP($A284,[1]Table!$A$2:$N471,B$1,FALSE)</f>
        <v>N06AB04</v>
      </c>
      <c r="C284" t="str">
        <f>VLOOKUP($A284,[1]Table!$A$2:$N471,C$1,FALSE)</f>
        <v>PSYCHOANALEPTICA</v>
      </c>
      <c r="D284" t="str">
        <f>VLOOKUP($A284,[1]Table!$A$2:$N471,D$1,FALSE)</f>
        <v>ANTIDEPRESSIVA</v>
      </c>
      <c r="E284" t="str">
        <f>VLOOKUP($A284,[1]Table!$A$2:$N471,E$1,FALSE)</f>
        <v>CITALOPRAM</v>
      </c>
      <c r="F284" t="str">
        <f>VLOOKUP($A284,[1]Table!$A$2:$N471,F$1,FALSE)</f>
        <v>CIPRAMIL DRUPPELS 40 MG/ML 15 ML</v>
      </c>
      <c r="G284" t="str">
        <f>VLOOKUP($A284,[1]Table!$A$2:$N471,G$1,FALSE)</f>
        <v>CITALOPRAM 40MG/ML DRUPPELS</v>
      </c>
      <c r="H284" t="str">
        <f>VLOOKUP($A284,[1]Table!$A$2:$N471,H$1,FALSE)</f>
        <v>druppels voor oraal gebruik</v>
      </c>
      <c r="I284" t="str">
        <f>VLOOKUP($A284,[1]Table!$A$2:$N471,I$1,FALSE)</f>
        <v>or</v>
      </c>
      <c r="J284">
        <f>VLOOKUP($A284,[1]Table!$A$2:$N471,J$1,FALSE)</f>
        <v>40</v>
      </c>
      <c r="K284" t="str">
        <f>VLOOKUP($A284,[1]Table!$A$2:$N471,K$1,FALSE)</f>
        <v>mg/ml</v>
      </c>
      <c r="L284">
        <f>VLOOKUP($A284,[1]Table!$A$2:$N471,L$1,FALSE)</f>
        <v>40</v>
      </c>
      <c r="M284" t="str">
        <f>VLOOKUP($A284,[1]Table!$A$2:$N471,M$1,FALSE)</f>
        <v>mg</v>
      </c>
      <c r="N284" t="str">
        <f>VLOOKUP($A284,[1]Table!$A$2:$N471,N$1,FALSE)</f>
        <v>Autisme spectrum stoornissen (ASS)||Obsessieve compulsieve stoornis en depressie</v>
      </c>
      <c r="O284" t="str">
        <f>ConcatenateRange(AZ284:BU284,"||")</f>
        <v/>
      </c>
      <c r="AZ284" t="str">
        <f t="shared" si="110"/>
        <v/>
      </c>
      <c r="BA284" t="str">
        <f t="shared" si="111"/>
        <v/>
      </c>
      <c r="BB284" t="str">
        <f t="shared" si="112"/>
        <v/>
      </c>
      <c r="BC284" t="str">
        <f t="shared" si="113"/>
        <v/>
      </c>
      <c r="BD284" t="str">
        <f t="shared" si="114"/>
        <v/>
      </c>
      <c r="BE284" t="str">
        <f t="shared" si="115"/>
        <v/>
      </c>
      <c r="BF284" t="str">
        <f t="shared" si="116"/>
        <v/>
      </c>
      <c r="BG284" t="str">
        <f t="shared" si="117"/>
        <v/>
      </c>
      <c r="BH284" t="str">
        <f t="shared" si="118"/>
        <v/>
      </c>
      <c r="BI284" t="str">
        <f t="shared" si="119"/>
        <v/>
      </c>
      <c r="BJ284" t="str">
        <f t="shared" si="120"/>
        <v/>
      </c>
      <c r="BK284" t="str">
        <f t="shared" si="121"/>
        <v/>
      </c>
      <c r="BL284" t="str">
        <f t="shared" si="122"/>
        <v/>
      </c>
      <c r="BM284" t="str">
        <f t="shared" si="123"/>
        <v/>
      </c>
      <c r="BN284" t="str">
        <f t="shared" si="124"/>
        <v/>
      </c>
      <c r="BO284" t="str">
        <f t="shared" si="125"/>
        <v/>
      </c>
      <c r="BP284" t="str">
        <f t="shared" si="126"/>
        <v/>
      </c>
      <c r="BQ284" t="str">
        <f t="shared" si="127"/>
        <v/>
      </c>
      <c r="BR284" t="str">
        <f t="shared" si="128"/>
        <v/>
      </c>
      <c r="BS284" t="str">
        <f t="shared" si="129"/>
        <v/>
      </c>
      <c r="BT284" t="str">
        <f t="shared" si="130"/>
        <v/>
      </c>
      <c r="BU284" t="str">
        <f t="shared" si="131"/>
        <v/>
      </c>
    </row>
    <row r="285" spans="1:73">
      <c r="A285" s="1">
        <v>101575</v>
      </c>
      <c r="B285" t="str">
        <f>VLOOKUP($A285,[1]Table!$A$2:$N472,B$1,FALSE)</f>
        <v>N06AB04</v>
      </c>
      <c r="C285" t="str">
        <f>VLOOKUP($A285,[1]Table!$A$2:$N472,C$1,FALSE)</f>
        <v>PSYCHOANALEPTICA</v>
      </c>
      <c r="D285" t="str">
        <f>VLOOKUP($A285,[1]Table!$A$2:$N472,D$1,FALSE)</f>
        <v>ANTIDEPRESSIVA</v>
      </c>
      <c r="E285" t="str">
        <f>VLOOKUP($A285,[1]Table!$A$2:$N472,E$1,FALSE)</f>
        <v>CITALOPRAM</v>
      </c>
      <c r="F285" t="str">
        <f>VLOOKUP($A285,[1]Table!$A$2:$N472,F$1,FALSE)</f>
        <v>CITALOPRAM 10 MG TABLET OMHULD</v>
      </c>
      <c r="G285" t="str">
        <f>VLOOKUP($A285,[1]Table!$A$2:$N472,G$1,FALSE)</f>
        <v>CITALOPRAM 10MG TAB OMHULD</v>
      </c>
      <c r="H285" t="str">
        <f>VLOOKUP($A285,[1]Table!$A$2:$N472,H$1,FALSE)</f>
        <v>omhulde tablet</v>
      </c>
      <c r="I285" t="str">
        <f>VLOOKUP($A285,[1]Table!$A$2:$N472,I$1,FALSE)</f>
        <v>or</v>
      </c>
      <c r="J285">
        <f>VLOOKUP($A285,[1]Table!$A$2:$N472,J$1,FALSE)</f>
        <v>10</v>
      </c>
      <c r="K285" t="str">
        <f>VLOOKUP($A285,[1]Table!$A$2:$N472,K$1,FALSE)</f>
        <v>mg/stuk</v>
      </c>
      <c r="L285">
        <f>VLOOKUP($A285,[1]Table!$A$2:$N472,L$1,FALSE)</f>
        <v>10</v>
      </c>
      <c r="M285" t="str">
        <f>VLOOKUP($A285,[1]Table!$A$2:$N472,M$1,FALSE)</f>
        <v>mg</v>
      </c>
      <c r="N285" t="str">
        <f>VLOOKUP($A285,[1]Table!$A$2:$N472,N$1,FALSE)</f>
        <v>Autisme spectrum stoornissen (ASS)||Obsessieve compulsieve stoornis en depressie</v>
      </c>
      <c r="O285" t="str">
        <f>ConcatenateRange(AZ285:BU285,"||")</f>
        <v/>
      </c>
      <c r="AZ285" t="str">
        <f t="shared" si="110"/>
        <v/>
      </c>
      <c r="BA285" t="str">
        <f t="shared" si="111"/>
        <v/>
      </c>
      <c r="BB285" t="str">
        <f t="shared" si="112"/>
        <v/>
      </c>
      <c r="BC285" t="str">
        <f t="shared" si="113"/>
        <v/>
      </c>
      <c r="BD285" t="str">
        <f t="shared" si="114"/>
        <v/>
      </c>
      <c r="BE285" t="str">
        <f t="shared" si="115"/>
        <v/>
      </c>
      <c r="BF285" t="str">
        <f t="shared" si="116"/>
        <v/>
      </c>
      <c r="BG285" t="str">
        <f t="shared" si="117"/>
        <v/>
      </c>
      <c r="BH285" t="str">
        <f t="shared" si="118"/>
        <v/>
      </c>
      <c r="BI285" t="str">
        <f t="shared" si="119"/>
        <v/>
      </c>
      <c r="BJ285" t="str">
        <f t="shared" si="120"/>
        <v/>
      </c>
      <c r="BK285" t="str">
        <f t="shared" si="121"/>
        <v/>
      </c>
      <c r="BL285" t="str">
        <f t="shared" si="122"/>
        <v/>
      </c>
      <c r="BM285" t="str">
        <f t="shared" si="123"/>
        <v/>
      </c>
      <c r="BN285" t="str">
        <f t="shared" si="124"/>
        <v/>
      </c>
      <c r="BO285" t="str">
        <f t="shared" si="125"/>
        <v/>
      </c>
      <c r="BP285" t="str">
        <f t="shared" si="126"/>
        <v/>
      </c>
      <c r="BQ285" t="str">
        <f t="shared" si="127"/>
        <v/>
      </c>
      <c r="BR285" t="str">
        <f t="shared" si="128"/>
        <v/>
      </c>
      <c r="BS285" t="str">
        <f t="shared" si="129"/>
        <v/>
      </c>
      <c r="BT285" t="str">
        <f t="shared" si="130"/>
        <v/>
      </c>
      <c r="BU285" t="str">
        <f t="shared" si="131"/>
        <v/>
      </c>
    </row>
    <row r="286" spans="1:73">
      <c r="A286" s="1">
        <v>101583</v>
      </c>
      <c r="B286" t="str">
        <f>VLOOKUP($A286,[1]Table!$A$2:$N473,B$1,FALSE)</f>
        <v>N06AB04</v>
      </c>
      <c r="C286" t="str">
        <f>VLOOKUP($A286,[1]Table!$A$2:$N473,C$1,FALSE)</f>
        <v>PSYCHOANALEPTICA</v>
      </c>
      <c r="D286" t="str">
        <f>VLOOKUP($A286,[1]Table!$A$2:$N473,D$1,FALSE)</f>
        <v>ANTIDEPRESSIVA</v>
      </c>
      <c r="E286" t="str">
        <f>VLOOKUP($A286,[1]Table!$A$2:$N473,E$1,FALSE)</f>
        <v>CITALOPRAM</v>
      </c>
      <c r="F286" t="str">
        <f>VLOOKUP($A286,[1]Table!$A$2:$N473,F$1,FALSE)</f>
        <v>CITALOPRAM 20 MG TABLET OMHULD</v>
      </c>
      <c r="G286" t="str">
        <f>VLOOKUP($A286,[1]Table!$A$2:$N473,G$1,FALSE)</f>
        <v>CITALOPRAM 20MG TAB OMHULD</v>
      </c>
      <c r="H286" t="str">
        <f>VLOOKUP($A286,[1]Table!$A$2:$N473,H$1,FALSE)</f>
        <v>omhulde tablet</v>
      </c>
      <c r="I286" t="str">
        <f>VLOOKUP($A286,[1]Table!$A$2:$N473,I$1,FALSE)</f>
        <v>or</v>
      </c>
      <c r="J286">
        <f>VLOOKUP($A286,[1]Table!$A$2:$N473,J$1,FALSE)</f>
        <v>20</v>
      </c>
      <c r="K286" t="str">
        <f>VLOOKUP($A286,[1]Table!$A$2:$N473,K$1,FALSE)</f>
        <v>mg/stuk</v>
      </c>
      <c r="L286">
        <f>VLOOKUP($A286,[1]Table!$A$2:$N473,L$1,FALSE)</f>
        <v>20</v>
      </c>
      <c r="M286" t="str">
        <f>VLOOKUP($A286,[1]Table!$A$2:$N473,M$1,FALSE)</f>
        <v>mg</v>
      </c>
      <c r="N286" t="str">
        <f>VLOOKUP($A286,[1]Table!$A$2:$N473,N$1,FALSE)</f>
        <v>Autisme spectrum stoornissen (ASS)||Obsessieve compulsieve stoornis en depressie</v>
      </c>
      <c r="O286" t="str">
        <f>ConcatenateRange(AZ286:BU286,"||")</f>
        <v/>
      </c>
      <c r="AZ286" t="str">
        <f t="shared" si="110"/>
        <v/>
      </c>
      <c r="BA286" t="str">
        <f t="shared" si="111"/>
        <v/>
      </c>
      <c r="BB286" t="str">
        <f t="shared" si="112"/>
        <v/>
      </c>
      <c r="BC286" t="str">
        <f t="shared" si="113"/>
        <v/>
      </c>
      <c r="BD286" t="str">
        <f t="shared" si="114"/>
        <v/>
      </c>
      <c r="BE286" t="str">
        <f t="shared" si="115"/>
        <v/>
      </c>
      <c r="BF286" t="str">
        <f t="shared" si="116"/>
        <v/>
      </c>
      <c r="BG286" t="str">
        <f t="shared" si="117"/>
        <v/>
      </c>
      <c r="BH286" t="str">
        <f t="shared" si="118"/>
        <v/>
      </c>
      <c r="BI286" t="str">
        <f t="shared" si="119"/>
        <v/>
      </c>
      <c r="BJ286" t="str">
        <f t="shared" si="120"/>
        <v/>
      </c>
      <c r="BK286" t="str">
        <f t="shared" si="121"/>
        <v/>
      </c>
      <c r="BL286" t="str">
        <f t="shared" si="122"/>
        <v/>
      </c>
      <c r="BM286" t="str">
        <f t="shared" si="123"/>
        <v/>
      </c>
      <c r="BN286" t="str">
        <f t="shared" si="124"/>
        <v/>
      </c>
      <c r="BO286" t="str">
        <f t="shared" si="125"/>
        <v/>
      </c>
      <c r="BP286" t="str">
        <f t="shared" si="126"/>
        <v/>
      </c>
      <c r="BQ286" t="str">
        <f t="shared" si="127"/>
        <v/>
      </c>
      <c r="BR286" t="str">
        <f t="shared" si="128"/>
        <v/>
      </c>
      <c r="BS286" t="str">
        <f t="shared" si="129"/>
        <v/>
      </c>
      <c r="BT286" t="str">
        <f t="shared" si="130"/>
        <v/>
      </c>
      <c r="BU286" t="str">
        <f t="shared" si="131"/>
        <v/>
      </c>
    </row>
    <row r="287" spans="1:73">
      <c r="A287" s="1">
        <v>101591</v>
      </c>
      <c r="B287" t="str">
        <f>VLOOKUP($A287,[1]Table!$A$2:$N474,B$1,FALSE)</f>
        <v>N06AB04</v>
      </c>
      <c r="C287" t="str">
        <f>VLOOKUP($A287,[1]Table!$A$2:$N474,C$1,FALSE)</f>
        <v>PSYCHOANALEPTICA</v>
      </c>
      <c r="D287" t="str">
        <f>VLOOKUP($A287,[1]Table!$A$2:$N474,D$1,FALSE)</f>
        <v>ANTIDEPRESSIVA</v>
      </c>
      <c r="E287" t="str">
        <f>VLOOKUP($A287,[1]Table!$A$2:$N474,E$1,FALSE)</f>
        <v>CITALOPRAM</v>
      </c>
      <c r="F287" t="str">
        <f>VLOOKUP($A287,[1]Table!$A$2:$N474,F$1,FALSE)</f>
        <v>CITALOPRAM 40 MG TABLET OMHULD</v>
      </c>
      <c r="G287" t="str">
        <f>VLOOKUP($A287,[1]Table!$A$2:$N474,G$1,FALSE)</f>
        <v>CITALOPRAM 40MG TAB OMHULD</v>
      </c>
      <c r="H287" t="str">
        <f>VLOOKUP($A287,[1]Table!$A$2:$N474,H$1,FALSE)</f>
        <v>omhulde tablet</v>
      </c>
      <c r="I287" t="str">
        <f>VLOOKUP($A287,[1]Table!$A$2:$N474,I$1,FALSE)</f>
        <v>or</v>
      </c>
      <c r="J287">
        <f>VLOOKUP($A287,[1]Table!$A$2:$N474,J$1,FALSE)</f>
        <v>40</v>
      </c>
      <c r="K287" t="str">
        <f>VLOOKUP($A287,[1]Table!$A$2:$N474,K$1,FALSE)</f>
        <v>mg/stuk</v>
      </c>
      <c r="L287">
        <f>VLOOKUP($A287,[1]Table!$A$2:$N474,L$1,FALSE)</f>
        <v>40</v>
      </c>
      <c r="M287" t="str">
        <f>VLOOKUP($A287,[1]Table!$A$2:$N474,M$1,FALSE)</f>
        <v>mg</v>
      </c>
      <c r="N287" t="str">
        <f>VLOOKUP($A287,[1]Table!$A$2:$N474,N$1,FALSE)</f>
        <v>Autisme spectrum stoornissen (ASS)||Obsessieve compulsieve stoornis en depressie</v>
      </c>
      <c r="O287" t="str">
        <f>ConcatenateRange(AZ287:BU287,"||")</f>
        <v/>
      </c>
      <c r="AZ287" t="str">
        <f t="shared" si="110"/>
        <v/>
      </c>
      <c r="BA287" t="str">
        <f t="shared" si="111"/>
        <v/>
      </c>
      <c r="BB287" t="str">
        <f t="shared" si="112"/>
        <v/>
      </c>
      <c r="BC287" t="str">
        <f t="shared" si="113"/>
        <v/>
      </c>
      <c r="BD287" t="str">
        <f t="shared" si="114"/>
        <v/>
      </c>
      <c r="BE287" t="str">
        <f t="shared" si="115"/>
        <v/>
      </c>
      <c r="BF287" t="str">
        <f t="shared" si="116"/>
        <v/>
      </c>
      <c r="BG287" t="str">
        <f t="shared" si="117"/>
        <v/>
      </c>
      <c r="BH287" t="str">
        <f t="shared" si="118"/>
        <v/>
      </c>
      <c r="BI287" t="str">
        <f t="shared" si="119"/>
        <v/>
      </c>
      <c r="BJ287" t="str">
        <f t="shared" si="120"/>
        <v/>
      </c>
      <c r="BK287" t="str">
        <f t="shared" si="121"/>
        <v/>
      </c>
      <c r="BL287" t="str">
        <f t="shared" si="122"/>
        <v/>
      </c>
      <c r="BM287" t="str">
        <f t="shared" si="123"/>
        <v/>
      </c>
      <c r="BN287" t="str">
        <f t="shared" si="124"/>
        <v/>
      </c>
      <c r="BO287" t="str">
        <f t="shared" si="125"/>
        <v/>
      </c>
      <c r="BP287" t="str">
        <f t="shared" si="126"/>
        <v/>
      </c>
      <c r="BQ287" t="str">
        <f t="shared" si="127"/>
        <v/>
      </c>
      <c r="BR287" t="str">
        <f t="shared" si="128"/>
        <v/>
      </c>
      <c r="BS287" t="str">
        <f t="shared" si="129"/>
        <v/>
      </c>
      <c r="BT287" t="str">
        <f t="shared" si="130"/>
        <v/>
      </c>
      <c r="BU287" t="str">
        <f t="shared" si="131"/>
        <v/>
      </c>
    </row>
    <row r="288" spans="1:73">
      <c r="A288" s="1">
        <v>91707</v>
      </c>
      <c r="B288" t="str">
        <f>VLOOKUP($A288,[1]Table!$A$2:$N475,B$1,FALSE)</f>
        <v>J01FA09</v>
      </c>
      <c r="C288" t="str">
        <f>VLOOKUP($A288,[1]Table!$A$2:$N475,C$1,FALSE)</f>
        <v>ANTIBACTERIELE MIDDELEN VOOR SYSTEMISCH GEBRUIK</v>
      </c>
      <c r="D288" t="str">
        <f>VLOOKUP($A288,[1]Table!$A$2:$N475,D$1,FALSE)</f>
        <v>MACROLIDEN, LINCOSAMIDEN EN STREPTOGRAMINEN</v>
      </c>
      <c r="E288" t="str">
        <f>VLOOKUP($A288,[1]Table!$A$2:$N475,E$1,FALSE)</f>
        <v>CLARITROMYCINE</v>
      </c>
      <c r="F288" t="str">
        <f>VLOOKUP($A288,[1]Table!$A$2:$N475,F$1,FALSE)</f>
        <v>CLARITROMYCINE 25 MG/ML SUSPENSIE 60 ML</v>
      </c>
      <c r="G288" t="str">
        <f>VLOOKUP($A288,[1]Table!$A$2:$N475,G$1,FALSE)</f>
        <v>CLARITROMYCINE 25MG/ML SUSP</v>
      </c>
      <c r="H288" t="str">
        <f>VLOOKUP($A288,[1]Table!$A$2:$N475,H$1,FALSE)</f>
        <v>suspensie voor oraal gebruik</v>
      </c>
      <c r="I288" t="str">
        <f>VLOOKUP($A288,[1]Table!$A$2:$N475,I$1,FALSE)</f>
        <v>or</v>
      </c>
      <c r="J288">
        <f>VLOOKUP($A288,[1]Table!$A$2:$N475,J$1,FALSE)</f>
        <v>25</v>
      </c>
      <c r="K288" t="str">
        <f>VLOOKUP($A288,[1]Table!$A$2:$N475,K$1,FALSE)</f>
        <v>mg/ml</v>
      </c>
      <c r="L288">
        <f>VLOOKUP($A288,[1]Table!$A$2:$N475,L$1,FALSE)</f>
        <v>25</v>
      </c>
      <c r="M288" t="str">
        <f>VLOOKUP($A288,[1]Table!$A$2:$N475,M$1,FALSE)</f>
        <v>mg</v>
      </c>
      <c r="N288" t="str">
        <f>VLOOKUP($A288,[1]Table!$A$2:$N475,N$1,FALSE)</f>
        <v>Infecties||Infecties bij cystische fibrose||Eradicatie H.Pylori (triple therapie)</v>
      </c>
      <c r="O288" t="str">
        <f>ConcatenateRange(AZ288:BU288,"||")</f>
        <v/>
      </c>
      <c r="AZ288" t="str">
        <f t="shared" si="110"/>
        <v/>
      </c>
      <c r="BA288" t="str">
        <f t="shared" si="111"/>
        <v/>
      </c>
      <c r="BB288" t="str">
        <f t="shared" si="112"/>
        <v/>
      </c>
      <c r="BC288" t="str">
        <f t="shared" si="113"/>
        <v/>
      </c>
      <c r="BD288" t="str">
        <f t="shared" si="114"/>
        <v/>
      </c>
      <c r="BE288" t="str">
        <f t="shared" si="115"/>
        <v/>
      </c>
      <c r="BF288" t="str">
        <f t="shared" si="116"/>
        <v/>
      </c>
      <c r="BG288" t="str">
        <f t="shared" si="117"/>
        <v/>
      </c>
      <c r="BH288" t="str">
        <f t="shared" si="118"/>
        <v/>
      </c>
      <c r="BI288" t="str">
        <f t="shared" si="119"/>
        <v/>
      </c>
      <c r="BJ288" t="str">
        <f t="shared" si="120"/>
        <v/>
      </c>
      <c r="BK288" t="str">
        <f t="shared" si="121"/>
        <v/>
      </c>
      <c r="BL288" t="str">
        <f t="shared" si="122"/>
        <v/>
      </c>
      <c r="BM288" t="str">
        <f t="shared" si="123"/>
        <v/>
      </c>
      <c r="BN288" t="str">
        <f t="shared" si="124"/>
        <v/>
      </c>
      <c r="BO288" t="str">
        <f t="shared" si="125"/>
        <v/>
      </c>
      <c r="BP288" t="str">
        <f t="shared" si="126"/>
        <v/>
      </c>
      <c r="BQ288" t="str">
        <f t="shared" si="127"/>
        <v/>
      </c>
      <c r="BR288" t="str">
        <f t="shared" si="128"/>
        <v/>
      </c>
      <c r="BS288" t="str">
        <f t="shared" si="129"/>
        <v/>
      </c>
      <c r="BT288" t="str">
        <f t="shared" si="130"/>
        <v/>
      </c>
      <c r="BU288" t="str">
        <f t="shared" si="131"/>
        <v/>
      </c>
    </row>
    <row r="289" spans="1:73">
      <c r="A289" s="1">
        <v>82619</v>
      </c>
      <c r="B289" t="str">
        <f>VLOOKUP($A289,[1]Table!$A$2:$N476,B$1,FALSE)</f>
        <v>J01FA09</v>
      </c>
      <c r="C289" t="str">
        <f>VLOOKUP($A289,[1]Table!$A$2:$N476,C$1,FALSE)</f>
        <v>ANTIBACTERIELE MIDDELEN VOOR SYSTEMISCH GEBRUIK</v>
      </c>
      <c r="D289" t="str">
        <f>VLOOKUP($A289,[1]Table!$A$2:$N476,D$1,FALSE)</f>
        <v>MACROLIDEN, LINCOSAMIDEN EN STREPTOGRAMINEN</v>
      </c>
      <c r="E289" t="str">
        <f>VLOOKUP($A289,[1]Table!$A$2:$N476,E$1,FALSE)</f>
        <v>CLARITROMYCINE</v>
      </c>
      <c r="F289" t="str">
        <f>VLOOKUP($A289,[1]Table!$A$2:$N476,F$1,FALSE)</f>
        <v>CLARITROMYCINE 250 MG TABLET</v>
      </c>
      <c r="G289" t="str">
        <f>VLOOKUP($A289,[1]Table!$A$2:$N476,G$1,FALSE)</f>
        <v>CLARITROMYCINE 250MG TABLET</v>
      </c>
      <c r="H289" t="str">
        <f>VLOOKUP($A289,[1]Table!$A$2:$N476,H$1,FALSE)</f>
        <v>tablet</v>
      </c>
      <c r="I289" t="str">
        <f>VLOOKUP($A289,[1]Table!$A$2:$N476,I$1,FALSE)</f>
        <v>or</v>
      </c>
      <c r="J289">
        <f>VLOOKUP($A289,[1]Table!$A$2:$N476,J$1,FALSE)</f>
        <v>250</v>
      </c>
      <c r="K289" t="str">
        <f>VLOOKUP($A289,[1]Table!$A$2:$N476,K$1,FALSE)</f>
        <v>mg/stuk</v>
      </c>
      <c r="L289">
        <f>VLOOKUP($A289,[1]Table!$A$2:$N476,L$1,FALSE)</f>
        <v>125</v>
      </c>
      <c r="M289" t="str">
        <f>VLOOKUP($A289,[1]Table!$A$2:$N476,M$1,FALSE)</f>
        <v>mg</v>
      </c>
      <c r="N289" t="str">
        <f>VLOOKUP($A289,[1]Table!$A$2:$N476,N$1,FALSE)</f>
        <v>Infecties||Infecties bij cystische fibrose||Eradicatie H.Pylori (triple therapie)</v>
      </c>
      <c r="O289" t="str">
        <f>ConcatenateRange(AZ289:BU289,"||")</f>
        <v/>
      </c>
      <c r="AZ289" t="str">
        <f t="shared" si="110"/>
        <v/>
      </c>
      <c r="BA289" t="str">
        <f t="shared" si="111"/>
        <v/>
      </c>
      <c r="BB289" t="str">
        <f t="shared" si="112"/>
        <v/>
      </c>
      <c r="BC289" t="str">
        <f t="shared" si="113"/>
        <v/>
      </c>
      <c r="BD289" t="str">
        <f t="shared" si="114"/>
        <v/>
      </c>
      <c r="BE289" t="str">
        <f t="shared" si="115"/>
        <v/>
      </c>
      <c r="BF289" t="str">
        <f t="shared" si="116"/>
        <v/>
      </c>
      <c r="BG289" t="str">
        <f t="shared" si="117"/>
        <v/>
      </c>
      <c r="BH289" t="str">
        <f t="shared" si="118"/>
        <v/>
      </c>
      <c r="BI289" t="str">
        <f t="shared" si="119"/>
        <v/>
      </c>
      <c r="BJ289" t="str">
        <f t="shared" si="120"/>
        <v/>
      </c>
      <c r="BK289" t="str">
        <f t="shared" si="121"/>
        <v/>
      </c>
      <c r="BL289" t="str">
        <f t="shared" si="122"/>
        <v/>
      </c>
      <c r="BM289" t="str">
        <f t="shared" si="123"/>
        <v/>
      </c>
      <c r="BN289" t="str">
        <f t="shared" si="124"/>
        <v/>
      </c>
      <c r="BO289" t="str">
        <f t="shared" si="125"/>
        <v/>
      </c>
      <c r="BP289" t="str">
        <f t="shared" si="126"/>
        <v/>
      </c>
      <c r="BQ289" t="str">
        <f t="shared" si="127"/>
        <v/>
      </c>
      <c r="BR289" t="str">
        <f t="shared" si="128"/>
        <v/>
      </c>
      <c r="BS289" t="str">
        <f t="shared" si="129"/>
        <v/>
      </c>
      <c r="BT289" t="str">
        <f t="shared" si="130"/>
        <v/>
      </c>
      <c r="BU289" t="str">
        <f t="shared" si="131"/>
        <v/>
      </c>
    </row>
    <row r="290" spans="1:73">
      <c r="A290" s="1">
        <v>93785</v>
      </c>
      <c r="B290" t="str">
        <f>VLOOKUP($A290,[1]Table!$A$2:$N477,B$1,FALSE)</f>
        <v>J01FA09</v>
      </c>
      <c r="C290" t="str">
        <f>VLOOKUP($A290,[1]Table!$A$2:$N477,C$1,FALSE)</f>
        <v>ANTIBACTERIELE MIDDELEN VOOR SYSTEMISCH GEBRUIK</v>
      </c>
      <c r="D290" t="str">
        <f>VLOOKUP($A290,[1]Table!$A$2:$N477,D$1,FALSE)</f>
        <v>MACROLIDEN, LINCOSAMIDEN EN STREPTOGRAMINEN</v>
      </c>
      <c r="E290" t="str">
        <f>VLOOKUP($A290,[1]Table!$A$2:$N477,E$1,FALSE)</f>
        <v>CLARITROMYCINE</v>
      </c>
      <c r="F290" t="str">
        <f>VLOOKUP($A290,[1]Table!$A$2:$N477,F$1,FALSE)</f>
        <v>CLARITROMYCINE  500 MG TABLET</v>
      </c>
      <c r="G290" t="str">
        <f>VLOOKUP($A290,[1]Table!$A$2:$N477,G$1,FALSE)</f>
        <v>CLARITROMYCINE 500MG TABLET</v>
      </c>
      <c r="H290" t="str">
        <f>VLOOKUP($A290,[1]Table!$A$2:$N477,H$1,FALSE)</f>
        <v>tablet</v>
      </c>
      <c r="I290" t="str">
        <f>VLOOKUP($A290,[1]Table!$A$2:$N477,I$1,FALSE)</f>
        <v>or</v>
      </c>
      <c r="J290">
        <f>VLOOKUP($A290,[1]Table!$A$2:$N477,J$1,FALSE)</f>
        <v>500</v>
      </c>
      <c r="K290" t="str">
        <f>VLOOKUP($A290,[1]Table!$A$2:$N477,K$1,FALSE)</f>
        <v>mg/stuk</v>
      </c>
      <c r="L290">
        <f>VLOOKUP($A290,[1]Table!$A$2:$N477,L$1,FALSE)</f>
        <v>500</v>
      </c>
      <c r="M290" t="str">
        <f>VLOOKUP($A290,[1]Table!$A$2:$N477,M$1,FALSE)</f>
        <v>mg</v>
      </c>
      <c r="N290" t="str">
        <f>VLOOKUP($A290,[1]Table!$A$2:$N477,N$1,FALSE)</f>
        <v>Infecties||Infecties bij cystische fibrose||Eradicatie H.Pylori (triple therapie)</v>
      </c>
      <c r="O290" t="str">
        <f>ConcatenateRange(AZ290:BU290,"||")</f>
        <v/>
      </c>
      <c r="AZ290" t="str">
        <f t="shared" si="110"/>
        <v/>
      </c>
      <c r="BA290" t="str">
        <f t="shared" si="111"/>
        <v/>
      </c>
      <c r="BB290" t="str">
        <f t="shared" si="112"/>
        <v/>
      </c>
      <c r="BC290" t="str">
        <f t="shared" si="113"/>
        <v/>
      </c>
      <c r="BD290" t="str">
        <f t="shared" si="114"/>
        <v/>
      </c>
      <c r="BE290" t="str">
        <f t="shared" si="115"/>
        <v/>
      </c>
      <c r="BF290" t="str">
        <f t="shared" si="116"/>
        <v/>
      </c>
      <c r="BG290" t="str">
        <f t="shared" si="117"/>
        <v/>
      </c>
      <c r="BH290" t="str">
        <f t="shared" si="118"/>
        <v/>
      </c>
      <c r="BI290" t="str">
        <f t="shared" si="119"/>
        <v/>
      </c>
      <c r="BJ290" t="str">
        <f t="shared" si="120"/>
        <v/>
      </c>
      <c r="BK290" t="str">
        <f t="shared" si="121"/>
        <v/>
      </c>
      <c r="BL290" t="str">
        <f t="shared" si="122"/>
        <v/>
      </c>
      <c r="BM290" t="str">
        <f t="shared" si="123"/>
        <v/>
      </c>
      <c r="BN290" t="str">
        <f t="shared" si="124"/>
        <v/>
      </c>
      <c r="BO290" t="str">
        <f t="shared" si="125"/>
        <v/>
      </c>
      <c r="BP290" t="str">
        <f t="shared" si="126"/>
        <v/>
      </c>
      <c r="BQ290" t="str">
        <f t="shared" si="127"/>
        <v/>
      </c>
      <c r="BR290" t="str">
        <f t="shared" si="128"/>
        <v/>
      </c>
      <c r="BS290" t="str">
        <f t="shared" si="129"/>
        <v/>
      </c>
      <c r="BT290" t="str">
        <f t="shared" si="130"/>
        <v/>
      </c>
      <c r="BU290" t="str">
        <f t="shared" si="131"/>
        <v/>
      </c>
    </row>
    <row r="291" spans="1:73">
      <c r="A291" s="1">
        <v>103128</v>
      </c>
      <c r="B291" t="str">
        <f>VLOOKUP($A291,[1]Table!$A$2:$N478,B$1,FALSE)</f>
        <v>J01FA09</v>
      </c>
      <c r="C291" t="str">
        <f>VLOOKUP($A291,[1]Table!$A$2:$N478,C$1,FALSE)</f>
        <v>ANTIBACTERIELE MIDDELEN VOOR SYSTEMISCH GEBRUIK</v>
      </c>
      <c r="D291" t="str">
        <f>VLOOKUP($A291,[1]Table!$A$2:$N478,D$1,FALSE)</f>
        <v>MACROLIDEN, LINCOSAMIDEN EN STREPTOGRAMINEN</v>
      </c>
      <c r="E291" t="s">
        <v>98</v>
      </c>
      <c r="F291" t="str">
        <f>VLOOKUP($A291,[1]Table!$A$2:$N478,F$1,FALSE)</f>
        <v>KLACID SR 500 MG TABLET MGA  (RETARD)</v>
      </c>
      <c r="G291" t="str">
        <f>VLOOKUP($A291,[1]Table!$A$2:$N478,G$1,FALSE)</f>
        <v>CLARITROMYC 500MG TAB MGA</v>
      </c>
      <c r="H291" t="str">
        <f>VLOOKUP($A291,[1]Table!$A$2:$N478,H$1,FALSE)</f>
        <v>tablet met gereguleerde afgifte</v>
      </c>
      <c r="I291" t="str">
        <f>VLOOKUP($A291,[1]Table!$A$2:$N478,I$1,FALSE)</f>
        <v>or</v>
      </c>
      <c r="J291">
        <f>VLOOKUP($A291,[1]Table!$A$2:$N478,J$1,FALSE)</f>
        <v>500</v>
      </c>
      <c r="K291" t="str">
        <f>VLOOKUP($A291,[1]Table!$A$2:$N478,K$1,FALSE)</f>
        <v>mg/stuk</v>
      </c>
      <c r="L291">
        <f>VLOOKUP($A291,[1]Table!$A$2:$N478,L$1,FALSE)</f>
        <v>500</v>
      </c>
      <c r="M291" t="str">
        <f>VLOOKUP($A291,[1]Table!$A$2:$N478,M$1,FALSE)</f>
        <v>mg</v>
      </c>
      <c r="N291" t="str">
        <f>VLOOKUP($A291,[1]Table!$A$2:$N478,N$1,FALSE)</f>
        <v>Infecties||Infecties bij cystische fibrose||Eradicatie H.Pylori (triple therapie)</v>
      </c>
      <c r="O291" t="str">
        <f>ConcatenateRange(AZ291:BU291,"||")</f>
        <v/>
      </c>
      <c r="AZ291" t="str">
        <f t="shared" si="110"/>
        <v/>
      </c>
      <c r="BA291" t="str">
        <f t="shared" si="111"/>
        <v/>
      </c>
      <c r="BB291" t="str">
        <f t="shared" si="112"/>
        <v/>
      </c>
      <c r="BC291" t="str">
        <f t="shared" si="113"/>
        <v/>
      </c>
      <c r="BD291" t="str">
        <f t="shared" si="114"/>
        <v/>
      </c>
      <c r="BE291" t="str">
        <f t="shared" si="115"/>
        <v/>
      </c>
      <c r="BF291" t="str">
        <f t="shared" si="116"/>
        <v/>
      </c>
      <c r="BG291" t="str">
        <f t="shared" si="117"/>
        <v/>
      </c>
      <c r="BH291" t="str">
        <f t="shared" si="118"/>
        <v/>
      </c>
      <c r="BI291" t="str">
        <f t="shared" si="119"/>
        <v/>
      </c>
      <c r="BJ291" t="str">
        <f t="shared" si="120"/>
        <v/>
      </c>
      <c r="BK291" t="str">
        <f t="shared" si="121"/>
        <v/>
      </c>
      <c r="BL291" t="str">
        <f t="shared" si="122"/>
        <v/>
      </c>
      <c r="BM291" t="str">
        <f t="shared" si="123"/>
        <v/>
      </c>
      <c r="BN291" t="str">
        <f t="shared" si="124"/>
        <v/>
      </c>
      <c r="BO291" t="str">
        <f t="shared" si="125"/>
        <v/>
      </c>
      <c r="BP291" t="str">
        <f t="shared" si="126"/>
        <v/>
      </c>
      <c r="BQ291" t="str">
        <f t="shared" si="127"/>
        <v/>
      </c>
      <c r="BR291" t="str">
        <f t="shared" si="128"/>
        <v/>
      </c>
      <c r="BS291" t="str">
        <f t="shared" si="129"/>
        <v/>
      </c>
      <c r="BT291" t="str">
        <f t="shared" si="130"/>
        <v/>
      </c>
      <c r="BU291" t="str">
        <f t="shared" si="131"/>
        <v/>
      </c>
    </row>
    <row r="292" spans="1:73">
      <c r="A292" s="1">
        <v>1465</v>
      </c>
      <c r="B292" t="str">
        <f>VLOOKUP($A292,[1]Table!$A$2:$N479,B$1,FALSE)</f>
        <v>R06AA04</v>
      </c>
      <c r="C292" t="str">
        <f>VLOOKUP($A292,[1]Table!$A$2:$N479,C$1,FALSE)</f>
        <v>ANTIHISTAMINICA VOOR SYSTEMISCH GEBRUIK</v>
      </c>
      <c r="D292" t="str">
        <f>VLOOKUP($A292,[1]Table!$A$2:$N479,D$1,FALSE)</f>
        <v>ANTIHISTAMINICA VOOR SYSTEMISCH GEBRUIK</v>
      </c>
      <c r="E292" t="str">
        <f>VLOOKUP($A292,[1]Table!$A$2:$N479,E$1,FALSE)</f>
        <v>CLEMASTINE</v>
      </c>
      <c r="F292" t="str">
        <f>VLOOKUP($A292,[1]Table!$A$2:$N479,F$1,FALSE)</f>
        <v>TAVEGYL 1 MG/ML AMPUL 2ML</v>
      </c>
      <c r="G292" t="str">
        <f>VLOOKUP($A292,[1]Table!$A$2:$N479,G$1,FALSE)</f>
        <v>CLEMASTINE 1MG/ML INJVLST</v>
      </c>
      <c r="H292" t="str">
        <f>VLOOKUP($A292,[1]Table!$A$2:$N479,H$1,FALSE)</f>
        <v>injectievloeistof</v>
      </c>
      <c r="I292" t="str">
        <f>VLOOKUP($A292,[1]Table!$A$2:$N479,I$1,FALSE)</f>
        <v>im||iv</v>
      </c>
      <c r="J292">
        <f>VLOOKUP($A292,[1]Table!$A$2:$N479,J$1,FALSE)</f>
        <v>1</v>
      </c>
      <c r="K292" t="str">
        <f>VLOOKUP($A292,[1]Table!$A$2:$N479,K$1,FALSE)</f>
        <v>mg/ml</v>
      </c>
      <c r="L292">
        <f>VLOOKUP($A292,[1]Table!$A$2:$N479,L$1,FALSE)</f>
        <v>1</v>
      </c>
      <c r="M292" t="str">
        <f>VLOOKUP($A292,[1]Table!$A$2:$N479,M$1,FALSE)</f>
        <v>mg</v>
      </c>
      <c r="N292" t="str">
        <f>VLOOKUP($A292,[1]Table!$A$2:$N479,N$1,FALSE)</f>
        <v>Anafylaxie en Quincke oedeem</v>
      </c>
      <c r="O292" t="str">
        <f>ConcatenateRange(AZ292:BU292,"||")</f>
        <v/>
      </c>
      <c r="AZ292" t="str">
        <f t="shared" si="110"/>
        <v/>
      </c>
      <c r="BA292" t="str">
        <f t="shared" si="111"/>
        <v/>
      </c>
      <c r="BB292" t="str">
        <f t="shared" si="112"/>
        <v/>
      </c>
      <c r="BC292" t="str">
        <f t="shared" si="113"/>
        <v/>
      </c>
      <c r="BD292" t="str">
        <f t="shared" si="114"/>
        <v/>
      </c>
      <c r="BE292" t="str">
        <f t="shared" si="115"/>
        <v/>
      </c>
      <c r="BF292" t="str">
        <f t="shared" si="116"/>
        <v/>
      </c>
      <c r="BG292" t="str">
        <f t="shared" si="117"/>
        <v/>
      </c>
      <c r="BH292" t="str">
        <f t="shared" si="118"/>
        <v/>
      </c>
      <c r="BI292" t="str">
        <f t="shared" si="119"/>
        <v/>
      </c>
      <c r="BJ292" t="str">
        <f t="shared" si="120"/>
        <v/>
      </c>
      <c r="BK292" t="str">
        <f t="shared" si="121"/>
        <v/>
      </c>
      <c r="BL292" t="str">
        <f t="shared" si="122"/>
        <v/>
      </c>
      <c r="BM292" t="str">
        <f t="shared" si="123"/>
        <v/>
      </c>
      <c r="BN292" t="str">
        <f t="shared" si="124"/>
        <v/>
      </c>
      <c r="BO292" t="str">
        <f t="shared" si="125"/>
        <v/>
      </c>
      <c r="BP292" t="str">
        <f t="shared" si="126"/>
        <v/>
      </c>
      <c r="BQ292" t="str">
        <f t="shared" si="127"/>
        <v/>
      </c>
      <c r="BR292" t="str">
        <f t="shared" si="128"/>
        <v/>
      </c>
      <c r="BS292" t="str">
        <f t="shared" si="129"/>
        <v/>
      </c>
      <c r="BT292" t="str">
        <f t="shared" si="130"/>
        <v/>
      </c>
      <c r="BU292" t="str">
        <f t="shared" si="131"/>
        <v/>
      </c>
    </row>
    <row r="293" spans="1:73">
      <c r="A293" s="1">
        <v>20974</v>
      </c>
      <c r="B293" t="str">
        <f>VLOOKUP($A293,[1]Table!$A$2:$N480,B$1,FALSE)</f>
        <v>R06AA04</v>
      </c>
      <c r="C293" t="str">
        <f>VLOOKUP($A293,[1]Table!$A$2:$N480,C$1,FALSE)</f>
        <v>ANTIHISTAMINICA VOOR SYSTEMISCH GEBRUIK</v>
      </c>
      <c r="D293" t="str">
        <f>VLOOKUP($A293,[1]Table!$A$2:$N480,D$1,FALSE)</f>
        <v>ANTIHISTAMINICA VOOR SYSTEMISCH GEBRUIK</v>
      </c>
      <c r="E293" t="str">
        <f>VLOOKUP($A293,[1]Table!$A$2:$N480,E$1,FALSE)</f>
        <v>CLEMASTINE</v>
      </c>
      <c r="F293" t="str">
        <f>VLOOKUP($A293,[1]Table!$A$2:$N480,F$1,FALSE)</f>
        <v>TAVEGYL 1 MG TABLET</v>
      </c>
      <c r="G293" t="str">
        <f>VLOOKUP($A293,[1]Table!$A$2:$N480,G$1,FALSE)</f>
        <v>CLEMASTINE 1MG TABLET</v>
      </c>
      <c r="H293" t="str">
        <f>VLOOKUP($A293,[1]Table!$A$2:$N480,H$1,FALSE)</f>
        <v>tablet</v>
      </c>
      <c r="I293" t="str">
        <f>VLOOKUP($A293,[1]Table!$A$2:$N480,I$1,FALSE)</f>
        <v>or</v>
      </c>
      <c r="J293">
        <f>VLOOKUP($A293,[1]Table!$A$2:$N480,J$1,FALSE)</f>
        <v>1</v>
      </c>
      <c r="K293" t="str">
        <f>VLOOKUP($A293,[1]Table!$A$2:$N480,K$1,FALSE)</f>
        <v>mg/stuk</v>
      </c>
      <c r="L293">
        <f>VLOOKUP($A293,[1]Table!$A$2:$N480,L$1,FALSE)</f>
        <v>1</v>
      </c>
      <c r="M293" t="str">
        <f>VLOOKUP($A293,[1]Table!$A$2:$N480,M$1,FALSE)</f>
        <v>mg</v>
      </c>
      <c r="N293" t="str">
        <f>VLOOKUP($A293,[1]Table!$A$2:$N480,N$1,FALSE)</f>
        <v>Anafylaxie en Quincke oedeem</v>
      </c>
      <c r="O293" t="str">
        <f>ConcatenateRange(AZ293:BU293,"||")</f>
        <v/>
      </c>
      <c r="AZ293" t="str">
        <f t="shared" si="110"/>
        <v/>
      </c>
      <c r="BA293" t="str">
        <f t="shared" si="111"/>
        <v/>
      </c>
      <c r="BB293" t="str">
        <f t="shared" si="112"/>
        <v/>
      </c>
      <c r="BC293" t="str">
        <f t="shared" si="113"/>
        <v/>
      </c>
      <c r="BD293" t="str">
        <f t="shared" si="114"/>
        <v/>
      </c>
      <c r="BE293" t="str">
        <f t="shared" si="115"/>
        <v/>
      </c>
      <c r="BF293" t="str">
        <f t="shared" si="116"/>
        <v/>
      </c>
      <c r="BG293" t="str">
        <f t="shared" si="117"/>
        <v/>
      </c>
      <c r="BH293" t="str">
        <f t="shared" si="118"/>
        <v/>
      </c>
      <c r="BI293" t="str">
        <f t="shared" si="119"/>
        <v/>
      </c>
      <c r="BJ293" t="str">
        <f t="shared" si="120"/>
        <v/>
      </c>
      <c r="BK293" t="str">
        <f t="shared" si="121"/>
        <v/>
      </c>
      <c r="BL293" t="str">
        <f t="shared" si="122"/>
        <v/>
      </c>
      <c r="BM293" t="str">
        <f t="shared" si="123"/>
        <v/>
      </c>
      <c r="BN293" t="str">
        <f t="shared" si="124"/>
        <v/>
      </c>
      <c r="BO293" t="str">
        <f t="shared" si="125"/>
        <v/>
      </c>
      <c r="BP293" t="str">
        <f t="shared" si="126"/>
        <v/>
      </c>
      <c r="BQ293" t="str">
        <f t="shared" si="127"/>
        <v/>
      </c>
      <c r="BR293" t="str">
        <f t="shared" si="128"/>
        <v/>
      </c>
      <c r="BS293" t="str">
        <f t="shared" si="129"/>
        <v/>
      </c>
      <c r="BT293" t="str">
        <f t="shared" si="130"/>
        <v/>
      </c>
      <c r="BU293" t="str">
        <f t="shared" si="131"/>
        <v/>
      </c>
    </row>
    <row r="294" spans="1:73">
      <c r="A294" s="1">
        <v>2305</v>
      </c>
      <c r="B294" t="str">
        <f>VLOOKUP($A294,[1]Table!$A$2:$N481,B$1,FALSE)</f>
        <v>J01FF01</v>
      </c>
      <c r="C294" t="str">
        <f>VLOOKUP($A294,[1]Table!$A$2:$N481,C$1,FALSE)</f>
        <v>ANTIBACTERIELE MIDDELEN VOOR SYSTEMISCH GEBRUIK</v>
      </c>
      <c r="D294" t="str">
        <f>VLOOKUP($A294,[1]Table!$A$2:$N481,D$1,FALSE)</f>
        <v>MACROLIDEN, LINCOSAMIDEN EN STREPTOGRAMINEN</v>
      </c>
      <c r="E294" t="str">
        <f>VLOOKUP($A294,[1]Table!$A$2:$N481,E$1,FALSE)</f>
        <v>CLINDAMYCINE</v>
      </c>
      <c r="F294" t="str">
        <f>VLOOKUP($A294,[1]Table!$A$2:$N481,F$1,FALSE)</f>
        <v>CLINDAMYCINE 150 MG CAPSULE</v>
      </c>
      <c r="G294" t="str">
        <f>VLOOKUP($A294,[1]Table!$A$2:$N481,G$1,FALSE)</f>
        <v>CLINDAMYCINE 150MG CAPSULE</v>
      </c>
      <c r="H294" t="str">
        <f>VLOOKUP($A294,[1]Table!$A$2:$N481,H$1,FALSE)</f>
        <v>capsule</v>
      </c>
      <c r="I294" t="str">
        <f>VLOOKUP($A294,[1]Table!$A$2:$N481,I$1,FALSE)</f>
        <v>or</v>
      </c>
      <c r="J294">
        <f>VLOOKUP($A294,[1]Table!$A$2:$N481,J$1,FALSE)</f>
        <v>150</v>
      </c>
      <c r="K294" t="str">
        <f>VLOOKUP($A294,[1]Table!$A$2:$N481,K$1,FALSE)</f>
        <v>mg/stuk</v>
      </c>
      <c r="L294">
        <f>VLOOKUP($A294,[1]Table!$A$2:$N481,L$1,FALSE)</f>
        <v>150</v>
      </c>
      <c r="M294" t="str">
        <f>VLOOKUP($A294,[1]Table!$A$2:$N481,M$1,FALSE)</f>
        <v>mg</v>
      </c>
      <c r="N294" t="str">
        <f>VLOOKUP($A294,[1]Table!$A$2:$N481,N$1,FALSE)</f>
        <v>Infecties||Ernstige infecties||Endocarditis profylaxe bij overgevoeligheid voor penicilline of behandeling met penicilline in de 7 dagen voor de ingreep||Behandeling malaria</v>
      </c>
      <c r="O294" t="str">
        <f>ConcatenateRange(AZ294:BU294,"||")</f>
        <v/>
      </c>
      <c r="AZ294" t="str">
        <f t="shared" si="110"/>
        <v/>
      </c>
      <c r="BA294" t="str">
        <f t="shared" si="111"/>
        <v/>
      </c>
      <c r="BB294" t="str">
        <f t="shared" si="112"/>
        <v/>
      </c>
      <c r="BC294" t="str">
        <f t="shared" si="113"/>
        <v/>
      </c>
      <c r="BD294" t="str">
        <f t="shared" si="114"/>
        <v/>
      </c>
      <c r="BE294" t="str">
        <f t="shared" si="115"/>
        <v/>
      </c>
      <c r="BF294" t="str">
        <f t="shared" si="116"/>
        <v/>
      </c>
      <c r="BG294" t="str">
        <f t="shared" si="117"/>
        <v/>
      </c>
      <c r="BH294" t="str">
        <f t="shared" si="118"/>
        <v/>
      </c>
      <c r="BI294" t="str">
        <f t="shared" si="119"/>
        <v/>
      </c>
      <c r="BJ294" t="str">
        <f t="shared" si="120"/>
        <v/>
      </c>
      <c r="BK294" t="str">
        <f t="shared" si="121"/>
        <v/>
      </c>
      <c r="BL294" t="str">
        <f t="shared" si="122"/>
        <v/>
      </c>
      <c r="BM294" t="str">
        <f t="shared" si="123"/>
        <v/>
      </c>
      <c r="BN294" t="str">
        <f t="shared" si="124"/>
        <v/>
      </c>
      <c r="BO294" t="str">
        <f t="shared" si="125"/>
        <v/>
      </c>
      <c r="BP294" t="str">
        <f t="shared" si="126"/>
        <v/>
      </c>
      <c r="BQ294" t="str">
        <f t="shared" si="127"/>
        <v/>
      </c>
      <c r="BR294" t="str">
        <f t="shared" si="128"/>
        <v/>
      </c>
      <c r="BS294" t="str">
        <f t="shared" si="129"/>
        <v/>
      </c>
      <c r="BT294" t="str">
        <f t="shared" si="130"/>
        <v/>
      </c>
      <c r="BU294" t="str">
        <f t="shared" si="131"/>
        <v/>
      </c>
    </row>
    <row r="295" spans="1:73">
      <c r="A295" s="1">
        <v>78379</v>
      </c>
      <c r="B295" t="str">
        <f>VLOOKUP($A295,[1]Table!$A$2:$N482,B$1,FALSE)</f>
        <v>J01FF01</v>
      </c>
      <c r="C295" t="str">
        <f>VLOOKUP($A295,[1]Table!$A$2:$N482,C$1,FALSE)</f>
        <v>ANTIBACTERIELE MIDDELEN VOOR SYSTEMISCH GEBRUIK</v>
      </c>
      <c r="D295" t="str">
        <f>VLOOKUP($A295,[1]Table!$A$2:$N482,D$1,FALSE)</f>
        <v>MACROLIDEN, LINCOSAMIDEN EN STREPTOGRAMINEN</v>
      </c>
      <c r="E295" t="str">
        <f>VLOOKUP($A295,[1]Table!$A$2:$N482,E$1,FALSE)</f>
        <v>CLINDAMYCINE</v>
      </c>
      <c r="F295" t="str">
        <f>VLOOKUP($A295,[1]Table!$A$2:$N482,F$1,FALSE)</f>
        <v>DALACIN C 300 MG CAPSULE</v>
      </c>
      <c r="G295" t="str">
        <f>VLOOKUP($A295,[1]Table!$A$2:$N482,G$1,FALSE)</f>
        <v>CLINDAMYCINE 300MG CAPSULE</v>
      </c>
      <c r="H295" t="str">
        <f>VLOOKUP($A295,[1]Table!$A$2:$N482,H$1,FALSE)</f>
        <v>capsule</v>
      </c>
      <c r="I295" t="str">
        <f>VLOOKUP($A295,[1]Table!$A$2:$N482,I$1,FALSE)</f>
        <v>or</v>
      </c>
      <c r="J295">
        <f>VLOOKUP($A295,[1]Table!$A$2:$N482,J$1,FALSE)</f>
        <v>300</v>
      </c>
      <c r="K295" t="str">
        <f>VLOOKUP($A295,[1]Table!$A$2:$N482,K$1,FALSE)</f>
        <v>mg/stuk</v>
      </c>
      <c r="L295">
        <f>VLOOKUP($A295,[1]Table!$A$2:$N482,L$1,FALSE)</f>
        <v>300</v>
      </c>
      <c r="M295" t="str">
        <f>VLOOKUP($A295,[1]Table!$A$2:$N482,M$1,FALSE)</f>
        <v>mg</v>
      </c>
      <c r="N295" t="str">
        <f>VLOOKUP($A295,[1]Table!$A$2:$N482,N$1,FALSE)</f>
        <v>Infecties||Ernstige infecties||Endocarditis profylaxe bij overgevoeligheid voor penicilline of behandeling met penicilline in de 7 dagen voor de ingreep||Behandeling malaria</v>
      </c>
      <c r="O295" t="str">
        <f>ConcatenateRange(AZ295:BU295,"||")</f>
        <v/>
      </c>
      <c r="AZ295" t="str">
        <f t="shared" si="110"/>
        <v/>
      </c>
      <c r="BA295" t="str">
        <f t="shared" si="111"/>
        <v/>
      </c>
      <c r="BB295" t="str">
        <f t="shared" si="112"/>
        <v/>
      </c>
      <c r="BC295" t="str">
        <f t="shared" si="113"/>
        <v/>
      </c>
      <c r="BD295" t="str">
        <f t="shared" si="114"/>
        <v/>
      </c>
      <c r="BE295" t="str">
        <f t="shared" si="115"/>
        <v/>
      </c>
      <c r="BF295" t="str">
        <f t="shared" si="116"/>
        <v/>
      </c>
      <c r="BG295" t="str">
        <f t="shared" si="117"/>
        <v/>
      </c>
      <c r="BH295" t="str">
        <f t="shared" si="118"/>
        <v/>
      </c>
      <c r="BI295" t="str">
        <f t="shared" si="119"/>
        <v/>
      </c>
      <c r="BJ295" t="str">
        <f t="shared" si="120"/>
        <v/>
      </c>
      <c r="BK295" t="str">
        <f t="shared" si="121"/>
        <v/>
      </c>
      <c r="BL295" t="str">
        <f t="shared" si="122"/>
        <v/>
      </c>
      <c r="BM295" t="str">
        <f t="shared" si="123"/>
        <v/>
      </c>
      <c r="BN295" t="str">
        <f t="shared" si="124"/>
        <v/>
      </c>
      <c r="BO295" t="str">
        <f t="shared" si="125"/>
        <v/>
      </c>
      <c r="BP295" t="str">
        <f t="shared" si="126"/>
        <v/>
      </c>
      <c r="BQ295" t="str">
        <f t="shared" si="127"/>
        <v/>
      </c>
      <c r="BR295" t="str">
        <f t="shared" si="128"/>
        <v/>
      </c>
      <c r="BS295" t="str">
        <f t="shared" si="129"/>
        <v/>
      </c>
      <c r="BT295" t="str">
        <f t="shared" si="130"/>
        <v/>
      </c>
      <c r="BU295" t="str">
        <f t="shared" si="131"/>
        <v/>
      </c>
    </row>
    <row r="296" spans="1:73">
      <c r="A296" s="1">
        <v>14079</v>
      </c>
      <c r="B296" t="str">
        <f>VLOOKUP($A296,[1]Table!$A$2:$N483,B$1,FALSE)</f>
        <v>J01FF01</v>
      </c>
      <c r="C296" t="str">
        <f>VLOOKUP($A296,[1]Table!$A$2:$N483,C$1,FALSE)</f>
        <v>ANTIBACTERIELE MIDDELEN VOOR SYSTEMISCH GEBRUIK</v>
      </c>
      <c r="D296" t="str">
        <f>VLOOKUP($A296,[1]Table!$A$2:$N483,D$1,FALSE)</f>
        <v>MACROLIDEN, LINCOSAMIDEN EN STREPTOGRAMINEN</v>
      </c>
      <c r="E296" t="str">
        <f>VLOOKUP($A296,[1]Table!$A$2:$N483,E$1,FALSE)</f>
        <v>CLINDAMYCINE</v>
      </c>
      <c r="F296" t="str">
        <f>VLOOKUP($A296,[1]Table!$A$2:$N483,F$1,FALSE)</f>
        <v>CLINDAMYCINE 150 MG/ML AMPUL 4 ML</v>
      </c>
      <c r="G296" t="str">
        <f>VLOOKUP($A296,[1]Table!$A$2:$N483,G$1,FALSE)</f>
        <v>CLINDAMYCINE 150MG/ML INJVL</v>
      </c>
      <c r="H296" t="str">
        <f>VLOOKUP($A296,[1]Table!$A$2:$N483,H$1,FALSE)</f>
        <v>injectievloeistof</v>
      </c>
      <c r="I296" t="str">
        <f>VLOOKUP($A296,[1]Table!$A$2:$N483,I$1,FALSE)</f>
        <v>im||iv</v>
      </c>
      <c r="J296">
        <f>VLOOKUP($A296,[1]Table!$A$2:$N483,J$1,FALSE)</f>
        <v>150</v>
      </c>
      <c r="K296" t="str">
        <f>VLOOKUP($A296,[1]Table!$A$2:$N483,K$1,FALSE)</f>
        <v>mg/ml</v>
      </c>
      <c r="L296">
        <f>VLOOKUP($A296,[1]Table!$A$2:$N483,L$1,FALSE)</f>
        <v>150</v>
      </c>
      <c r="M296" t="str">
        <f>VLOOKUP($A296,[1]Table!$A$2:$N483,M$1,FALSE)</f>
        <v>mg</v>
      </c>
      <c r="N296" t="str">
        <f>VLOOKUP($A296,[1]Table!$A$2:$N483,N$1,FALSE)</f>
        <v>Infecties||Ernstige infecties||Endocarditis profylaxe bij overgevoeligheid voor penicilline of behandeling met penicilline in de 7 dagen voor de ingreep||Behandeling malaria</v>
      </c>
      <c r="O296" t="str">
        <f>ConcatenateRange(AZ296:BU296,"||")</f>
        <v>2 x / dag||3 x / dag||4 x / dag</v>
      </c>
      <c r="P296">
        <v>40</v>
      </c>
      <c r="T296">
        <v>10</v>
      </c>
      <c r="U296">
        <v>20</v>
      </c>
      <c r="V296">
        <v>2400</v>
      </c>
      <c r="W296">
        <v>12</v>
      </c>
      <c r="Y296">
        <v>30</v>
      </c>
      <c r="AB296" t="s">
        <v>49</v>
      </c>
      <c r="AC296" t="s">
        <v>49</v>
      </c>
      <c r="AD296" t="s">
        <v>49</v>
      </c>
      <c r="AZ296" t="str">
        <f t="shared" si="110"/>
        <v/>
      </c>
      <c r="BA296" t="str">
        <f t="shared" si="111"/>
        <v>2 x / dag</v>
      </c>
      <c r="BB296" t="str">
        <f t="shared" si="112"/>
        <v>3 x / dag</v>
      </c>
      <c r="BC296" t="str">
        <f t="shared" si="113"/>
        <v>4 x / dag</v>
      </c>
      <c r="BD296" t="str">
        <f t="shared" si="114"/>
        <v/>
      </c>
      <c r="BE296" t="str">
        <f t="shared" si="115"/>
        <v/>
      </c>
      <c r="BF296" t="str">
        <f t="shared" si="116"/>
        <v/>
      </c>
      <c r="BG296" t="str">
        <f t="shared" si="117"/>
        <v/>
      </c>
      <c r="BH296" t="str">
        <f t="shared" si="118"/>
        <v/>
      </c>
      <c r="BI296" t="str">
        <f t="shared" si="119"/>
        <v/>
      </c>
      <c r="BJ296" t="str">
        <f t="shared" si="120"/>
        <v/>
      </c>
      <c r="BK296" t="str">
        <f t="shared" si="121"/>
        <v/>
      </c>
      <c r="BL296" t="str">
        <f t="shared" si="122"/>
        <v/>
      </c>
      <c r="BM296" t="str">
        <f t="shared" si="123"/>
        <v/>
      </c>
      <c r="BN296" t="str">
        <f t="shared" si="124"/>
        <v/>
      </c>
      <c r="BO296" t="str">
        <f t="shared" si="125"/>
        <v/>
      </c>
      <c r="BP296" t="str">
        <f t="shared" si="126"/>
        <v/>
      </c>
      <c r="BQ296" t="str">
        <f t="shared" si="127"/>
        <v/>
      </c>
      <c r="BR296" t="str">
        <f t="shared" si="128"/>
        <v/>
      </c>
      <c r="BS296" t="str">
        <f t="shared" si="129"/>
        <v/>
      </c>
      <c r="BT296" t="str">
        <f t="shared" si="130"/>
        <v/>
      </c>
      <c r="BU296" t="str">
        <f t="shared" si="131"/>
        <v/>
      </c>
    </row>
    <row r="297" spans="1:73">
      <c r="A297" s="1">
        <v>108820</v>
      </c>
      <c r="B297" t="str">
        <f>VLOOKUP($A297,[1]Table!$A$2:$N484,B$1,FALSE)</f>
        <v>D10AF01</v>
      </c>
      <c r="C297" t="str">
        <f>VLOOKUP($A297,[1]Table!$A$2:$N484,C$1,FALSE)</f>
        <v>ACNEPREPARATEN</v>
      </c>
      <c r="D297" t="str">
        <f>VLOOKUP($A297,[1]Table!$A$2:$N484,D$1,FALSE)</f>
        <v>ACNEPREPARATEN, LOKALE</v>
      </c>
      <c r="E297" t="str">
        <f>VLOOKUP($A297,[1]Table!$A$2:$N484,E$1,FALSE)</f>
        <v>CLINDAMYCINE</v>
      </c>
      <c r="F297" t="str">
        <f>VLOOKUP($A297,[1]Table!$A$2:$N484,F$1,FALSE)</f>
        <v>CLINDAMYCINE 10 MG/ML LOTION 25 ML</v>
      </c>
      <c r="G297" t="str">
        <f>VLOOKUP($A297,[1]Table!$A$2:$N484,G$1,FALSE)</f>
        <v>CLINDAMYCINE 10MG/ML OPL</v>
      </c>
      <c r="H297" t="str">
        <f>VLOOKUP($A297,[1]Table!$A$2:$N484,H$1,FALSE)</f>
        <v>oplossing voor cutaan gebruik</v>
      </c>
      <c r="I297" t="str">
        <f>VLOOKUP($A297,[1]Table!$A$2:$N484,I$1,FALSE)</f>
        <v>cutaan</v>
      </c>
      <c r="J297">
        <f>VLOOKUP($A297,[1]Table!$A$2:$N484,J$1,FALSE)</f>
        <v>10</v>
      </c>
      <c r="K297" t="str">
        <f>VLOOKUP($A297,[1]Table!$A$2:$N484,K$1,FALSE)</f>
        <v>mg/ml</v>
      </c>
      <c r="L297">
        <f>VLOOKUP($A297,[1]Table!$A$2:$N484,L$1,FALSE)</f>
        <v>10</v>
      </c>
      <c r="M297" t="str">
        <f>VLOOKUP($A297,[1]Table!$A$2:$N484,M$1,FALSE)</f>
        <v>mg</v>
      </c>
      <c r="N297" t="str">
        <f>VLOOKUP($A297,[1]Table!$A$2:$N484,N$1,FALSE)</f>
        <v>Acne vulgaris</v>
      </c>
      <c r="O297" t="str">
        <f>ConcatenateRange(AZ297:BU297,"||")</f>
        <v/>
      </c>
      <c r="AZ297" t="str">
        <f t="shared" si="110"/>
        <v/>
      </c>
      <c r="BA297" t="str">
        <f t="shared" si="111"/>
        <v/>
      </c>
      <c r="BB297" t="str">
        <f t="shared" si="112"/>
        <v/>
      </c>
      <c r="BC297" t="str">
        <f t="shared" si="113"/>
        <v/>
      </c>
      <c r="BD297" t="str">
        <f t="shared" si="114"/>
        <v/>
      </c>
      <c r="BE297" t="str">
        <f t="shared" si="115"/>
        <v/>
      </c>
      <c r="BF297" t="str">
        <f t="shared" si="116"/>
        <v/>
      </c>
      <c r="BG297" t="str">
        <f t="shared" si="117"/>
        <v/>
      </c>
      <c r="BH297" t="str">
        <f t="shared" si="118"/>
        <v/>
      </c>
      <c r="BI297" t="str">
        <f t="shared" si="119"/>
        <v/>
      </c>
      <c r="BJ297" t="str">
        <f t="shared" si="120"/>
        <v/>
      </c>
      <c r="BK297" t="str">
        <f t="shared" si="121"/>
        <v/>
      </c>
      <c r="BL297" t="str">
        <f t="shared" si="122"/>
        <v/>
      </c>
      <c r="BM297" t="str">
        <f t="shared" si="123"/>
        <v/>
      </c>
      <c r="BN297" t="str">
        <f t="shared" si="124"/>
        <v/>
      </c>
      <c r="BO297" t="str">
        <f t="shared" si="125"/>
        <v/>
      </c>
      <c r="BP297" t="str">
        <f t="shared" si="126"/>
        <v/>
      </c>
      <c r="BQ297" t="str">
        <f t="shared" si="127"/>
        <v/>
      </c>
      <c r="BR297" t="str">
        <f t="shared" si="128"/>
        <v/>
      </c>
      <c r="BS297" t="str">
        <f t="shared" si="129"/>
        <v/>
      </c>
      <c r="BT297" t="str">
        <f t="shared" si="130"/>
        <v/>
      </c>
      <c r="BU297" t="str">
        <f t="shared" si="131"/>
        <v/>
      </c>
    </row>
    <row r="298" spans="1:73">
      <c r="A298" s="1">
        <v>14060</v>
      </c>
      <c r="B298" t="str">
        <f>VLOOKUP($A298,[1]Table!$A$2:$N485,B$1,FALSE)</f>
        <v>J01FF01</v>
      </c>
      <c r="C298" t="str">
        <f>VLOOKUP($A298,[1]Table!$A$2:$N485,C$1,FALSE)</f>
        <v>ANTIBACTERIELE MIDDELEN VOOR SYSTEMISCH GEBRUIK</v>
      </c>
      <c r="D298" t="str">
        <f>VLOOKUP($A298,[1]Table!$A$2:$N485,D$1,FALSE)</f>
        <v>MACROLIDEN, LINCOSAMIDEN EN STREPTOGRAMINEN</v>
      </c>
      <c r="E298" t="str">
        <f>VLOOKUP($A298,[1]Table!$A$2:$N485,E$1,FALSE)</f>
        <v>CLINDAMYCINE</v>
      </c>
      <c r="F298" t="str">
        <f>VLOOKUP($A298,[1]Table!$A$2:$N485,F$1,FALSE)</f>
        <v>DALACIN C 15MG/ML SUSPENSIE 80ML</v>
      </c>
      <c r="G298" t="str">
        <f>VLOOKUP($A298,[1]Table!$A$2:$N485,G$1,FALSE)</f>
        <v>CLINDAMYCINE 15MG/ML SUSP</v>
      </c>
      <c r="H298" t="str">
        <f>VLOOKUP($A298,[1]Table!$A$2:$N485,H$1,FALSE)</f>
        <v>suspensie voor oraal gebruik</v>
      </c>
      <c r="I298" t="str">
        <f>VLOOKUP($A298,[1]Table!$A$2:$N485,I$1,FALSE)</f>
        <v>or</v>
      </c>
      <c r="J298">
        <f>VLOOKUP($A298,[1]Table!$A$2:$N485,J$1,FALSE)</f>
        <v>15</v>
      </c>
      <c r="K298" t="str">
        <f>VLOOKUP($A298,[1]Table!$A$2:$N485,K$1,FALSE)</f>
        <v>mg/ml</v>
      </c>
      <c r="L298">
        <f>VLOOKUP($A298,[1]Table!$A$2:$N485,L$1,FALSE)</f>
        <v>15</v>
      </c>
      <c r="M298" t="str">
        <f>VLOOKUP($A298,[1]Table!$A$2:$N485,M$1,FALSE)</f>
        <v>mg</v>
      </c>
      <c r="N298" t="str">
        <f>VLOOKUP($A298,[1]Table!$A$2:$N485,N$1,FALSE)</f>
        <v>Infecties||Ernstige infecties||Endocarditis profylaxe bij overgevoeligheid voor penicilline of behandeling met penicilline in de 7 dagen voor de ingreep||Behandeling malaria</v>
      </c>
      <c r="O298" t="str">
        <f>ConcatenateRange(AZ298:BU298,"||")</f>
        <v/>
      </c>
      <c r="AZ298" t="str">
        <f t="shared" si="110"/>
        <v/>
      </c>
      <c r="BA298" t="str">
        <f t="shared" si="111"/>
        <v/>
      </c>
      <c r="BB298" t="str">
        <f t="shared" si="112"/>
        <v/>
      </c>
      <c r="BC298" t="str">
        <f t="shared" si="113"/>
        <v/>
      </c>
      <c r="BD298" t="str">
        <f t="shared" si="114"/>
        <v/>
      </c>
      <c r="BE298" t="str">
        <f t="shared" si="115"/>
        <v/>
      </c>
      <c r="BF298" t="str">
        <f t="shared" si="116"/>
        <v/>
      </c>
      <c r="BG298" t="str">
        <f t="shared" si="117"/>
        <v/>
      </c>
      <c r="BH298" t="str">
        <f t="shared" si="118"/>
        <v/>
      </c>
      <c r="BI298" t="str">
        <f t="shared" si="119"/>
        <v/>
      </c>
      <c r="BJ298" t="str">
        <f t="shared" si="120"/>
        <v/>
      </c>
      <c r="BK298" t="str">
        <f t="shared" si="121"/>
        <v/>
      </c>
      <c r="BL298" t="str">
        <f t="shared" si="122"/>
        <v/>
      </c>
      <c r="BM298" t="str">
        <f t="shared" si="123"/>
        <v/>
      </c>
      <c r="BN298" t="str">
        <f t="shared" si="124"/>
        <v/>
      </c>
      <c r="BO298" t="str">
        <f t="shared" si="125"/>
        <v/>
      </c>
      <c r="BP298" t="str">
        <f t="shared" si="126"/>
        <v/>
      </c>
      <c r="BQ298" t="str">
        <f t="shared" si="127"/>
        <v/>
      </c>
      <c r="BR298" t="str">
        <f t="shared" si="128"/>
        <v/>
      </c>
      <c r="BS298" t="str">
        <f t="shared" si="129"/>
        <v/>
      </c>
      <c r="BT298" t="str">
        <f t="shared" si="130"/>
        <v/>
      </c>
      <c r="BU298" t="str">
        <f t="shared" si="131"/>
        <v/>
      </c>
    </row>
    <row r="299" spans="1:73">
      <c r="A299" s="1">
        <v>148016</v>
      </c>
      <c r="B299" t="str">
        <f>VLOOKUP($A299,[1]Table!$A$2:$N486,B$1,FALSE)</f>
        <v>D10AF51</v>
      </c>
      <c r="C299" t="str">
        <f>VLOOKUP($A299,[1]Table!$A$2:$N486,C$1,FALSE)</f>
        <v>ACNEPREPARATEN</v>
      </c>
      <c r="D299" t="str">
        <f>VLOOKUP($A299,[1]Table!$A$2:$N486,D$1,FALSE)</f>
        <v>ACNEPREPARATEN, LOKALE</v>
      </c>
      <c r="E299" t="str">
        <f>VLOOKUP($A299,[1]Table!$A$2:$N486,E$1,FALSE)</f>
        <v>CLINDAMYCINE/TRETINOINE</v>
      </c>
      <c r="F299" t="str">
        <f>VLOOKUP($A299,[1]Table!$A$2:$N486,F$1,FALSE)</f>
        <v>TRECLINAC GEL 30 G</v>
      </c>
      <c r="G299" t="str">
        <f>VLOOKUP($A299,[1]Table!$A$2:$N486,G$1,FALSE)</f>
        <v>CLINDA/TRETI 10/0,25MG/G GE</v>
      </c>
      <c r="H299" t="str">
        <f>VLOOKUP($A299,[1]Table!$A$2:$N486,H$1,FALSE)</f>
        <v>gel</v>
      </c>
      <c r="I299" t="str">
        <f>VLOOKUP($A299,[1]Table!$A$2:$N486,I$1,FALSE)</f>
        <v>cutaan</v>
      </c>
      <c r="J299">
        <f>VLOOKUP($A299,[1]Table!$A$2:$N486,J$1,FALSE)</f>
        <v>10</v>
      </c>
      <c r="K299" t="str">
        <f>VLOOKUP($A299,[1]Table!$A$2:$N486,K$1,FALSE)</f>
        <v>mg/gr</v>
      </c>
      <c r="L299">
        <f>VLOOKUP($A299,[1]Table!$A$2:$N486,L$1,FALSE)</f>
        <v>10</v>
      </c>
      <c r="M299" t="str">
        <f>VLOOKUP($A299,[1]Table!$A$2:$N486,M$1,FALSE)</f>
        <v>mg</v>
      </c>
      <c r="N299" t="str">
        <f>VLOOKUP($A299,[1]Table!$A$2:$N486,N$1,FALSE)</f>
        <v>Acne vulgaris||Acne vulgaris met comedonen</v>
      </c>
      <c r="O299" t="str">
        <f>ConcatenateRange(AZ299:BU299,"||")</f>
        <v/>
      </c>
      <c r="AZ299" t="str">
        <f t="shared" si="110"/>
        <v/>
      </c>
      <c r="BA299" t="str">
        <f t="shared" si="111"/>
        <v/>
      </c>
      <c r="BB299" t="str">
        <f t="shared" si="112"/>
        <v/>
      </c>
      <c r="BC299" t="str">
        <f t="shared" si="113"/>
        <v/>
      </c>
      <c r="BD299" t="str">
        <f t="shared" si="114"/>
        <v/>
      </c>
      <c r="BE299" t="str">
        <f t="shared" si="115"/>
        <v/>
      </c>
      <c r="BF299" t="str">
        <f t="shared" si="116"/>
        <v/>
      </c>
      <c r="BG299" t="str">
        <f t="shared" si="117"/>
        <v/>
      </c>
      <c r="BH299" t="str">
        <f t="shared" si="118"/>
        <v/>
      </c>
      <c r="BI299" t="str">
        <f t="shared" si="119"/>
        <v/>
      </c>
      <c r="BJ299" t="str">
        <f t="shared" si="120"/>
        <v/>
      </c>
      <c r="BK299" t="str">
        <f t="shared" si="121"/>
        <v/>
      </c>
      <c r="BL299" t="str">
        <f t="shared" si="122"/>
        <v/>
      </c>
      <c r="BM299" t="str">
        <f t="shared" si="123"/>
        <v/>
      </c>
      <c r="BN299" t="str">
        <f t="shared" si="124"/>
        <v/>
      </c>
      <c r="BO299" t="str">
        <f t="shared" si="125"/>
        <v/>
      </c>
      <c r="BP299" t="str">
        <f t="shared" si="126"/>
        <v/>
      </c>
      <c r="BQ299" t="str">
        <f t="shared" si="127"/>
        <v/>
      </c>
      <c r="BR299" t="str">
        <f t="shared" si="128"/>
        <v/>
      </c>
      <c r="BS299" t="str">
        <f t="shared" si="129"/>
        <v/>
      </c>
      <c r="BT299" t="str">
        <f t="shared" si="130"/>
        <v/>
      </c>
      <c r="BU299" t="str">
        <f t="shared" si="131"/>
        <v/>
      </c>
    </row>
    <row r="300" spans="1:73">
      <c r="A300" s="1">
        <v>38725</v>
      </c>
      <c r="B300" t="str">
        <f>VLOOKUP($A300,[1]Table!$A$2:$N487,B$1,FALSE)</f>
        <v>N05BA09</v>
      </c>
      <c r="C300" t="str">
        <f>VLOOKUP($A300,[1]Table!$A$2:$N487,C$1,FALSE)</f>
        <v>PSYCHOLEPTICA</v>
      </c>
      <c r="D300" t="str">
        <f>VLOOKUP($A300,[1]Table!$A$2:$N487,D$1,FALSE)</f>
        <v>ANXIOLYTICA</v>
      </c>
      <c r="E300" t="str">
        <f>VLOOKUP($A300,[1]Table!$A$2:$N487,E$1,FALSE)</f>
        <v>CLOBAZAM</v>
      </c>
      <c r="F300" t="str">
        <f>VLOOKUP($A300,[1]Table!$A$2:$N487,F$1,FALSE)</f>
        <v>FRISIUM TABLET 10MG</v>
      </c>
      <c r="G300" t="str">
        <f>VLOOKUP($A300,[1]Table!$A$2:$N487,G$1,FALSE)</f>
        <v>CLOBAZAM 10MG TABLET</v>
      </c>
      <c r="H300" t="str">
        <f>VLOOKUP($A300,[1]Table!$A$2:$N487,H$1,FALSE)</f>
        <v>tablet</v>
      </c>
      <c r="I300" t="str">
        <f>VLOOKUP($A300,[1]Table!$A$2:$N487,I$1,FALSE)</f>
        <v>or</v>
      </c>
      <c r="J300">
        <f>VLOOKUP($A300,[1]Table!$A$2:$N487,J$1,FALSE)</f>
        <v>10</v>
      </c>
      <c r="K300" t="str">
        <f>VLOOKUP($A300,[1]Table!$A$2:$N487,K$1,FALSE)</f>
        <v>mg/stuk</v>
      </c>
      <c r="L300">
        <f>VLOOKUP($A300,[1]Table!$A$2:$N487,L$1,FALSE)</f>
        <v>10</v>
      </c>
      <c r="M300" t="str">
        <f>VLOOKUP($A300,[1]Table!$A$2:$N487,M$1,FALSE)</f>
        <v>mg</v>
      </c>
      <c r="N300" t="str">
        <f>VLOOKUP($A300,[1]Table!$A$2:$N487,N$1,FALSE)</f>
        <v>Kortdurende behandeling van acute angst en plotselinge extreme slapeloosheid ||(Adjuvans bij) Epilepsie||Febriele convulsies</v>
      </c>
      <c r="O300" t="str">
        <f>ConcatenateRange(AZ300:BU300,"||")</f>
        <v/>
      </c>
      <c r="AZ300" t="str">
        <f t="shared" si="110"/>
        <v/>
      </c>
      <c r="BA300" t="str">
        <f t="shared" si="111"/>
        <v/>
      </c>
      <c r="BB300" t="str">
        <f t="shared" si="112"/>
        <v/>
      </c>
      <c r="BC300" t="str">
        <f t="shared" si="113"/>
        <v/>
      </c>
      <c r="BD300" t="str">
        <f t="shared" si="114"/>
        <v/>
      </c>
      <c r="BE300" t="str">
        <f t="shared" si="115"/>
        <v/>
      </c>
      <c r="BF300" t="str">
        <f t="shared" si="116"/>
        <v/>
      </c>
      <c r="BG300" t="str">
        <f t="shared" si="117"/>
        <v/>
      </c>
      <c r="BH300" t="str">
        <f t="shared" si="118"/>
        <v/>
      </c>
      <c r="BI300" t="str">
        <f t="shared" si="119"/>
        <v/>
      </c>
      <c r="BJ300" t="str">
        <f t="shared" si="120"/>
        <v/>
      </c>
      <c r="BK300" t="str">
        <f t="shared" si="121"/>
        <v/>
      </c>
      <c r="BL300" t="str">
        <f t="shared" si="122"/>
        <v/>
      </c>
      <c r="BM300" t="str">
        <f t="shared" si="123"/>
        <v/>
      </c>
      <c r="BN300" t="str">
        <f t="shared" si="124"/>
        <v/>
      </c>
      <c r="BO300" t="str">
        <f t="shared" si="125"/>
        <v/>
      </c>
      <c r="BP300" t="str">
        <f t="shared" si="126"/>
        <v/>
      </c>
      <c r="BQ300" t="str">
        <f t="shared" si="127"/>
        <v/>
      </c>
      <c r="BR300" t="str">
        <f t="shared" si="128"/>
        <v/>
      </c>
      <c r="BS300" t="str">
        <f t="shared" si="129"/>
        <v/>
      </c>
      <c r="BT300" t="str">
        <f t="shared" si="130"/>
        <v/>
      </c>
      <c r="BU300" t="str">
        <f t="shared" si="131"/>
        <v/>
      </c>
    </row>
    <row r="301" spans="1:73">
      <c r="A301" s="1">
        <v>10820</v>
      </c>
      <c r="B301" t="str">
        <f>VLOOKUP($A301,[1]Table!$A$2:$N488,B$1,FALSE)</f>
        <v>D07AD01</v>
      </c>
      <c r="C301" t="str">
        <f>VLOOKUP($A301,[1]Table!$A$2:$N488,C$1,FALSE)</f>
        <v>DERMATOLOGISCHE CORTICOSTEROIDEN</v>
      </c>
      <c r="D301" t="str">
        <f>VLOOKUP($A301,[1]Table!$A$2:$N488,D$1,FALSE)</f>
        <v>ENKELVOUDIGE CORTICOSTEROIDEN</v>
      </c>
      <c r="E301" t="str">
        <f>VLOOKUP($A301,[1]Table!$A$2:$N488,E$1,FALSE)</f>
        <v>CLOBETASOL</v>
      </c>
      <c r="F301" t="str">
        <f>VLOOKUP($A301,[1]Table!$A$2:$N488,F$1,FALSE)</f>
        <v>DERMOVATE CREME 0.5 MG/G 100 GRAM</v>
      </c>
      <c r="G301" t="str">
        <f>VLOOKUP($A301,[1]Table!$A$2:$N488,G$1,FALSE)</f>
        <v>CLOBETASOL 0,5MG/G CREME</v>
      </c>
      <c r="H301" t="str">
        <f>VLOOKUP($A301,[1]Table!$A$2:$N488,H$1,FALSE)</f>
        <v>creme</v>
      </c>
      <c r="I301" t="str">
        <f>VLOOKUP($A301,[1]Table!$A$2:$N488,I$1,FALSE)</f>
        <v>cutaan</v>
      </c>
      <c r="J301">
        <f>VLOOKUP($A301,[1]Table!$A$2:$N488,J$1,FALSE)</f>
        <v>0.5</v>
      </c>
      <c r="K301" t="str">
        <f>VLOOKUP($A301,[1]Table!$A$2:$N488,K$1,FALSE)</f>
        <v>mg/gr</v>
      </c>
      <c r="L301">
        <f>VLOOKUP($A301,[1]Table!$A$2:$N488,L$1,FALSE)</f>
        <v>0.5</v>
      </c>
      <c r="M301" t="str">
        <f>VLOOKUP($A301,[1]Table!$A$2:$N488,M$1,FALSE)</f>
        <v>mg</v>
      </c>
      <c r="N301" t="str">
        <f>VLOOKUP($A301,[1]Table!$A$2:$N488,N$1,FALSE)</f>
        <v>Phimosis</v>
      </c>
      <c r="O301" t="str">
        <f>ConcatenateRange(AZ301:BU301,"||")</f>
        <v/>
      </c>
      <c r="AZ301" t="str">
        <f t="shared" si="110"/>
        <v/>
      </c>
      <c r="BA301" t="str">
        <f t="shared" si="111"/>
        <v/>
      </c>
      <c r="BB301" t="str">
        <f t="shared" si="112"/>
        <v/>
      </c>
      <c r="BC301" t="str">
        <f t="shared" si="113"/>
        <v/>
      </c>
      <c r="BD301" t="str">
        <f t="shared" si="114"/>
        <v/>
      </c>
      <c r="BE301" t="str">
        <f t="shared" si="115"/>
        <v/>
      </c>
      <c r="BF301" t="str">
        <f t="shared" si="116"/>
        <v/>
      </c>
      <c r="BG301" t="str">
        <f t="shared" si="117"/>
        <v/>
      </c>
      <c r="BH301" t="str">
        <f t="shared" si="118"/>
        <v/>
      </c>
      <c r="BI301" t="str">
        <f t="shared" si="119"/>
        <v/>
      </c>
      <c r="BJ301" t="str">
        <f t="shared" si="120"/>
        <v/>
      </c>
      <c r="BK301" t="str">
        <f t="shared" si="121"/>
        <v/>
      </c>
      <c r="BL301" t="str">
        <f t="shared" si="122"/>
        <v/>
      </c>
      <c r="BM301" t="str">
        <f t="shared" si="123"/>
        <v/>
      </c>
      <c r="BN301" t="str">
        <f t="shared" si="124"/>
        <v/>
      </c>
      <c r="BO301" t="str">
        <f t="shared" si="125"/>
        <v/>
      </c>
      <c r="BP301" t="str">
        <f t="shared" si="126"/>
        <v/>
      </c>
      <c r="BQ301" t="str">
        <f t="shared" si="127"/>
        <v/>
      </c>
      <c r="BR301" t="str">
        <f t="shared" si="128"/>
        <v/>
      </c>
      <c r="BS301" t="str">
        <f t="shared" si="129"/>
        <v/>
      </c>
      <c r="BT301" t="str">
        <f t="shared" si="130"/>
        <v/>
      </c>
      <c r="BU301" t="str">
        <f t="shared" si="131"/>
        <v/>
      </c>
    </row>
    <row r="302" spans="1:73">
      <c r="A302" s="1">
        <v>14486</v>
      </c>
      <c r="B302" t="str">
        <f>VLOOKUP($A302,[1]Table!$A$2:$N489,B$1,FALSE)</f>
        <v>D07AD01</v>
      </c>
      <c r="C302" t="str">
        <f>VLOOKUP($A302,[1]Table!$A$2:$N489,C$1,FALSE)</f>
        <v>DERMATOLOGISCHE CORTICOSTEROIDEN</v>
      </c>
      <c r="D302" t="str">
        <f>VLOOKUP($A302,[1]Table!$A$2:$N489,D$1,FALSE)</f>
        <v>ENKELVOUDIGE CORTICOSTEROIDEN</v>
      </c>
      <c r="E302" t="str">
        <f>VLOOKUP($A302,[1]Table!$A$2:$N489,E$1,FALSE)</f>
        <v>CLOBETASOL</v>
      </c>
      <c r="F302" t="str">
        <f>VLOOKUP($A302,[1]Table!$A$2:$N489,F$1,FALSE)</f>
        <v>DERMOVATE LOTION 0,05% 100 GRAM</v>
      </c>
      <c r="G302" t="str">
        <f>VLOOKUP($A302,[1]Table!$A$2:$N489,G$1,FALSE)</f>
        <v>CLOBETASOL 0,5MG/G OPL</v>
      </c>
      <c r="H302" t="str">
        <f>VLOOKUP($A302,[1]Table!$A$2:$N489,H$1,FALSE)</f>
        <v>oplossing voor cutaan gebruik</v>
      </c>
      <c r="I302" t="str">
        <f>VLOOKUP($A302,[1]Table!$A$2:$N489,I$1,FALSE)</f>
        <v>cutaan</v>
      </c>
      <c r="J302">
        <f>VLOOKUP($A302,[1]Table!$A$2:$N489,J$1,FALSE)</f>
        <v>0.5</v>
      </c>
      <c r="K302" t="str">
        <f>VLOOKUP($A302,[1]Table!$A$2:$N489,K$1,FALSE)</f>
        <v>mg/gr</v>
      </c>
      <c r="L302">
        <f>VLOOKUP($A302,[1]Table!$A$2:$N489,L$1,FALSE)</f>
        <v>0.5</v>
      </c>
      <c r="M302" t="str">
        <f>VLOOKUP($A302,[1]Table!$A$2:$N489,M$1,FALSE)</f>
        <v>mg</v>
      </c>
      <c r="N302" t="str">
        <f>VLOOKUP($A302,[1]Table!$A$2:$N489,N$1,FALSE)</f>
        <v>Phimosis</v>
      </c>
      <c r="O302" t="str">
        <f>ConcatenateRange(AZ302:BU302,"||")</f>
        <v/>
      </c>
      <c r="AZ302" t="str">
        <f t="shared" ref="AZ302:AZ361" si="132">IF(AA302&lt;&gt;0,AA$2,"")</f>
        <v/>
      </c>
      <c r="BA302" t="str">
        <f t="shared" ref="BA302:BA361" si="133">IF(AB302&lt;&gt;0,AB$2,"")</f>
        <v/>
      </c>
      <c r="BB302" t="str">
        <f t="shared" ref="BB302:BB361" si="134">IF(AC302&lt;&gt;0,AC$2,"")</f>
        <v/>
      </c>
      <c r="BC302" t="str">
        <f t="shared" ref="BC302:BC361" si="135">IF(AD302&lt;&gt;0,AD$2,"")</f>
        <v/>
      </c>
      <c r="BD302" t="str">
        <f t="shared" ref="BD302:BD361" si="136">IF(AE302&lt;&gt;0,AE$2,"")</f>
        <v/>
      </c>
      <c r="BE302" t="str">
        <f t="shared" ref="BE302:BE361" si="137">IF(AF302&lt;&gt;0,AF$2,"")</f>
        <v/>
      </c>
      <c r="BF302" t="str">
        <f t="shared" ref="BF302:BF361" si="138">IF(AG302&lt;&gt;0,AG$2,"")</f>
        <v/>
      </c>
      <c r="BG302" t="str">
        <f t="shared" ref="BG302:BG361" si="139">IF(AH302&lt;&gt;0,AH$2,"")</f>
        <v/>
      </c>
      <c r="BH302" t="str">
        <f t="shared" ref="BH302:BH361" si="140">IF(AI302&lt;&gt;0,AI$2,"")</f>
        <v/>
      </c>
      <c r="BI302" t="str">
        <f t="shared" ref="BI302:BI361" si="141">IF(AJ302&lt;&gt;0,AJ$2,"")</f>
        <v/>
      </c>
      <c r="BJ302" t="str">
        <f t="shared" ref="BJ302:BJ361" si="142">IF(AK302&lt;&gt;0,AK$2,"")</f>
        <v/>
      </c>
      <c r="BK302" t="str">
        <f t="shared" ref="BK302:BK361" si="143">IF(AL302&lt;&gt;0,AL$2,"")</f>
        <v/>
      </c>
      <c r="BL302" t="str">
        <f t="shared" ref="BL302:BL361" si="144">IF(AM302&lt;&gt;0,AM$2,"")</f>
        <v/>
      </c>
      <c r="BM302" t="str">
        <f t="shared" ref="BM302:BM361" si="145">IF(AN302&lt;&gt;0,AN$2,"")</f>
        <v/>
      </c>
      <c r="BN302" t="str">
        <f t="shared" ref="BN302:BN361" si="146">IF(AO302&lt;&gt;0,AO$2,"")</f>
        <v/>
      </c>
      <c r="BO302" t="str">
        <f t="shared" ref="BO302:BO361" si="147">IF(AP302&lt;&gt;0,AP$2,"")</f>
        <v/>
      </c>
      <c r="BP302" t="str">
        <f t="shared" ref="BP302:BP361" si="148">IF(AQ302&lt;&gt;0,AQ$2,"")</f>
        <v/>
      </c>
      <c r="BQ302" t="str">
        <f t="shared" ref="BQ302:BQ361" si="149">IF(AR302&lt;&gt;0,AR$2,"")</f>
        <v/>
      </c>
      <c r="BR302" t="str">
        <f t="shared" ref="BR302:BR361" si="150">IF(AS302&lt;&gt;0,AS$2,"")</f>
        <v/>
      </c>
      <c r="BS302" t="str">
        <f t="shared" ref="BS302:BS361" si="151">IF(AT302&lt;&gt;0,AT$2,"")</f>
        <v/>
      </c>
      <c r="BT302" t="str">
        <f t="shared" ref="BT302:BT361" si="152">IF(AU302&lt;&gt;0,AU$2,"")</f>
        <v/>
      </c>
      <c r="BU302" t="str">
        <f t="shared" ref="BU302:BU361" si="153">IF(AV302&lt;&gt;0,AV$2,"")</f>
        <v/>
      </c>
    </row>
    <row r="303" spans="1:73">
      <c r="A303" s="1">
        <v>125431</v>
      </c>
      <c r="B303" t="str">
        <f>VLOOKUP($A303,[1]Table!$A$2:$N490,B$1,FALSE)</f>
        <v>D07AD01</v>
      </c>
      <c r="C303" t="str">
        <f>VLOOKUP($A303,[1]Table!$A$2:$N490,C$1,FALSE)</f>
        <v>DERMATOLOGISCHE CORTICOSTEROIDEN</v>
      </c>
      <c r="D303" t="str">
        <f>VLOOKUP($A303,[1]Table!$A$2:$N490,D$1,FALSE)</f>
        <v>ENKELVOUDIGE CORTICOSTEROIDEN</v>
      </c>
      <c r="E303" t="str">
        <f>VLOOKUP($A303,[1]Table!$A$2:$N490,E$1,FALSE)</f>
        <v>CLOBETASOL</v>
      </c>
      <c r="F303" t="str">
        <f>VLOOKUP($A303,[1]Table!$A$2:$N490,F$1,FALSE)</f>
        <v>CLARELUX SCHUIM VOOR CUTAAN GEBRUIK 0,5 MG/G 100 GRAM</v>
      </c>
      <c r="G303" t="str">
        <f>VLOOKUP($A303,[1]Table!$A$2:$N490,G$1,FALSE)</f>
        <v>CLOBETASOL 0,5MG/G SCHUIM C</v>
      </c>
      <c r="H303" t="str">
        <f>VLOOKUP($A303,[1]Table!$A$2:$N490,H$1,FALSE)</f>
        <v>schuim voor cutaan gebruik</v>
      </c>
      <c r="I303" t="str">
        <f>VLOOKUP($A303,[1]Table!$A$2:$N490,I$1,FALSE)</f>
        <v>cutaan</v>
      </c>
      <c r="J303">
        <f>VLOOKUP($A303,[1]Table!$A$2:$N490,J$1,FALSE)</f>
        <v>0.5</v>
      </c>
      <c r="K303" t="str">
        <f>VLOOKUP($A303,[1]Table!$A$2:$N490,K$1,FALSE)</f>
        <v>mg/gr</v>
      </c>
      <c r="L303">
        <f>VLOOKUP($A303,[1]Table!$A$2:$N490,L$1,FALSE)</f>
        <v>0.5</v>
      </c>
      <c r="M303" t="str">
        <f>VLOOKUP($A303,[1]Table!$A$2:$N490,M$1,FALSE)</f>
        <v>mg</v>
      </c>
      <c r="N303" t="str">
        <f>VLOOKUP($A303,[1]Table!$A$2:$N490,N$1,FALSE)</f>
        <v>Phimosis</v>
      </c>
      <c r="O303" t="str">
        <f>ConcatenateRange(AZ303:BU303,"||")</f>
        <v/>
      </c>
      <c r="AZ303" t="str">
        <f t="shared" si="132"/>
        <v/>
      </c>
      <c r="BA303" t="str">
        <f t="shared" si="133"/>
        <v/>
      </c>
      <c r="BB303" t="str">
        <f t="shared" si="134"/>
        <v/>
      </c>
      <c r="BC303" t="str">
        <f t="shared" si="135"/>
        <v/>
      </c>
      <c r="BD303" t="str">
        <f t="shared" si="136"/>
        <v/>
      </c>
      <c r="BE303" t="str">
        <f t="shared" si="137"/>
        <v/>
      </c>
      <c r="BF303" t="str">
        <f t="shared" si="138"/>
        <v/>
      </c>
      <c r="BG303" t="str">
        <f t="shared" si="139"/>
        <v/>
      </c>
      <c r="BH303" t="str">
        <f t="shared" si="140"/>
        <v/>
      </c>
      <c r="BI303" t="str">
        <f t="shared" si="141"/>
        <v/>
      </c>
      <c r="BJ303" t="str">
        <f t="shared" si="142"/>
        <v/>
      </c>
      <c r="BK303" t="str">
        <f t="shared" si="143"/>
        <v/>
      </c>
      <c r="BL303" t="str">
        <f t="shared" si="144"/>
        <v/>
      </c>
      <c r="BM303" t="str">
        <f t="shared" si="145"/>
        <v/>
      </c>
      <c r="BN303" t="str">
        <f t="shared" si="146"/>
        <v/>
      </c>
      <c r="BO303" t="str">
        <f t="shared" si="147"/>
        <v/>
      </c>
      <c r="BP303" t="str">
        <f t="shared" si="148"/>
        <v/>
      </c>
      <c r="BQ303" t="str">
        <f t="shared" si="149"/>
        <v/>
      </c>
      <c r="BR303" t="str">
        <f t="shared" si="150"/>
        <v/>
      </c>
      <c r="BS303" t="str">
        <f t="shared" si="151"/>
        <v/>
      </c>
      <c r="BT303" t="str">
        <f t="shared" si="152"/>
        <v/>
      </c>
      <c r="BU303" t="str">
        <f t="shared" si="153"/>
        <v/>
      </c>
    </row>
    <row r="304" spans="1:73">
      <c r="A304" s="1">
        <v>127744</v>
      </c>
      <c r="B304" t="str">
        <f>VLOOKUP($A304,[1]Table!$A$2:$N491,B$1,FALSE)</f>
        <v>D07AD01</v>
      </c>
      <c r="C304" t="str">
        <f>VLOOKUP($A304,[1]Table!$A$2:$N491,C$1,FALSE)</f>
        <v>DERMATOLOGISCHE CORTICOSTEROIDEN</v>
      </c>
      <c r="D304" t="str">
        <f>VLOOKUP($A304,[1]Table!$A$2:$N491,D$1,FALSE)</f>
        <v>ENKELVOUDIGE CORTICOSTEROIDEN</v>
      </c>
      <c r="E304" t="str">
        <f>VLOOKUP($A304,[1]Table!$A$2:$N491,E$1,FALSE)</f>
        <v>CLOBETASOL</v>
      </c>
      <c r="F304" t="str">
        <f>VLOOKUP($A304,[1]Table!$A$2:$N491,F$1,FALSE)</f>
        <v>CLOBEX SHAMPOO 0,5MG/G 125 ML</v>
      </c>
      <c r="G304" t="str">
        <f>VLOOKUP($A304,[1]Table!$A$2:$N491,G$1,FALSE)</f>
        <v>CLOBETASOL 0,5MG/G SHAMPOO</v>
      </c>
      <c r="H304" t="str">
        <f>VLOOKUP($A304,[1]Table!$A$2:$N491,H$1,FALSE)</f>
        <v>shampoo</v>
      </c>
      <c r="I304" t="str">
        <f>VLOOKUP($A304,[1]Table!$A$2:$N491,I$1,FALSE)</f>
        <v>cutaan</v>
      </c>
      <c r="J304">
        <f>VLOOKUP($A304,[1]Table!$A$2:$N491,J$1,FALSE)</f>
        <v>0.5</v>
      </c>
      <c r="K304" t="str">
        <f>VLOOKUP($A304,[1]Table!$A$2:$N491,K$1,FALSE)</f>
        <v>mg/gr</v>
      </c>
      <c r="L304">
        <f>VLOOKUP($A304,[1]Table!$A$2:$N491,L$1,FALSE)</f>
        <v>0.5</v>
      </c>
      <c r="M304" t="str">
        <f>VLOOKUP($A304,[1]Table!$A$2:$N491,M$1,FALSE)</f>
        <v>mg</v>
      </c>
      <c r="N304" t="str">
        <f>VLOOKUP($A304,[1]Table!$A$2:$N491,N$1,FALSE)</f>
        <v>Phimosis</v>
      </c>
      <c r="O304" t="str">
        <f>ConcatenateRange(AZ304:BU304,"||")</f>
        <v/>
      </c>
      <c r="AZ304" t="str">
        <f t="shared" si="132"/>
        <v/>
      </c>
      <c r="BA304" t="str">
        <f t="shared" si="133"/>
        <v/>
      </c>
      <c r="BB304" t="str">
        <f t="shared" si="134"/>
        <v/>
      </c>
      <c r="BC304" t="str">
        <f t="shared" si="135"/>
        <v/>
      </c>
      <c r="BD304" t="str">
        <f t="shared" si="136"/>
        <v/>
      </c>
      <c r="BE304" t="str">
        <f t="shared" si="137"/>
        <v/>
      </c>
      <c r="BF304" t="str">
        <f t="shared" si="138"/>
        <v/>
      </c>
      <c r="BG304" t="str">
        <f t="shared" si="139"/>
        <v/>
      </c>
      <c r="BH304" t="str">
        <f t="shared" si="140"/>
        <v/>
      </c>
      <c r="BI304" t="str">
        <f t="shared" si="141"/>
        <v/>
      </c>
      <c r="BJ304" t="str">
        <f t="shared" si="142"/>
        <v/>
      </c>
      <c r="BK304" t="str">
        <f t="shared" si="143"/>
        <v/>
      </c>
      <c r="BL304" t="str">
        <f t="shared" si="144"/>
        <v/>
      </c>
      <c r="BM304" t="str">
        <f t="shared" si="145"/>
        <v/>
      </c>
      <c r="BN304" t="str">
        <f t="shared" si="146"/>
        <v/>
      </c>
      <c r="BO304" t="str">
        <f t="shared" si="147"/>
        <v/>
      </c>
      <c r="BP304" t="str">
        <f t="shared" si="148"/>
        <v/>
      </c>
      <c r="BQ304" t="str">
        <f t="shared" si="149"/>
        <v/>
      </c>
      <c r="BR304" t="str">
        <f t="shared" si="150"/>
        <v/>
      </c>
      <c r="BS304" t="str">
        <f t="shared" si="151"/>
        <v/>
      </c>
      <c r="BT304" t="str">
        <f t="shared" si="152"/>
        <v/>
      </c>
      <c r="BU304" t="str">
        <f t="shared" si="153"/>
        <v/>
      </c>
    </row>
    <row r="305" spans="1:73">
      <c r="A305" s="1">
        <v>109320</v>
      </c>
      <c r="B305" t="str">
        <f>VLOOKUP($A305,[1]Table!$A$2:$N492,B$1,FALSE)</f>
        <v>D07AD01</v>
      </c>
      <c r="C305" t="str">
        <f>VLOOKUP($A305,[1]Table!$A$2:$N492,C$1,FALSE)</f>
        <v>DERMATOLOGISCHE CORTICOSTEROIDEN</v>
      </c>
      <c r="D305" t="str">
        <f>VLOOKUP($A305,[1]Table!$A$2:$N492,D$1,FALSE)</f>
        <v>ENKELVOUDIGE CORTICOSTEROIDEN</v>
      </c>
      <c r="E305" t="str">
        <f>VLOOKUP($A305,[1]Table!$A$2:$N492,E$1,FALSE)</f>
        <v>CLOBETASOL</v>
      </c>
      <c r="F305" t="str">
        <f>VLOOKUP($A305,[1]Table!$A$2:$N492,F$1,FALSE)</f>
        <v>DERMOVATE ZALF 0.5 MG/G 100 GRAM</v>
      </c>
      <c r="G305" t="str">
        <f>VLOOKUP($A305,[1]Table!$A$2:$N492,G$1,FALSE)</f>
        <v>CLOBETASOL 0,5MG/G ZALF</v>
      </c>
      <c r="H305" t="str">
        <f>VLOOKUP($A305,[1]Table!$A$2:$N492,H$1,FALSE)</f>
        <v>zalf</v>
      </c>
      <c r="I305" t="str">
        <f>VLOOKUP($A305,[1]Table!$A$2:$N492,I$1,FALSE)</f>
        <v>cutaan</v>
      </c>
      <c r="J305">
        <f>VLOOKUP($A305,[1]Table!$A$2:$N492,J$1,FALSE)</f>
        <v>0.5</v>
      </c>
      <c r="K305" t="str">
        <f>VLOOKUP($A305,[1]Table!$A$2:$N492,K$1,FALSE)</f>
        <v>mg/gr</v>
      </c>
      <c r="L305">
        <f>VLOOKUP($A305,[1]Table!$A$2:$N492,L$1,FALSE)</f>
        <v>0.5</v>
      </c>
      <c r="M305" t="str">
        <f>VLOOKUP($A305,[1]Table!$A$2:$N492,M$1,FALSE)</f>
        <v>mg</v>
      </c>
      <c r="N305" t="str">
        <f>VLOOKUP($A305,[1]Table!$A$2:$N492,N$1,FALSE)</f>
        <v>Phimosis</v>
      </c>
      <c r="O305" t="str">
        <f>ConcatenateRange(AZ305:BU305,"||")</f>
        <v/>
      </c>
      <c r="AZ305" t="str">
        <f t="shared" si="132"/>
        <v/>
      </c>
      <c r="BA305" t="str">
        <f t="shared" si="133"/>
        <v/>
      </c>
      <c r="BB305" t="str">
        <f t="shared" si="134"/>
        <v/>
      </c>
      <c r="BC305" t="str">
        <f t="shared" si="135"/>
        <v/>
      </c>
      <c r="BD305" t="str">
        <f t="shared" si="136"/>
        <v/>
      </c>
      <c r="BE305" t="str">
        <f t="shared" si="137"/>
        <v/>
      </c>
      <c r="BF305" t="str">
        <f t="shared" si="138"/>
        <v/>
      </c>
      <c r="BG305" t="str">
        <f t="shared" si="139"/>
        <v/>
      </c>
      <c r="BH305" t="str">
        <f t="shared" si="140"/>
        <v/>
      </c>
      <c r="BI305" t="str">
        <f t="shared" si="141"/>
        <v/>
      </c>
      <c r="BJ305" t="str">
        <f t="shared" si="142"/>
        <v/>
      </c>
      <c r="BK305" t="str">
        <f t="shared" si="143"/>
        <v/>
      </c>
      <c r="BL305" t="str">
        <f t="shared" si="144"/>
        <v/>
      </c>
      <c r="BM305" t="str">
        <f t="shared" si="145"/>
        <v/>
      </c>
      <c r="BN305" t="str">
        <f t="shared" si="146"/>
        <v/>
      </c>
      <c r="BO305" t="str">
        <f t="shared" si="147"/>
        <v/>
      </c>
      <c r="BP305" t="str">
        <f t="shared" si="148"/>
        <v/>
      </c>
      <c r="BQ305" t="str">
        <f t="shared" si="149"/>
        <v/>
      </c>
      <c r="BR305" t="str">
        <f t="shared" si="150"/>
        <v/>
      </c>
      <c r="BS305" t="str">
        <f t="shared" si="151"/>
        <v/>
      </c>
      <c r="BT305" t="str">
        <f t="shared" si="152"/>
        <v/>
      </c>
      <c r="BU305" t="str">
        <f t="shared" si="153"/>
        <v/>
      </c>
    </row>
    <row r="306" spans="1:73">
      <c r="A306" s="1">
        <v>115592</v>
      </c>
      <c r="B306" t="str">
        <f>VLOOKUP($A306,[1]Table!$A$2:$N493,B$1,FALSE)</f>
        <v>D07AB01</v>
      </c>
      <c r="C306" t="str">
        <f>VLOOKUP($A306,[1]Table!$A$2:$N493,C$1,FALSE)</f>
        <v>DERMATOLOGISCHE CORTICOSTEROIDEN</v>
      </c>
      <c r="D306" t="str">
        <f>VLOOKUP($A306,[1]Table!$A$2:$N493,D$1,FALSE)</f>
        <v>ENKELVOUDIGE CORTICOSTEROIDEN</v>
      </c>
      <c r="E306" t="str">
        <f>VLOOKUP($A306,[1]Table!$A$2:$N493,E$1,FALSE)</f>
        <v>CLOBETASON</v>
      </c>
      <c r="F306" t="str">
        <f>VLOOKUP($A306,[1]Table!$A$2:$N493,F$1,FALSE)</f>
        <v>EMOVATE 0,5 MG/G CREME 30G</v>
      </c>
      <c r="G306" t="str">
        <f>VLOOKUP($A306,[1]Table!$A$2:$N493,G$1,FALSE)</f>
        <v>CLOBETASON 0,5MG/G CREME</v>
      </c>
      <c r="H306" t="str">
        <f>VLOOKUP($A306,[1]Table!$A$2:$N493,H$1,FALSE)</f>
        <v>creme</v>
      </c>
      <c r="I306" t="str">
        <f>VLOOKUP($A306,[1]Table!$A$2:$N493,I$1,FALSE)</f>
        <v>cutaan</v>
      </c>
      <c r="J306">
        <f>VLOOKUP($A306,[1]Table!$A$2:$N493,J$1,FALSE)</f>
        <v>0.5</v>
      </c>
      <c r="K306" t="str">
        <f>VLOOKUP($A306,[1]Table!$A$2:$N493,K$1,FALSE)</f>
        <v>mg/gr</v>
      </c>
      <c r="L306">
        <f>VLOOKUP($A306,[1]Table!$A$2:$N493,L$1,FALSE)</f>
        <v>0.5</v>
      </c>
      <c r="M306" t="str">
        <f>VLOOKUP($A306,[1]Table!$A$2:$N493,M$1,FALSE)</f>
        <v>mg</v>
      </c>
      <c r="N306" t="str">
        <f>VLOOKUP($A306,[1]Table!$A$2:$N493,N$1,FALSE)</f>
        <v>Constitutioneel eczeem</v>
      </c>
      <c r="O306" t="str">
        <f>ConcatenateRange(AZ306:BU306,"||")</f>
        <v/>
      </c>
      <c r="AZ306" t="str">
        <f t="shared" si="132"/>
        <v/>
      </c>
      <c r="BA306" t="str">
        <f t="shared" si="133"/>
        <v/>
      </c>
      <c r="BB306" t="str">
        <f t="shared" si="134"/>
        <v/>
      </c>
      <c r="BC306" t="str">
        <f t="shared" si="135"/>
        <v/>
      </c>
      <c r="BD306" t="str">
        <f t="shared" si="136"/>
        <v/>
      </c>
      <c r="BE306" t="str">
        <f t="shared" si="137"/>
        <v/>
      </c>
      <c r="BF306" t="str">
        <f t="shared" si="138"/>
        <v/>
      </c>
      <c r="BG306" t="str">
        <f t="shared" si="139"/>
        <v/>
      </c>
      <c r="BH306" t="str">
        <f t="shared" si="140"/>
        <v/>
      </c>
      <c r="BI306" t="str">
        <f t="shared" si="141"/>
        <v/>
      </c>
      <c r="BJ306" t="str">
        <f t="shared" si="142"/>
        <v/>
      </c>
      <c r="BK306" t="str">
        <f t="shared" si="143"/>
        <v/>
      </c>
      <c r="BL306" t="str">
        <f t="shared" si="144"/>
        <v/>
      </c>
      <c r="BM306" t="str">
        <f t="shared" si="145"/>
        <v/>
      </c>
      <c r="BN306" t="str">
        <f t="shared" si="146"/>
        <v/>
      </c>
      <c r="BO306" t="str">
        <f t="shared" si="147"/>
        <v/>
      </c>
      <c r="BP306" t="str">
        <f t="shared" si="148"/>
        <v/>
      </c>
      <c r="BQ306" t="str">
        <f t="shared" si="149"/>
        <v/>
      </c>
      <c r="BR306" t="str">
        <f t="shared" si="150"/>
        <v/>
      </c>
      <c r="BS306" t="str">
        <f t="shared" si="151"/>
        <v/>
      </c>
      <c r="BT306" t="str">
        <f t="shared" si="152"/>
        <v/>
      </c>
      <c r="BU306" t="str">
        <f t="shared" si="153"/>
        <v/>
      </c>
    </row>
    <row r="307" spans="1:73">
      <c r="A307" s="1">
        <v>115606</v>
      </c>
      <c r="B307" t="str">
        <f>VLOOKUP($A307,[1]Table!$A$2:$N494,B$1,FALSE)</f>
        <v>D07AB01</v>
      </c>
      <c r="C307" t="str">
        <f>VLOOKUP($A307,[1]Table!$A$2:$N494,C$1,FALSE)</f>
        <v>DERMATOLOGISCHE CORTICOSTEROIDEN</v>
      </c>
      <c r="D307" t="str">
        <f>VLOOKUP($A307,[1]Table!$A$2:$N494,D$1,FALSE)</f>
        <v>ENKELVOUDIGE CORTICOSTEROIDEN</v>
      </c>
      <c r="E307" t="str">
        <f>VLOOKUP($A307,[1]Table!$A$2:$N494,E$1,FALSE)</f>
        <v>CLOBETASON</v>
      </c>
      <c r="F307" t="str">
        <f>VLOOKUP($A307,[1]Table!$A$2:$N494,F$1,FALSE)</f>
        <v>EMOVATE 0.5 MG/G ZALF 30G</v>
      </c>
      <c r="G307" t="str">
        <f>VLOOKUP($A307,[1]Table!$A$2:$N494,G$1,FALSE)</f>
        <v>CLOBETASON 0,5MG/G ZALF</v>
      </c>
      <c r="H307" t="str">
        <f>VLOOKUP($A307,[1]Table!$A$2:$N494,H$1,FALSE)</f>
        <v>zalf</v>
      </c>
      <c r="I307" t="str">
        <f>VLOOKUP($A307,[1]Table!$A$2:$N494,I$1,FALSE)</f>
        <v>cutaan</v>
      </c>
      <c r="J307">
        <f>VLOOKUP($A307,[1]Table!$A$2:$N494,J$1,FALSE)</f>
        <v>0.5</v>
      </c>
      <c r="K307" t="str">
        <f>VLOOKUP($A307,[1]Table!$A$2:$N494,K$1,FALSE)</f>
        <v>mg/gr</v>
      </c>
      <c r="L307">
        <f>VLOOKUP($A307,[1]Table!$A$2:$N494,L$1,FALSE)</f>
        <v>0.5</v>
      </c>
      <c r="M307" t="str">
        <f>VLOOKUP($A307,[1]Table!$A$2:$N494,M$1,FALSE)</f>
        <v>mg</v>
      </c>
      <c r="N307" t="str">
        <f>VLOOKUP($A307,[1]Table!$A$2:$N494,N$1,FALSE)</f>
        <v>Constitutioneel eczeem</v>
      </c>
      <c r="O307" t="str">
        <f>ConcatenateRange(AZ307:BU307,"||")</f>
        <v/>
      </c>
      <c r="AZ307" t="str">
        <f t="shared" si="132"/>
        <v/>
      </c>
      <c r="BA307" t="str">
        <f t="shared" si="133"/>
        <v/>
      </c>
      <c r="BB307" t="str">
        <f t="shared" si="134"/>
        <v/>
      </c>
      <c r="BC307" t="str">
        <f t="shared" si="135"/>
        <v/>
      </c>
      <c r="BD307" t="str">
        <f t="shared" si="136"/>
        <v/>
      </c>
      <c r="BE307" t="str">
        <f t="shared" si="137"/>
        <v/>
      </c>
      <c r="BF307" t="str">
        <f t="shared" si="138"/>
        <v/>
      </c>
      <c r="BG307" t="str">
        <f t="shared" si="139"/>
        <v/>
      </c>
      <c r="BH307" t="str">
        <f t="shared" si="140"/>
        <v/>
      </c>
      <c r="BI307" t="str">
        <f t="shared" si="141"/>
        <v/>
      </c>
      <c r="BJ307" t="str">
        <f t="shared" si="142"/>
        <v/>
      </c>
      <c r="BK307" t="str">
        <f t="shared" si="143"/>
        <v/>
      </c>
      <c r="BL307" t="str">
        <f t="shared" si="144"/>
        <v/>
      </c>
      <c r="BM307" t="str">
        <f t="shared" si="145"/>
        <v/>
      </c>
      <c r="BN307" t="str">
        <f t="shared" si="146"/>
        <v/>
      </c>
      <c r="BO307" t="str">
        <f t="shared" si="147"/>
        <v/>
      </c>
      <c r="BP307" t="str">
        <f t="shared" si="148"/>
        <v/>
      </c>
      <c r="BQ307" t="str">
        <f t="shared" si="149"/>
        <v/>
      </c>
      <c r="BR307" t="str">
        <f t="shared" si="150"/>
        <v/>
      </c>
      <c r="BS307" t="str">
        <f t="shared" si="151"/>
        <v/>
      </c>
      <c r="BT307" t="str">
        <f t="shared" si="152"/>
        <v/>
      </c>
      <c r="BU307" t="str">
        <f t="shared" si="153"/>
        <v/>
      </c>
    </row>
    <row r="308" spans="1:73">
      <c r="A308" s="1">
        <v>129062</v>
      </c>
      <c r="B308" t="str">
        <f>VLOOKUP($A308,[1]Table!$A$2:$N495,B$1,FALSE)</f>
        <v>L01BB06</v>
      </c>
      <c r="C308" t="str">
        <f>VLOOKUP($A308,[1]Table!$A$2:$N495,C$1,FALSE)</f>
        <v>ONCOLYTICA</v>
      </c>
      <c r="D308" t="str">
        <f>VLOOKUP($A308,[1]Table!$A$2:$N495,D$1,FALSE)</f>
        <v>ANTIMETABOLIETEN</v>
      </c>
      <c r="E308" t="str">
        <f>VLOOKUP($A308,[1]Table!$A$2:$N495,E$1,FALSE)</f>
        <v>CLOFARABINE</v>
      </c>
      <c r="F308" t="str">
        <f>VLOOKUP($A308,[1]Table!$A$2:$N495,F$1,FALSE)</f>
        <v>EVOLTRA 1 MG/ML INFVLST CONC FLACON 20ML</v>
      </c>
      <c r="G308" t="str">
        <f>VLOOKUP($A308,[1]Table!$A$2:$N495,G$1,FALSE)</f>
        <v>CLOFARABINE 1MG/ML INFOPL C</v>
      </c>
      <c r="H308" t="str">
        <f>VLOOKUP($A308,[1]Table!$A$2:$N495,H$1,FALSE)</f>
        <v>concentraat voor oplossing voor infusie</v>
      </c>
      <c r="I308" t="str">
        <f>VLOOKUP($A308,[1]Table!$A$2:$N495,I$1,FALSE)</f>
        <v>iv</v>
      </c>
      <c r="J308">
        <f>VLOOKUP($A308,[1]Table!$A$2:$N495,J$1,FALSE)</f>
        <v>1</v>
      </c>
      <c r="K308" t="str">
        <f>VLOOKUP($A308,[1]Table!$A$2:$N495,K$1,FALSE)</f>
        <v>mg/ml</v>
      </c>
      <c r="L308">
        <f>VLOOKUP($A308,[1]Table!$A$2:$N495,L$1,FALSE)</f>
        <v>1</v>
      </c>
      <c r="M308" t="str">
        <f>VLOOKUP($A308,[1]Table!$A$2:$N495,M$1,FALSE)</f>
        <v>mg</v>
      </c>
      <c r="N308" t="str">
        <f>VLOOKUP($A308,[1]Table!$A$2:$N495,N$1,FALSE)</f>
        <v>Recidiverende/refractaire acute lymfatische leukemie (ALL), recidiverende/refractaire acute myeloïde leukemie (AML)||Conditionering voor SCT bij AML/ALL</v>
      </c>
      <c r="O308" t="str">
        <f>ConcatenateRange(AZ308:BU308,"||")</f>
        <v/>
      </c>
      <c r="AZ308" t="str">
        <f t="shared" si="132"/>
        <v/>
      </c>
      <c r="BA308" t="str">
        <f t="shared" si="133"/>
        <v/>
      </c>
      <c r="BB308" t="str">
        <f t="shared" si="134"/>
        <v/>
      </c>
      <c r="BC308" t="str">
        <f t="shared" si="135"/>
        <v/>
      </c>
      <c r="BD308" t="str">
        <f t="shared" si="136"/>
        <v/>
      </c>
      <c r="BE308" t="str">
        <f t="shared" si="137"/>
        <v/>
      </c>
      <c r="BF308" t="str">
        <f t="shared" si="138"/>
        <v/>
      </c>
      <c r="BG308" t="str">
        <f t="shared" si="139"/>
        <v/>
      </c>
      <c r="BH308" t="str">
        <f t="shared" si="140"/>
        <v/>
      </c>
      <c r="BI308" t="str">
        <f t="shared" si="141"/>
        <v/>
      </c>
      <c r="BJ308" t="str">
        <f t="shared" si="142"/>
        <v/>
      </c>
      <c r="BK308" t="str">
        <f t="shared" si="143"/>
        <v/>
      </c>
      <c r="BL308" t="str">
        <f t="shared" si="144"/>
        <v/>
      </c>
      <c r="BM308" t="str">
        <f t="shared" si="145"/>
        <v/>
      </c>
      <c r="BN308" t="str">
        <f t="shared" si="146"/>
        <v/>
      </c>
      <c r="BO308" t="str">
        <f t="shared" si="147"/>
        <v/>
      </c>
      <c r="BP308" t="str">
        <f t="shared" si="148"/>
        <v/>
      </c>
      <c r="BQ308" t="str">
        <f t="shared" si="149"/>
        <v/>
      </c>
      <c r="BR308" t="str">
        <f t="shared" si="150"/>
        <v/>
      </c>
      <c r="BS308" t="str">
        <f t="shared" si="151"/>
        <v/>
      </c>
      <c r="BT308" t="str">
        <f t="shared" si="152"/>
        <v/>
      </c>
      <c r="BU308" t="str">
        <f t="shared" si="153"/>
        <v/>
      </c>
    </row>
    <row r="309" spans="1:73">
      <c r="A309" s="1">
        <v>101877</v>
      </c>
      <c r="B309" t="str">
        <f>VLOOKUP($A309,[1]Table!$A$2:$N496,B$1,FALSE)</f>
        <v>N06AA04</v>
      </c>
      <c r="C309" t="str">
        <f>VLOOKUP($A309,[1]Table!$A$2:$N496,C$1,FALSE)</f>
        <v>PSYCHOANALEPTICA</v>
      </c>
      <c r="D309" t="str">
        <f>VLOOKUP($A309,[1]Table!$A$2:$N496,D$1,FALSE)</f>
        <v>ANTIDEPRESSIVA</v>
      </c>
      <c r="E309" t="str">
        <f>VLOOKUP($A309,[1]Table!$A$2:$N496,E$1,FALSE)</f>
        <v>CLOMIPRAMINE</v>
      </c>
      <c r="F309" t="str">
        <f>VLOOKUP($A309,[1]Table!$A$2:$N496,F$1,FALSE)</f>
        <v>CLOMIPRAMINE HCL 10 MG TABLET OMHULD</v>
      </c>
      <c r="G309" t="str">
        <f>VLOOKUP($A309,[1]Table!$A$2:$N496,G$1,FALSE)</f>
        <v>CLOMIPRAMINE 10MG TAB OMH</v>
      </c>
      <c r="H309" t="str">
        <f>VLOOKUP($A309,[1]Table!$A$2:$N496,H$1,FALSE)</f>
        <v>omhulde tablet</v>
      </c>
      <c r="I309" t="str">
        <f>VLOOKUP($A309,[1]Table!$A$2:$N496,I$1,FALSE)</f>
        <v>or</v>
      </c>
      <c r="J309">
        <f>VLOOKUP($A309,[1]Table!$A$2:$N496,J$1,FALSE)</f>
        <v>10</v>
      </c>
      <c r="K309" t="str">
        <f>VLOOKUP($A309,[1]Table!$A$2:$N496,K$1,FALSE)</f>
        <v>mg/stuk</v>
      </c>
      <c r="L309">
        <f>VLOOKUP($A309,[1]Table!$A$2:$N496,L$1,FALSE)</f>
        <v>10</v>
      </c>
      <c r="M309" t="str">
        <f>VLOOKUP($A309,[1]Table!$A$2:$N496,M$1,FALSE)</f>
        <v>mg</v>
      </c>
      <c r="N309" t="str">
        <f>VLOOKUP($A309,[1]Table!$A$2:$N496,N$1,FALSE)</f>
        <v>Obsessief compulsieve stoornis</v>
      </c>
      <c r="O309" t="str">
        <f>ConcatenateRange(AZ309:BU309,"||")</f>
        <v/>
      </c>
      <c r="AZ309" t="str">
        <f t="shared" si="132"/>
        <v/>
      </c>
      <c r="BA309" t="str">
        <f t="shared" si="133"/>
        <v/>
      </c>
      <c r="BB309" t="str">
        <f t="shared" si="134"/>
        <v/>
      </c>
      <c r="BC309" t="str">
        <f t="shared" si="135"/>
        <v/>
      </c>
      <c r="BD309" t="str">
        <f t="shared" si="136"/>
        <v/>
      </c>
      <c r="BE309" t="str">
        <f t="shared" si="137"/>
        <v/>
      </c>
      <c r="BF309" t="str">
        <f t="shared" si="138"/>
        <v/>
      </c>
      <c r="BG309" t="str">
        <f t="shared" si="139"/>
        <v/>
      </c>
      <c r="BH309" t="str">
        <f t="shared" si="140"/>
        <v/>
      </c>
      <c r="BI309" t="str">
        <f t="shared" si="141"/>
        <v/>
      </c>
      <c r="BJ309" t="str">
        <f t="shared" si="142"/>
        <v/>
      </c>
      <c r="BK309" t="str">
        <f t="shared" si="143"/>
        <v/>
      </c>
      <c r="BL309" t="str">
        <f t="shared" si="144"/>
        <v/>
      </c>
      <c r="BM309" t="str">
        <f t="shared" si="145"/>
        <v/>
      </c>
      <c r="BN309" t="str">
        <f t="shared" si="146"/>
        <v/>
      </c>
      <c r="BO309" t="str">
        <f t="shared" si="147"/>
        <v/>
      </c>
      <c r="BP309" t="str">
        <f t="shared" si="148"/>
        <v/>
      </c>
      <c r="BQ309" t="str">
        <f t="shared" si="149"/>
        <v/>
      </c>
      <c r="BR309" t="str">
        <f t="shared" si="150"/>
        <v/>
      </c>
      <c r="BS309" t="str">
        <f t="shared" si="151"/>
        <v/>
      </c>
      <c r="BT309" t="str">
        <f t="shared" si="152"/>
        <v/>
      </c>
      <c r="BU309" t="str">
        <f t="shared" si="153"/>
        <v/>
      </c>
    </row>
    <row r="310" spans="1:73">
      <c r="A310" s="1">
        <v>101885</v>
      </c>
      <c r="B310" t="str">
        <f>VLOOKUP($A310,[1]Table!$A$2:$N497,B$1,FALSE)</f>
        <v>N06AA04</v>
      </c>
      <c r="C310" t="str">
        <f>VLOOKUP($A310,[1]Table!$A$2:$N497,C$1,FALSE)</f>
        <v>PSYCHOANALEPTICA</v>
      </c>
      <c r="D310" t="str">
        <f>VLOOKUP($A310,[1]Table!$A$2:$N497,D$1,FALSE)</f>
        <v>ANTIDEPRESSIVA</v>
      </c>
      <c r="E310" t="str">
        <f>VLOOKUP($A310,[1]Table!$A$2:$N497,E$1,FALSE)</f>
        <v>CLOMIPRAMINE</v>
      </c>
      <c r="F310" t="str">
        <f>VLOOKUP($A310,[1]Table!$A$2:$N497,F$1,FALSE)</f>
        <v>CLOMIPRAMINE 25 MG TABLET OMHULD</v>
      </c>
      <c r="G310" t="str">
        <f>VLOOKUP($A310,[1]Table!$A$2:$N497,G$1,FALSE)</f>
        <v>CLOMIPRAMINE 25MG TAB OMH</v>
      </c>
      <c r="H310" t="str">
        <f>VLOOKUP($A310,[1]Table!$A$2:$N497,H$1,FALSE)</f>
        <v>omhulde tablet</v>
      </c>
      <c r="I310" t="str">
        <f>VLOOKUP($A310,[1]Table!$A$2:$N497,I$1,FALSE)</f>
        <v>or</v>
      </c>
      <c r="J310">
        <f>VLOOKUP($A310,[1]Table!$A$2:$N497,J$1,FALSE)</f>
        <v>25</v>
      </c>
      <c r="K310" t="str">
        <f>VLOOKUP($A310,[1]Table!$A$2:$N497,K$1,FALSE)</f>
        <v>mg/stuk</v>
      </c>
      <c r="L310">
        <f>VLOOKUP($A310,[1]Table!$A$2:$N497,L$1,FALSE)</f>
        <v>25</v>
      </c>
      <c r="M310" t="str">
        <f>VLOOKUP($A310,[1]Table!$A$2:$N497,M$1,FALSE)</f>
        <v>mg</v>
      </c>
      <c r="N310" t="str">
        <f>VLOOKUP($A310,[1]Table!$A$2:$N497,N$1,FALSE)</f>
        <v>Obsessief compulsieve stoornis</v>
      </c>
      <c r="O310" t="str">
        <f>ConcatenateRange(AZ310:BU310,"||")</f>
        <v/>
      </c>
      <c r="AZ310" t="str">
        <f t="shared" si="132"/>
        <v/>
      </c>
      <c r="BA310" t="str">
        <f t="shared" si="133"/>
        <v/>
      </c>
      <c r="BB310" t="str">
        <f t="shared" si="134"/>
        <v/>
      </c>
      <c r="BC310" t="str">
        <f t="shared" si="135"/>
        <v/>
      </c>
      <c r="BD310" t="str">
        <f t="shared" si="136"/>
        <v/>
      </c>
      <c r="BE310" t="str">
        <f t="shared" si="137"/>
        <v/>
      </c>
      <c r="BF310" t="str">
        <f t="shared" si="138"/>
        <v/>
      </c>
      <c r="BG310" t="str">
        <f t="shared" si="139"/>
        <v/>
      </c>
      <c r="BH310" t="str">
        <f t="shared" si="140"/>
        <v/>
      </c>
      <c r="BI310" t="str">
        <f t="shared" si="141"/>
        <v/>
      </c>
      <c r="BJ310" t="str">
        <f t="shared" si="142"/>
        <v/>
      </c>
      <c r="BK310" t="str">
        <f t="shared" si="143"/>
        <v/>
      </c>
      <c r="BL310" t="str">
        <f t="shared" si="144"/>
        <v/>
      </c>
      <c r="BM310" t="str">
        <f t="shared" si="145"/>
        <v/>
      </c>
      <c r="BN310" t="str">
        <f t="shared" si="146"/>
        <v/>
      </c>
      <c r="BO310" t="str">
        <f t="shared" si="147"/>
        <v/>
      </c>
      <c r="BP310" t="str">
        <f t="shared" si="148"/>
        <v/>
      </c>
      <c r="BQ310" t="str">
        <f t="shared" si="149"/>
        <v/>
      </c>
      <c r="BR310" t="str">
        <f t="shared" si="150"/>
        <v/>
      </c>
      <c r="BS310" t="str">
        <f t="shared" si="151"/>
        <v/>
      </c>
      <c r="BT310" t="str">
        <f t="shared" si="152"/>
        <v/>
      </c>
      <c r="BU310" t="str">
        <f t="shared" si="153"/>
        <v/>
      </c>
    </row>
    <row r="311" spans="1:73">
      <c r="A311" s="1">
        <v>44105</v>
      </c>
      <c r="B311" t="str">
        <f>VLOOKUP($A311,[1]Table!$A$2:$N498,B$1,FALSE)</f>
        <v>N06AA04</v>
      </c>
      <c r="C311" t="str">
        <f>VLOOKUP($A311,[1]Table!$A$2:$N498,C$1,FALSE)</f>
        <v>PSYCHOANALEPTICA</v>
      </c>
      <c r="D311" t="str">
        <f>VLOOKUP($A311,[1]Table!$A$2:$N498,D$1,FALSE)</f>
        <v>ANTIDEPRESSIVA</v>
      </c>
      <c r="E311" t="s">
        <v>99</v>
      </c>
      <c r="F311" t="str">
        <f>VLOOKUP($A311,[1]Table!$A$2:$N498,F$1,FALSE)</f>
        <v>CLOMIPRAMINE 75 MG TABLET MGA (RETARD)</v>
      </c>
      <c r="G311" t="str">
        <f>VLOOKUP($A311,[1]Table!$A$2:$N498,G$1,FALSE)</f>
        <v>CLOMIPRAMINE 75MG TABLET MG</v>
      </c>
      <c r="H311" t="str">
        <f>VLOOKUP($A311,[1]Table!$A$2:$N498,H$1,FALSE)</f>
        <v>tablet met gereguleerde afgifte</v>
      </c>
      <c r="I311" t="str">
        <f>VLOOKUP($A311,[1]Table!$A$2:$N498,I$1,FALSE)</f>
        <v>or</v>
      </c>
      <c r="J311">
        <f>VLOOKUP($A311,[1]Table!$A$2:$N498,J$1,FALSE)</f>
        <v>75</v>
      </c>
      <c r="K311" t="str">
        <f>VLOOKUP($A311,[1]Table!$A$2:$N498,K$1,FALSE)</f>
        <v>mg/stuk</v>
      </c>
      <c r="L311">
        <f>VLOOKUP($A311,[1]Table!$A$2:$N498,L$1,FALSE)</f>
        <v>37.5</v>
      </c>
      <c r="M311" t="str">
        <f>VLOOKUP($A311,[1]Table!$A$2:$N498,M$1,FALSE)</f>
        <v>mg</v>
      </c>
      <c r="N311" t="str">
        <f>VLOOKUP($A311,[1]Table!$A$2:$N498,N$1,FALSE)</f>
        <v>Obsessief compulsieve stoornis</v>
      </c>
      <c r="O311" t="str">
        <f>ConcatenateRange(AZ311:BU311,"||")</f>
        <v/>
      </c>
      <c r="AZ311" t="str">
        <f t="shared" si="132"/>
        <v/>
      </c>
      <c r="BA311" t="str">
        <f t="shared" si="133"/>
        <v/>
      </c>
      <c r="BB311" t="str">
        <f t="shared" si="134"/>
        <v/>
      </c>
      <c r="BC311" t="str">
        <f t="shared" si="135"/>
        <v/>
      </c>
      <c r="BD311" t="str">
        <f t="shared" si="136"/>
        <v/>
      </c>
      <c r="BE311" t="str">
        <f t="shared" si="137"/>
        <v/>
      </c>
      <c r="BF311" t="str">
        <f t="shared" si="138"/>
        <v/>
      </c>
      <c r="BG311" t="str">
        <f t="shared" si="139"/>
        <v/>
      </c>
      <c r="BH311" t="str">
        <f t="shared" si="140"/>
        <v/>
      </c>
      <c r="BI311" t="str">
        <f t="shared" si="141"/>
        <v/>
      </c>
      <c r="BJ311" t="str">
        <f t="shared" si="142"/>
        <v/>
      </c>
      <c r="BK311" t="str">
        <f t="shared" si="143"/>
        <v/>
      </c>
      <c r="BL311" t="str">
        <f t="shared" si="144"/>
        <v/>
      </c>
      <c r="BM311" t="str">
        <f t="shared" si="145"/>
        <v/>
      </c>
      <c r="BN311" t="str">
        <f t="shared" si="146"/>
        <v/>
      </c>
      <c r="BO311" t="str">
        <f t="shared" si="147"/>
        <v/>
      </c>
      <c r="BP311" t="str">
        <f t="shared" si="148"/>
        <v/>
      </c>
      <c r="BQ311" t="str">
        <f t="shared" si="149"/>
        <v/>
      </c>
      <c r="BR311" t="str">
        <f t="shared" si="150"/>
        <v/>
      </c>
      <c r="BS311" t="str">
        <f t="shared" si="151"/>
        <v/>
      </c>
      <c r="BT311" t="str">
        <f t="shared" si="152"/>
        <v/>
      </c>
      <c r="BU311" t="str">
        <f t="shared" si="153"/>
        <v/>
      </c>
    </row>
    <row r="312" spans="1:73">
      <c r="A312" s="1">
        <v>10286</v>
      </c>
      <c r="B312" t="str">
        <f>VLOOKUP($A312,[1]Table!$A$2:$N499,B$1,FALSE)</f>
        <v>N03AE01</v>
      </c>
      <c r="C312" t="str">
        <f>VLOOKUP($A312,[1]Table!$A$2:$N499,C$1,FALSE)</f>
        <v>ANTI-EPILEPTICA</v>
      </c>
      <c r="D312" t="str">
        <f>VLOOKUP($A312,[1]Table!$A$2:$N499,D$1,FALSE)</f>
        <v>ANTI-EPILEPTICA</v>
      </c>
      <c r="E312" t="str">
        <f>VLOOKUP($A312,[1]Table!$A$2:$N499,E$1,FALSE)</f>
        <v>CLONAZEPAM</v>
      </c>
      <c r="F312" t="str">
        <f>VLOOKUP($A312,[1]Table!$A$2:$N499,F$1,FALSE)</f>
        <v>RIVOTRIL 1 MG/ML AMPUL 1ML</v>
      </c>
      <c r="G312" t="str">
        <f>VLOOKUP($A312,[1]Table!$A$2:$N499,G$1,FALSE)</f>
        <v>CLONAZEPAM 1MG/ML INJ CONC</v>
      </c>
      <c r="H312" t="str">
        <f>VLOOKUP($A312,[1]Table!$A$2:$N499,H$1,FALSE)</f>
        <v>concentraat voor oplossing voor injectie</v>
      </c>
      <c r="I312" t="str">
        <f>VLOOKUP($A312,[1]Table!$A$2:$N499,I$1,FALSE)</f>
        <v>im||iv</v>
      </c>
      <c r="J312">
        <f>VLOOKUP($A312,[1]Table!$A$2:$N499,J$1,FALSE)</f>
        <v>1</v>
      </c>
      <c r="K312" t="str">
        <f>VLOOKUP($A312,[1]Table!$A$2:$N499,K$1,FALSE)</f>
        <v>mg/ml</v>
      </c>
      <c r="L312">
        <f>VLOOKUP($A312,[1]Table!$A$2:$N499,L$1,FALSE)</f>
        <v>1</v>
      </c>
      <c r="M312" t="str">
        <f>VLOOKUP($A312,[1]Table!$A$2:$N499,M$1,FALSE)</f>
        <v>mg</v>
      </c>
      <c r="N312" t="str">
        <f>VLOOKUP($A312,[1]Table!$A$2:$N499,N$1,FALSE)</f>
        <v>Epilepsie||Neonatale convulsies / status epilepticus||Acute angsten (kort gebruik)</v>
      </c>
      <c r="O312" t="str">
        <f>ConcatenateRange(AZ312:BU312,"||")</f>
        <v/>
      </c>
      <c r="AZ312" t="str">
        <f t="shared" si="132"/>
        <v/>
      </c>
      <c r="BA312" t="str">
        <f t="shared" si="133"/>
        <v/>
      </c>
      <c r="BB312" t="str">
        <f t="shared" si="134"/>
        <v/>
      </c>
      <c r="BC312" t="str">
        <f t="shared" si="135"/>
        <v/>
      </c>
      <c r="BD312" t="str">
        <f t="shared" si="136"/>
        <v/>
      </c>
      <c r="BE312" t="str">
        <f t="shared" si="137"/>
        <v/>
      </c>
      <c r="BF312" t="str">
        <f t="shared" si="138"/>
        <v/>
      </c>
      <c r="BG312" t="str">
        <f t="shared" si="139"/>
        <v/>
      </c>
      <c r="BH312" t="str">
        <f t="shared" si="140"/>
        <v/>
      </c>
      <c r="BI312" t="str">
        <f t="shared" si="141"/>
        <v/>
      </c>
      <c r="BJ312" t="str">
        <f t="shared" si="142"/>
        <v/>
      </c>
      <c r="BK312" t="str">
        <f t="shared" si="143"/>
        <v/>
      </c>
      <c r="BL312" t="str">
        <f t="shared" si="144"/>
        <v/>
      </c>
      <c r="BM312" t="str">
        <f t="shared" si="145"/>
        <v/>
      </c>
      <c r="BN312" t="str">
        <f t="shared" si="146"/>
        <v/>
      </c>
      <c r="BO312" t="str">
        <f t="shared" si="147"/>
        <v/>
      </c>
      <c r="BP312" t="str">
        <f t="shared" si="148"/>
        <v/>
      </c>
      <c r="BQ312" t="str">
        <f t="shared" si="149"/>
        <v/>
      </c>
      <c r="BR312" t="str">
        <f t="shared" si="150"/>
        <v/>
      </c>
      <c r="BS312" t="str">
        <f t="shared" si="151"/>
        <v/>
      </c>
      <c r="BT312" t="str">
        <f t="shared" si="152"/>
        <v/>
      </c>
      <c r="BU312" t="str">
        <f t="shared" si="153"/>
        <v/>
      </c>
    </row>
    <row r="313" spans="1:73">
      <c r="A313" s="1">
        <v>19852</v>
      </c>
      <c r="B313" t="str">
        <f>VLOOKUP($A313,[1]Table!$A$2:$N500,B$1,FALSE)</f>
        <v>N03AE01</v>
      </c>
      <c r="C313" t="str">
        <f>VLOOKUP($A313,[1]Table!$A$2:$N500,C$1,FALSE)</f>
        <v>ANTI-EPILEPTICA</v>
      </c>
      <c r="D313" t="str">
        <f>VLOOKUP($A313,[1]Table!$A$2:$N500,D$1,FALSE)</f>
        <v>ANTI-EPILEPTICA</v>
      </c>
      <c r="E313" t="str">
        <f>VLOOKUP($A313,[1]Table!$A$2:$N500,E$1,FALSE)</f>
        <v>CLONAZEPAM</v>
      </c>
      <c r="F313" t="str">
        <f>VLOOKUP($A313,[1]Table!$A$2:$N500,F$1,FALSE)</f>
        <v>RIVOTRIL DRUPPELS 2,5 MG/ML (1 DRUPPEL = 0.1MG)</v>
      </c>
      <c r="G313" t="str">
        <f>VLOOKUP($A313,[1]Table!$A$2:$N500,G$1,FALSE)</f>
        <v>CLONAZEPAM 2,5MG/ML DRUPPEL</v>
      </c>
      <c r="H313" t="str">
        <f>VLOOKUP($A313,[1]Table!$A$2:$N500,H$1,FALSE)</f>
        <v>druppels voor oraal gebruik</v>
      </c>
      <c r="I313" t="str">
        <f>VLOOKUP($A313,[1]Table!$A$2:$N500,I$1,FALSE)</f>
        <v>or</v>
      </c>
      <c r="J313">
        <f>VLOOKUP($A313,[1]Table!$A$2:$N500,J$1,FALSE)</f>
        <v>2.5</v>
      </c>
      <c r="K313" t="str">
        <f>VLOOKUP($A313,[1]Table!$A$2:$N500,K$1,FALSE)</f>
        <v>mg/ml</v>
      </c>
      <c r="L313">
        <f>VLOOKUP($A313,[1]Table!$A$2:$N500,L$1,FALSE)</f>
        <v>2.5</v>
      </c>
      <c r="M313" t="str">
        <f>VLOOKUP($A313,[1]Table!$A$2:$N500,M$1,FALSE)</f>
        <v>mg</v>
      </c>
      <c r="N313" t="str">
        <f>VLOOKUP($A313,[1]Table!$A$2:$N500,N$1,FALSE)</f>
        <v>Epilepsie||Neonatale convulsies / status epilepticus||Acute angsten (kort gebruik)</v>
      </c>
      <c r="O313" t="str">
        <f>ConcatenateRange(AZ313:BU313,"||")</f>
        <v/>
      </c>
      <c r="AZ313" t="str">
        <f t="shared" si="132"/>
        <v/>
      </c>
      <c r="BA313" t="str">
        <f t="shared" si="133"/>
        <v/>
      </c>
      <c r="BB313" t="str">
        <f t="shared" si="134"/>
        <v/>
      </c>
      <c r="BC313" t="str">
        <f t="shared" si="135"/>
        <v/>
      </c>
      <c r="BD313" t="str">
        <f t="shared" si="136"/>
        <v/>
      </c>
      <c r="BE313" t="str">
        <f t="shared" si="137"/>
        <v/>
      </c>
      <c r="BF313" t="str">
        <f t="shared" si="138"/>
        <v/>
      </c>
      <c r="BG313" t="str">
        <f t="shared" si="139"/>
        <v/>
      </c>
      <c r="BH313" t="str">
        <f t="shared" si="140"/>
        <v/>
      </c>
      <c r="BI313" t="str">
        <f t="shared" si="141"/>
        <v/>
      </c>
      <c r="BJ313" t="str">
        <f t="shared" si="142"/>
        <v/>
      </c>
      <c r="BK313" t="str">
        <f t="shared" si="143"/>
        <v/>
      </c>
      <c r="BL313" t="str">
        <f t="shared" si="144"/>
        <v/>
      </c>
      <c r="BM313" t="str">
        <f t="shared" si="145"/>
        <v/>
      </c>
      <c r="BN313" t="str">
        <f t="shared" si="146"/>
        <v/>
      </c>
      <c r="BO313" t="str">
        <f t="shared" si="147"/>
        <v/>
      </c>
      <c r="BP313" t="str">
        <f t="shared" si="148"/>
        <v/>
      </c>
      <c r="BQ313" t="str">
        <f t="shared" si="149"/>
        <v/>
      </c>
      <c r="BR313" t="str">
        <f t="shared" si="150"/>
        <v/>
      </c>
      <c r="BS313" t="str">
        <f t="shared" si="151"/>
        <v/>
      </c>
      <c r="BT313" t="str">
        <f t="shared" si="152"/>
        <v/>
      </c>
      <c r="BU313" t="str">
        <f t="shared" si="153"/>
        <v/>
      </c>
    </row>
    <row r="314" spans="1:73">
      <c r="A314" s="1">
        <v>19860</v>
      </c>
      <c r="B314" t="str">
        <f>VLOOKUP($A314,[1]Table!$A$2:$N501,B$1,FALSE)</f>
        <v>N03AE01</v>
      </c>
      <c r="C314" t="str">
        <f>VLOOKUP($A314,[1]Table!$A$2:$N501,C$1,FALSE)</f>
        <v>ANTI-EPILEPTICA</v>
      </c>
      <c r="D314" t="str">
        <f>VLOOKUP($A314,[1]Table!$A$2:$N501,D$1,FALSE)</f>
        <v>ANTI-EPILEPTICA</v>
      </c>
      <c r="E314" t="str">
        <f>VLOOKUP($A314,[1]Table!$A$2:$N501,E$1,FALSE)</f>
        <v>CLONAZEPAM</v>
      </c>
      <c r="F314" t="str">
        <f>VLOOKUP($A314,[1]Table!$A$2:$N501,F$1,FALSE)</f>
        <v>CLONAZEPAM 0,5 MG TABLET</v>
      </c>
      <c r="G314" t="str">
        <f>VLOOKUP($A314,[1]Table!$A$2:$N501,G$1,FALSE)</f>
        <v>CLONAZEPAM 0,5MG TABLET</v>
      </c>
      <c r="H314" t="str">
        <f>VLOOKUP($A314,[1]Table!$A$2:$N501,H$1,FALSE)</f>
        <v>tablet</v>
      </c>
      <c r="I314" t="str">
        <f>VLOOKUP($A314,[1]Table!$A$2:$N501,I$1,FALSE)</f>
        <v>or</v>
      </c>
      <c r="J314">
        <f>VLOOKUP($A314,[1]Table!$A$2:$N501,J$1,FALSE)</f>
        <v>0.5</v>
      </c>
      <c r="K314" t="str">
        <f>VLOOKUP($A314,[1]Table!$A$2:$N501,K$1,FALSE)</f>
        <v>mg/stuk</v>
      </c>
      <c r="L314">
        <f>VLOOKUP($A314,[1]Table!$A$2:$N501,L$1,FALSE)</f>
        <v>0.5</v>
      </c>
      <c r="M314" t="str">
        <f>VLOOKUP($A314,[1]Table!$A$2:$N501,M$1,FALSE)</f>
        <v>mg</v>
      </c>
      <c r="N314" t="str">
        <f>VLOOKUP($A314,[1]Table!$A$2:$N501,N$1,FALSE)</f>
        <v>Epilepsie||Neonatale convulsies / status epilepticus||Acute angsten (kort gebruik)</v>
      </c>
      <c r="O314" t="str">
        <f>ConcatenateRange(AZ314:BU314,"||")</f>
        <v/>
      </c>
      <c r="AZ314" t="str">
        <f t="shared" si="132"/>
        <v/>
      </c>
      <c r="BA314" t="str">
        <f t="shared" si="133"/>
        <v/>
      </c>
      <c r="BB314" t="str">
        <f t="shared" si="134"/>
        <v/>
      </c>
      <c r="BC314" t="str">
        <f t="shared" si="135"/>
        <v/>
      </c>
      <c r="BD314" t="str">
        <f t="shared" si="136"/>
        <v/>
      </c>
      <c r="BE314" t="str">
        <f t="shared" si="137"/>
        <v/>
      </c>
      <c r="BF314" t="str">
        <f t="shared" si="138"/>
        <v/>
      </c>
      <c r="BG314" t="str">
        <f t="shared" si="139"/>
        <v/>
      </c>
      <c r="BH314" t="str">
        <f t="shared" si="140"/>
        <v/>
      </c>
      <c r="BI314" t="str">
        <f t="shared" si="141"/>
        <v/>
      </c>
      <c r="BJ314" t="str">
        <f t="shared" si="142"/>
        <v/>
      </c>
      <c r="BK314" t="str">
        <f t="shared" si="143"/>
        <v/>
      </c>
      <c r="BL314" t="str">
        <f t="shared" si="144"/>
        <v/>
      </c>
      <c r="BM314" t="str">
        <f t="shared" si="145"/>
        <v/>
      </c>
      <c r="BN314" t="str">
        <f t="shared" si="146"/>
        <v/>
      </c>
      <c r="BO314" t="str">
        <f t="shared" si="147"/>
        <v/>
      </c>
      <c r="BP314" t="str">
        <f t="shared" si="148"/>
        <v/>
      </c>
      <c r="BQ314" t="str">
        <f t="shared" si="149"/>
        <v/>
      </c>
      <c r="BR314" t="str">
        <f t="shared" si="150"/>
        <v/>
      </c>
      <c r="BS314" t="str">
        <f t="shared" si="151"/>
        <v/>
      </c>
      <c r="BT314" t="str">
        <f t="shared" si="152"/>
        <v/>
      </c>
      <c r="BU314" t="str">
        <f t="shared" si="153"/>
        <v/>
      </c>
    </row>
    <row r="315" spans="1:73">
      <c r="A315" s="1">
        <v>19879</v>
      </c>
      <c r="B315" t="str">
        <f>VLOOKUP($A315,[1]Table!$A$2:$N502,B$1,FALSE)</f>
        <v>N03AE01</v>
      </c>
      <c r="C315" t="str">
        <f>VLOOKUP($A315,[1]Table!$A$2:$N502,C$1,FALSE)</f>
        <v>ANTI-EPILEPTICA</v>
      </c>
      <c r="D315" t="str">
        <f>VLOOKUP($A315,[1]Table!$A$2:$N502,D$1,FALSE)</f>
        <v>ANTI-EPILEPTICA</v>
      </c>
      <c r="E315" t="str">
        <f>VLOOKUP($A315,[1]Table!$A$2:$N502,E$1,FALSE)</f>
        <v>CLONAZEPAM</v>
      </c>
      <c r="F315" t="str">
        <f>VLOOKUP($A315,[1]Table!$A$2:$N502,F$1,FALSE)</f>
        <v>RIVOTRIL 2 MG TABLET</v>
      </c>
      <c r="G315" t="str">
        <f>VLOOKUP($A315,[1]Table!$A$2:$N502,G$1,FALSE)</f>
        <v>CLONAZEPAM 2MG TABLET</v>
      </c>
      <c r="H315" t="str">
        <f>VLOOKUP($A315,[1]Table!$A$2:$N502,H$1,FALSE)</f>
        <v>tablet</v>
      </c>
      <c r="I315" t="str">
        <f>VLOOKUP($A315,[1]Table!$A$2:$N502,I$1,FALSE)</f>
        <v>or</v>
      </c>
      <c r="J315">
        <f>VLOOKUP($A315,[1]Table!$A$2:$N502,J$1,FALSE)</f>
        <v>2</v>
      </c>
      <c r="K315" t="str">
        <f>VLOOKUP($A315,[1]Table!$A$2:$N502,K$1,FALSE)</f>
        <v>mg/stuk</v>
      </c>
      <c r="L315">
        <f>VLOOKUP($A315,[1]Table!$A$2:$N502,L$1,FALSE)</f>
        <v>2</v>
      </c>
      <c r="M315" t="str">
        <f>VLOOKUP($A315,[1]Table!$A$2:$N502,M$1,FALSE)</f>
        <v>mg</v>
      </c>
      <c r="N315" t="str">
        <f>VLOOKUP($A315,[1]Table!$A$2:$N502,N$1,FALSE)</f>
        <v>Epilepsie||Neonatale convulsies / status epilepticus||Acute angsten (kort gebruik)</v>
      </c>
      <c r="O315" t="str">
        <f>ConcatenateRange(AZ315:BU315,"||")</f>
        <v/>
      </c>
      <c r="AZ315" t="str">
        <f t="shared" si="132"/>
        <v/>
      </c>
      <c r="BA315" t="str">
        <f t="shared" si="133"/>
        <v/>
      </c>
      <c r="BB315" t="str">
        <f t="shared" si="134"/>
        <v/>
      </c>
      <c r="BC315" t="str">
        <f t="shared" si="135"/>
        <v/>
      </c>
      <c r="BD315" t="str">
        <f t="shared" si="136"/>
        <v/>
      </c>
      <c r="BE315" t="str">
        <f t="shared" si="137"/>
        <v/>
      </c>
      <c r="BF315" t="str">
        <f t="shared" si="138"/>
        <v/>
      </c>
      <c r="BG315" t="str">
        <f t="shared" si="139"/>
        <v/>
      </c>
      <c r="BH315" t="str">
        <f t="shared" si="140"/>
        <v/>
      </c>
      <c r="BI315" t="str">
        <f t="shared" si="141"/>
        <v/>
      </c>
      <c r="BJ315" t="str">
        <f t="shared" si="142"/>
        <v/>
      </c>
      <c r="BK315" t="str">
        <f t="shared" si="143"/>
        <v/>
      </c>
      <c r="BL315" t="str">
        <f t="shared" si="144"/>
        <v/>
      </c>
      <c r="BM315" t="str">
        <f t="shared" si="145"/>
        <v/>
      </c>
      <c r="BN315" t="str">
        <f t="shared" si="146"/>
        <v/>
      </c>
      <c r="BO315" t="str">
        <f t="shared" si="147"/>
        <v/>
      </c>
      <c r="BP315" t="str">
        <f t="shared" si="148"/>
        <v/>
      </c>
      <c r="BQ315" t="str">
        <f t="shared" si="149"/>
        <v/>
      </c>
      <c r="BR315" t="str">
        <f t="shared" si="150"/>
        <v/>
      </c>
      <c r="BS315" t="str">
        <f t="shared" si="151"/>
        <v/>
      </c>
      <c r="BT315" t="str">
        <f t="shared" si="152"/>
        <v/>
      </c>
      <c r="BU315" t="str">
        <f t="shared" si="153"/>
        <v/>
      </c>
    </row>
    <row r="316" spans="1:73">
      <c r="A316" s="16">
        <v>98108514</v>
      </c>
      <c r="B316" t="str">
        <f>VLOOKUP($A316,[1]Table!$A$2:$N1699,B$1,FALSE)</f>
        <v>C02AC01</v>
      </c>
      <c r="C316" t="str">
        <f>VLOOKUP($A316,[1]Table!$A$2:$N1699,C$1,FALSE)</f>
        <v>ANTIHYPERTENSIVA</v>
      </c>
      <c r="D316" t="str">
        <f>VLOOKUP($A316,[1]Table!$A$2:$N1699,D$1,FALSE)</f>
        <v>CENTRAAL WERKENDE SYMPATHICOLYTICA</v>
      </c>
      <c r="E316" t="str">
        <f>VLOOKUP($A316,[1]Table!$A$2:$N1699,E$1,FALSE)</f>
        <v>CLONIDINE</v>
      </c>
      <c r="F316" t="str">
        <f>VLOOKUP($A316,[1]Table!$A$2:$N1699,F$1,FALSE)</f>
        <v>CLONIDINE DRANK 50 MICROGRAM/ML 50 ML</v>
      </c>
      <c r="G316" t="str">
        <f>VLOOKUP($A316,[1]Table!$A$2:$N1699,G$1,FALSE)</f>
        <v>CLONIDINE DRANK 20 MICROGRA</v>
      </c>
      <c r="H316" t="str">
        <f>VLOOKUP($A316,[1]Table!$A$2:$N1699,H$1,FALSE)</f>
        <v>drank</v>
      </c>
      <c r="I316" t="str">
        <f>VLOOKUP($A316,[1]Table!$A$2:$N1699,I$1,FALSE)</f>
        <v>or</v>
      </c>
      <c r="J316">
        <f>VLOOKUP($A316,[1]Table!$A$2:$N1699,J$1,FALSE)</f>
        <v>50</v>
      </c>
      <c r="K316" t="str">
        <f>VLOOKUP($A316,[1]Table!$A$2:$N1699,K$1,FALSE)</f>
        <v>mcg/ml</v>
      </c>
      <c r="L316">
        <f>VLOOKUP($A316,[1]Table!$A$2:$N1699,L$1,FALSE)</f>
        <v>5</v>
      </c>
      <c r="M316" t="str">
        <f>VLOOKUP($A316,[1]Table!$A$2:$N1699,M$1,FALSE)</f>
        <v>mcg</v>
      </c>
      <c r="N316" t="str">
        <f>VLOOKUP($A316,[1]Table!$A$2:$N1699,N$1,FALSE)</f>
        <v>Sedatie op IC: Adjuvans bij benzodiazepinen||ADHD en tics||Inslaapstoornissen bij ADHD||Groeihormoon secretietest||Neonataal Abstinentie Syndroom (NAS)</v>
      </c>
      <c r="AZ316" t="str">
        <f t="shared" si="132"/>
        <v/>
      </c>
      <c r="BA316" t="str">
        <f t="shared" si="133"/>
        <v/>
      </c>
      <c r="BB316" t="str">
        <f t="shared" si="134"/>
        <v/>
      </c>
      <c r="BC316" t="str">
        <f t="shared" si="135"/>
        <v/>
      </c>
      <c r="BD316" t="str">
        <f t="shared" si="136"/>
        <v/>
      </c>
      <c r="BE316" t="str">
        <f t="shared" si="137"/>
        <v/>
      </c>
      <c r="BF316" t="str">
        <f t="shared" si="138"/>
        <v/>
      </c>
      <c r="BG316" t="str">
        <f t="shared" si="139"/>
        <v/>
      </c>
      <c r="BH316" t="str">
        <f t="shared" si="140"/>
        <v/>
      </c>
      <c r="BI316" t="str">
        <f t="shared" si="141"/>
        <v/>
      </c>
      <c r="BJ316" t="str">
        <f t="shared" si="142"/>
        <v/>
      </c>
      <c r="BK316" t="str">
        <f t="shared" si="143"/>
        <v/>
      </c>
      <c r="BL316" t="str">
        <f t="shared" si="144"/>
        <v/>
      </c>
      <c r="BM316" t="str">
        <f t="shared" si="145"/>
        <v/>
      </c>
      <c r="BN316" t="str">
        <f t="shared" si="146"/>
        <v/>
      </c>
      <c r="BO316" t="str">
        <f t="shared" si="147"/>
        <v/>
      </c>
      <c r="BP316" t="str">
        <f t="shared" si="148"/>
        <v/>
      </c>
      <c r="BQ316" t="str">
        <f t="shared" si="149"/>
        <v/>
      </c>
      <c r="BR316" t="str">
        <f t="shared" si="150"/>
        <v/>
      </c>
      <c r="BS316" t="str">
        <f t="shared" si="151"/>
        <v/>
      </c>
      <c r="BT316" t="str">
        <f t="shared" si="152"/>
        <v/>
      </c>
      <c r="BU316" t="str">
        <f t="shared" si="153"/>
        <v/>
      </c>
    </row>
    <row r="317" spans="1:73">
      <c r="A317" s="1">
        <v>5533</v>
      </c>
      <c r="B317" t="str">
        <f>VLOOKUP($A317,[1]Table!$A$2:$N503,B$1,FALSE)</f>
        <v>C02AC01</v>
      </c>
      <c r="C317" t="str">
        <f>VLOOKUP($A317,[1]Table!$A$2:$N503,C$1,FALSE)</f>
        <v>ANTIHYPERTENSIVA</v>
      </c>
      <c r="D317" t="str">
        <f>VLOOKUP($A317,[1]Table!$A$2:$N503,D$1,FALSE)</f>
        <v>CENTRAAL WERKENDE SYMPATHICOLYTICA</v>
      </c>
      <c r="E317" t="str">
        <f>VLOOKUP($A317,[1]Table!$A$2:$N503,E$1,FALSE)</f>
        <v>CLONIDINE</v>
      </c>
      <c r="F317" t="str">
        <f>VLOOKUP($A317,[1]Table!$A$2:$N503,F$1,FALSE)</f>
        <v>CATAPRESAN 0.15MG/ML AMPUL 1ML</v>
      </c>
      <c r="G317" t="str">
        <f>VLOOKUP($A317,[1]Table!$A$2:$N503,G$1,FALSE)</f>
        <v>CLONIDINE 0,15MG/ML INJVLST</v>
      </c>
      <c r="H317" t="str">
        <f>VLOOKUP($A317,[1]Table!$A$2:$N503,H$1,FALSE)</f>
        <v>injectievloeistof</v>
      </c>
      <c r="I317" t="str">
        <f>VLOOKUP($A317,[1]Table!$A$2:$N503,I$1,FALSE)</f>
        <v>im||iv||sc||intrathec||epidur||perineur</v>
      </c>
      <c r="J317">
        <f>VLOOKUP($A317,[1]Table!$A$2:$N503,J$1,FALSE)</f>
        <v>0.15</v>
      </c>
      <c r="K317" t="str">
        <f>VLOOKUP($A317,[1]Table!$A$2:$N503,K$1,FALSE)</f>
        <v>mg/ml</v>
      </c>
      <c r="L317">
        <f>VLOOKUP($A317,[1]Table!$A$2:$N503,L$1,FALSE)</f>
        <v>0.15</v>
      </c>
      <c r="M317" t="str">
        <f>VLOOKUP($A317,[1]Table!$A$2:$N503,M$1,FALSE)</f>
        <v>mg</v>
      </c>
      <c r="N317" t="str">
        <f>VLOOKUP($A317,[1]Table!$A$2:$N503,N$1,FALSE)</f>
        <v>Sedatie op IC: Adjuvans bij benzodiazepinen||ADHD en tics||Inslaapstoornissen bij ADHD||Groeihormoon secretietest||Neonataal Abstinentie Syndroom (NAS)</v>
      </c>
      <c r="O317" t="str">
        <f>ConcatenateRange(AZ317:BU317,"||")</f>
        <v/>
      </c>
      <c r="AZ317" t="str">
        <f t="shared" si="132"/>
        <v/>
      </c>
      <c r="BA317" t="str">
        <f t="shared" si="133"/>
        <v/>
      </c>
      <c r="BB317" t="str">
        <f t="shared" si="134"/>
        <v/>
      </c>
      <c r="BC317" t="str">
        <f t="shared" si="135"/>
        <v/>
      </c>
      <c r="BD317" t="str">
        <f t="shared" si="136"/>
        <v/>
      </c>
      <c r="BE317" t="str">
        <f t="shared" si="137"/>
        <v/>
      </c>
      <c r="BF317" t="str">
        <f t="shared" si="138"/>
        <v/>
      </c>
      <c r="BG317" t="str">
        <f t="shared" si="139"/>
        <v/>
      </c>
      <c r="BH317" t="str">
        <f t="shared" si="140"/>
        <v/>
      </c>
      <c r="BI317" t="str">
        <f t="shared" si="141"/>
        <v/>
      </c>
      <c r="BJ317" t="str">
        <f t="shared" si="142"/>
        <v/>
      </c>
      <c r="BK317" t="str">
        <f t="shared" si="143"/>
        <v/>
      </c>
      <c r="BL317" t="str">
        <f t="shared" si="144"/>
        <v/>
      </c>
      <c r="BM317" t="str">
        <f t="shared" si="145"/>
        <v/>
      </c>
      <c r="BN317" t="str">
        <f t="shared" si="146"/>
        <v/>
      </c>
      <c r="BO317" t="str">
        <f t="shared" si="147"/>
        <v/>
      </c>
      <c r="BP317" t="str">
        <f t="shared" si="148"/>
        <v/>
      </c>
      <c r="BQ317" t="str">
        <f t="shared" si="149"/>
        <v/>
      </c>
      <c r="BR317" t="str">
        <f t="shared" si="150"/>
        <v/>
      </c>
      <c r="BS317" t="str">
        <f t="shared" si="151"/>
        <v/>
      </c>
      <c r="BT317" t="str">
        <f t="shared" si="152"/>
        <v/>
      </c>
      <c r="BU317" t="str">
        <f t="shared" si="153"/>
        <v/>
      </c>
    </row>
    <row r="318" spans="1:73">
      <c r="A318" s="1">
        <v>78514</v>
      </c>
      <c r="B318" t="str">
        <f>VLOOKUP($A318,[1]Table!$A$2:$N504,B$1,FALSE)</f>
        <v>N02CX02</v>
      </c>
      <c r="C318" t="str">
        <f>VLOOKUP($A318,[1]Table!$A$2:$N504,C$1,FALSE)</f>
        <v>ANALGETICA</v>
      </c>
      <c r="D318" t="str">
        <f>VLOOKUP($A318,[1]Table!$A$2:$N504,D$1,FALSE)</f>
        <v>MIGRAINEMIDDELEN</v>
      </c>
      <c r="E318" t="str">
        <f>VLOOKUP($A318,[1]Table!$A$2:$N504,E$1,FALSE)</f>
        <v>CLONIDINE</v>
      </c>
      <c r="F318" t="str">
        <f>VLOOKUP($A318,[1]Table!$A$2:$N504,F$1,FALSE)</f>
        <v>CLONIDINE HCL 0.025MG TABLET</v>
      </c>
      <c r="G318" t="str">
        <f>VLOOKUP($A318,[1]Table!$A$2:$N504,G$1,FALSE)</f>
        <v>CLONIDINE 0,025MG TABLET</v>
      </c>
      <c r="H318" t="str">
        <f>VLOOKUP($A318,[1]Table!$A$2:$N504,H$1,FALSE)</f>
        <v>tablet</v>
      </c>
      <c r="I318" t="str">
        <f>VLOOKUP($A318,[1]Table!$A$2:$N504,I$1,FALSE)</f>
        <v>or</v>
      </c>
      <c r="J318">
        <f>VLOOKUP($A318,[1]Table!$A$2:$N504,J$1,FALSE)</f>
        <v>2.5000000000000001E-2</v>
      </c>
      <c r="K318" t="str">
        <f>VLOOKUP($A318,[1]Table!$A$2:$N504,K$1,FALSE)</f>
        <v>mg/stuk</v>
      </c>
      <c r="L318">
        <f>VLOOKUP($A318,[1]Table!$A$2:$N504,L$1,FALSE)</f>
        <v>2.5000000000000001E-2</v>
      </c>
      <c r="M318" t="str">
        <f>VLOOKUP($A318,[1]Table!$A$2:$N504,M$1,FALSE)</f>
        <v>mg</v>
      </c>
      <c r="N318" t="s">
        <v>55</v>
      </c>
      <c r="O318" t="str">
        <f>ConcatenateRange(AZ318:BU318,"||")</f>
        <v/>
      </c>
      <c r="AZ318" t="str">
        <f t="shared" si="132"/>
        <v/>
      </c>
      <c r="BA318" t="str">
        <f t="shared" si="133"/>
        <v/>
      </c>
      <c r="BB318" t="str">
        <f t="shared" si="134"/>
        <v/>
      </c>
      <c r="BC318" t="str">
        <f t="shared" si="135"/>
        <v/>
      </c>
      <c r="BD318" t="str">
        <f t="shared" si="136"/>
        <v/>
      </c>
      <c r="BE318" t="str">
        <f t="shared" si="137"/>
        <v/>
      </c>
      <c r="BF318" t="str">
        <f t="shared" si="138"/>
        <v/>
      </c>
      <c r="BG318" t="str">
        <f t="shared" si="139"/>
        <v/>
      </c>
      <c r="BH318" t="str">
        <f t="shared" si="140"/>
        <v/>
      </c>
      <c r="BI318" t="str">
        <f t="shared" si="141"/>
        <v/>
      </c>
      <c r="BJ318" t="str">
        <f t="shared" si="142"/>
        <v/>
      </c>
      <c r="BK318" t="str">
        <f t="shared" si="143"/>
        <v/>
      </c>
      <c r="BL318" t="str">
        <f t="shared" si="144"/>
        <v/>
      </c>
      <c r="BM318" t="str">
        <f t="shared" si="145"/>
        <v/>
      </c>
      <c r="BN318" t="str">
        <f t="shared" si="146"/>
        <v/>
      </c>
      <c r="BO318" t="str">
        <f t="shared" si="147"/>
        <v/>
      </c>
      <c r="BP318" t="str">
        <f t="shared" si="148"/>
        <v/>
      </c>
      <c r="BQ318" t="str">
        <f t="shared" si="149"/>
        <v/>
      </c>
      <c r="BR318" t="str">
        <f t="shared" si="150"/>
        <v/>
      </c>
      <c r="BS318" t="str">
        <f t="shared" si="151"/>
        <v/>
      </c>
      <c r="BT318" t="str">
        <f t="shared" si="152"/>
        <v/>
      </c>
      <c r="BU318" t="str">
        <f t="shared" si="153"/>
        <v/>
      </c>
    </row>
    <row r="319" spans="1:73">
      <c r="A319" s="1">
        <v>13439</v>
      </c>
      <c r="B319" t="str">
        <f>VLOOKUP($A319,[1]Table!$A$2:$N505,B$1,FALSE)</f>
        <v>C02AC01</v>
      </c>
      <c r="C319" t="str">
        <f>VLOOKUP($A319,[1]Table!$A$2:$N505,C$1,FALSE)</f>
        <v>ANTIHYPERTENSIVA</v>
      </c>
      <c r="D319" t="str">
        <f>VLOOKUP($A319,[1]Table!$A$2:$N505,D$1,FALSE)</f>
        <v>CENTRAAL WERKENDE SYMPATHICOLYTICA</v>
      </c>
      <c r="E319" t="str">
        <f>VLOOKUP($A319,[1]Table!$A$2:$N505,E$1,FALSE)</f>
        <v>CLONIDINE</v>
      </c>
      <c r="F319" t="str">
        <f>VLOOKUP($A319,[1]Table!$A$2:$N505,F$1,FALSE)</f>
        <v>CLONIDINE HCL 0.150MG TABLET</v>
      </c>
      <c r="G319" t="str">
        <f>VLOOKUP($A319,[1]Table!$A$2:$N505,G$1,FALSE)</f>
        <v>CLONIDINE 0,15MG TABLET</v>
      </c>
      <c r="H319" t="str">
        <f>VLOOKUP($A319,[1]Table!$A$2:$N505,H$1,FALSE)</f>
        <v>tablet</v>
      </c>
      <c r="I319" t="str">
        <f>VLOOKUP($A319,[1]Table!$A$2:$N505,I$1,FALSE)</f>
        <v>or</v>
      </c>
      <c r="J319">
        <f>VLOOKUP($A319,[1]Table!$A$2:$N505,J$1,FALSE)</f>
        <v>0.15</v>
      </c>
      <c r="K319" t="str">
        <f>VLOOKUP($A319,[1]Table!$A$2:$N505,K$1,FALSE)</f>
        <v>mg/stuk</v>
      </c>
      <c r="L319">
        <f>VLOOKUP($A319,[1]Table!$A$2:$N505,L$1,FALSE)</f>
        <v>7.4999999999999997E-2</v>
      </c>
      <c r="M319" t="str">
        <f>VLOOKUP($A319,[1]Table!$A$2:$N505,M$1,FALSE)</f>
        <v>mg</v>
      </c>
      <c r="N319" t="str">
        <f>VLOOKUP($A319,[1]Table!$A$2:$N505,N$1,FALSE)</f>
        <v>Sedatie op IC: Adjuvans bij benzodiazepinen||ADHD en tics||Inslaapstoornissen bij ADHD||Groeihormoon secretietest||Neonataal Abstinentie Syndroom (NAS)</v>
      </c>
      <c r="O319" t="str">
        <f>ConcatenateRange(AZ319:BU319,"||")</f>
        <v/>
      </c>
      <c r="AZ319" t="str">
        <f t="shared" si="132"/>
        <v/>
      </c>
      <c r="BA319" t="str">
        <f t="shared" si="133"/>
        <v/>
      </c>
      <c r="BB319" t="str">
        <f t="shared" si="134"/>
        <v/>
      </c>
      <c r="BC319" t="str">
        <f t="shared" si="135"/>
        <v/>
      </c>
      <c r="BD319" t="str">
        <f t="shared" si="136"/>
        <v/>
      </c>
      <c r="BE319" t="str">
        <f t="shared" si="137"/>
        <v/>
      </c>
      <c r="BF319" t="str">
        <f t="shared" si="138"/>
        <v/>
      </c>
      <c r="BG319" t="str">
        <f t="shared" si="139"/>
        <v/>
      </c>
      <c r="BH319" t="str">
        <f t="shared" si="140"/>
        <v/>
      </c>
      <c r="BI319" t="str">
        <f t="shared" si="141"/>
        <v/>
      </c>
      <c r="BJ319" t="str">
        <f t="shared" si="142"/>
        <v/>
      </c>
      <c r="BK319" t="str">
        <f t="shared" si="143"/>
        <v/>
      </c>
      <c r="BL319" t="str">
        <f t="shared" si="144"/>
        <v/>
      </c>
      <c r="BM319" t="str">
        <f t="shared" si="145"/>
        <v/>
      </c>
      <c r="BN319" t="str">
        <f t="shared" si="146"/>
        <v/>
      </c>
      <c r="BO319" t="str">
        <f t="shared" si="147"/>
        <v/>
      </c>
      <c r="BP319" t="str">
        <f t="shared" si="148"/>
        <v/>
      </c>
      <c r="BQ319" t="str">
        <f t="shared" si="149"/>
        <v/>
      </c>
      <c r="BR319" t="str">
        <f t="shared" si="150"/>
        <v/>
      </c>
      <c r="BS319" t="str">
        <f t="shared" si="151"/>
        <v/>
      </c>
      <c r="BT319" t="str">
        <f t="shared" si="152"/>
        <v/>
      </c>
      <c r="BU319" t="str">
        <f t="shared" si="153"/>
        <v/>
      </c>
    </row>
    <row r="320" spans="1:73">
      <c r="A320" s="17">
        <v>156655</v>
      </c>
      <c r="B320" t="str">
        <f>VLOOKUP($A320,[1]Table!$A$2:$N1699,B$1,FALSE)</f>
        <v>B01AC04</v>
      </c>
      <c r="C320" t="str">
        <f>VLOOKUP($A320,[1]Table!$A$2:$N1699,C$1,FALSE)</f>
        <v>ANTITHROMBOTICA</v>
      </c>
      <c r="D320" t="str">
        <f>VLOOKUP($A320,[1]Table!$A$2:$N1699,D$1,FALSE)</f>
        <v>ANTITHROMBOTICA</v>
      </c>
      <c r="E320" t="str">
        <f>VLOOKUP($A320,[1]Table!$A$2:$N1699,E$1,FALSE)</f>
        <v>CLOPIDOGREL</v>
      </c>
      <c r="F320" t="str">
        <f>VLOOKUP($A320,[1]Table!$A$2:$N1699,F$1,FALSE)</f>
        <v>CLOPIDOGREL 75 MG TABLET FILMOMHULD</v>
      </c>
      <c r="G320" t="str">
        <f>VLOOKUP($A320,[1]Table!$A$2:$N1699,G$1,FALSE)</f>
        <v>CLOPIDOGREL 75MG TABLET</v>
      </c>
      <c r="H320" t="str">
        <f>VLOOKUP($A320,[1]Table!$A$2:$N1699,H$1,FALSE)</f>
        <v>tablet</v>
      </c>
      <c r="I320" t="str">
        <f>VLOOKUP($A320,[1]Table!$A$2:$N1699,I$1,FALSE)</f>
        <v>or</v>
      </c>
      <c r="J320">
        <f>VLOOKUP($A320,[1]Table!$A$2:$N1699,J$1,FALSE)</f>
        <v>75</v>
      </c>
      <c r="K320" t="str">
        <f>VLOOKUP($A320,[1]Table!$A$2:$N1699,K$1,FALSE)</f>
        <v>mg/stuk</v>
      </c>
      <c r="L320">
        <f>VLOOKUP($A320,[1]Table!$A$2:$N1699,L$1,FALSE)</f>
        <v>75</v>
      </c>
      <c r="M320" t="str">
        <f>VLOOKUP($A320,[1]Table!$A$2:$N1699,M$1,FALSE)</f>
        <v>mg</v>
      </c>
      <c r="N320" t="str">
        <f>VLOOKUP($A320,[1]Table!$A$2:$N1699,N$1,FALSE)</f>
        <v xml:space="preserve">Profylaxe van atherotrombotische en trombo-embolische complicaties </v>
      </c>
      <c r="AZ320" t="str">
        <f t="shared" si="132"/>
        <v/>
      </c>
      <c r="BA320" t="str">
        <f t="shared" si="133"/>
        <v/>
      </c>
      <c r="BB320" t="str">
        <f t="shared" si="134"/>
        <v/>
      </c>
      <c r="BC320" t="str">
        <f t="shared" si="135"/>
        <v/>
      </c>
      <c r="BD320" t="str">
        <f t="shared" si="136"/>
        <v/>
      </c>
      <c r="BE320" t="str">
        <f t="shared" si="137"/>
        <v/>
      </c>
      <c r="BF320" t="str">
        <f t="shared" si="138"/>
        <v/>
      </c>
      <c r="BG320" t="str">
        <f t="shared" si="139"/>
        <v/>
      </c>
      <c r="BH320" t="str">
        <f t="shared" si="140"/>
        <v/>
      </c>
      <c r="BI320" t="str">
        <f t="shared" si="141"/>
        <v/>
      </c>
      <c r="BJ320" t="str">
        <f t="shared" si="142"/>
        <v/>
      </c>
      <c r="BK320" t="str">
        <f t="shared" si="143"/>
        <v/>
      </c>
      <c r="BL320" t="str">
        <f t="shared" si="144"/>
        <v/>
      </c>
      <c r="BM320" t="str">
        <f t="shared" si="145"/>
        <v/>
      </c>
      <c r="BN320" t="str">
        <f t="shared" si="146"/>
        <v/>
      </c>
      <c r="BO320" t="str">
        <f t="shared" si="147"/>
        <v/>
      </c>
      <c r="BP320" t="str">
        <f t="shared" si="148"/>
        <v/>
      </c>
      <c r="BQ320" t="str">
        <f t="shared" si="149"/>
        <v/>
      </c>
      <c r="BR320" t="str">
        <f t="shared" si="150"/>
        <v/>
      </c>
      <c r="BS320" t="str">
        <f t="shared" si="151"/>
        <v/>
      </c>
      <c r="BT320" t="str">
        <f t="shared" si="152"/>
        <v/>
      </c>
      <c r="BU320" t="str">
        <f t="shared" si="153"/>
        <v/>
      </c>
    </row>
    <row r="321" spans="1:73">
      <c r="A321" s="17">
        <v>156663</v>
      </c>
      <c r="B321" t="str">
        <f>VLOOKUP($A321,[1]Table!$A$2:$N1700,B$1,FALSE)</f>
        <v>B01AC04</v>
      </c>
      <c r="C321" t="str">
        <f>VLOOKUP($A321,[1]Table!$A$2:$N1700,C$1,FALSE)</f>
        <v>ANTITHROMBOTICA</v>
      </c>
      <c r="D321" t="str">
        <f>VLOOKUP($A321,[1]Table!$A$2:$N1700,D$1,FALSE)</f>
        <v>ANTITHROMBOTICA</v>
      </c>
      <c r="E321" t="str">
        <f>VLOOKUP($A321,[1]Table!$A$2:$N1700,E$1,FALSE)</f>
        <v>CLOPIDOGREL</v>
      </c>
      <c r="F321" t="str">
        <f>VLOOKUP($A321,[1]Table!$A$2:$N1700,F$1,FALSE)</f>
        <v>PLAVIX 300 MG TABLET FILMOMHULD</v>
      </c>
      <c r="G321" t="str">
        <f>VLOOKUP($A321,[1]Table!$A$2:$N1700,G$1,FALSE)</f>
        <v>CLOPIDOGREL 300MG TABLET</v>
      </c>
      <c r="H321" t="str">
        <f>VLOOKUP($A321,[1]Table!$A$2:$N1700,H$1,FALSE)</f>
        <v>tablet</v>
      </c>
      <c r="I321" t="str">
        <f>VLOOKUP($A321,[1]Table!$A$2:$N1700,I$1,FALSE)</f>
        <v>or</v>
      </c>
      <c r="J321">
        <f>VLOOKUP($A321,[1]Table!$A$2:$N1700,J$1,FALSE)</f>
        <v>300</v>
      </c>
      <c r="K321" t="str">
        <f>VLOOKUP($A321,[1]Table!$A$2:$N1700,K$1,FALSE)</f>
        <v>mg/stuk</v>
      </c>
      <c r="L321">
        <f>VLOOKUP($A321,[1]Table!$A$2:$N1700,L$1,FALSE)</f>
        <v>300</v>
      </c>
      <c r="M321" t="str">
        <f>VLOOKUP($A321,[1]Table!$A$2:$N1700,M$1,FALSE)</f>
        <v>mg</v>
      </c>
      <c r="N321" t="str">
        <f>VLOOKUP($A321,[1]Table!$A$2:$N1700,N$1,FALSE)</f>
        <v xml:space="preserve">Profylaxe van atherotrombotische en trombo-embolische complicaties </v>
      </c>
      <c r="AZ321" t="str">
        <f t="shared" si="132"/>
        <v/>
      </c>
      <c r="BA321" t="str">
        <f t="shared" si="133"/>
        <v/>
      </c>
      <c r="BB321" t="str">
        <f t="shared" si="134"/>
        <v/>
      </c>
      <c r="BC321" t="str">
        <f t="shared" si="135"/>
        <v/>
      </c>
      <c r="BD321" t="str">
        <f t="shared" si="136"/>
        <v/>
      </c>
      <c r="BE321" t="str">
        <f t="shared" si="137"/>
        <v/>
      </c>
      <c r="BF321" t="str">
        <f t="shared" si="138"/>
        <v/>
      </c>
      <c r="BG321" t="str">
        <f t="shared" si="139"/>
        <v/>
      </c>
      <c r="BH321" t="str">
        <f t="shared" si="140"/>
        <v/>
      </c>
      <c r="BI321" t="str">
        <f t="shared" si="141"/>
        <v/>
      </c>
      <c r="BJ321" t="str">
        <f t="shared" si="142"/>
        <v/>
      </c>
      <c r="BK321" t="str">
        <f t="shared" si="143"/>
        <v/>
      </c>
      <c r="BL321" t="str">
        <f t="shared" si="144"/>
        <v/>
      </c>
      <c r="BM321" t="str">
        <f t="shared" si="145"/>
        <v/>
      </c>
      <c r="BN321" t="str">
        <f t="shared" si="146"/>
        <v/>
      </c>
      <c r="BO321" t="str">
        <f t="shared" si="147"/>
        <v/>
      </c>
      <c r="BP321" t="str">
        <f t="shared" si="148"/>
        <v/>
      </c>
      <c r="BQ321" t="str">
        <f t="shared" si="149"/>
        <v/>
      </c>
      <c r="BR321" t="str">
        <f t="shared" si="150"/>
        <v/>
      </c>
      <c r="BS321" t="str">
        <f t="shared" si="151"/>
        <v/>
      </c>
      <c r="BT321" t="str">
        <f t="shared" si="152"/>
        <v/>
      </c>
      <c r="BU321" t="str">
        <f t="shared" si="153"/>
        <v/>
      </c>
    </row>
    <row r="322" spans="1:73">
      <c r="A322" s="1">
        <v>10588</v>
      </c>
      <c r="B322" t="str">
        <f>VLOOKUP($A322,[1]Table!$A$2:$N506,B$1,FALSE)</f>
        <v>D01AC01</v>
      </c>
      <c r="C322" t="str">
        <f>VLOOKUP($A322,[1]Table!$A$2:$N506,C$1,FALSE)</f>
        <v>ANTIMYCOTICA VOOR DERMATOLOGISCH GEBRUIK</v>
      </c>
      <c r="D322" t="str">
        <f>VLOOKUP($A322,[1]Table!$A$2:$N506,D$1,FALSE)</f>
        <v>ANTIMYCOTICA, LOKALE</v>
      </c>
      <c r="E322" t="str">
        <f>VLOOKUP($A322,[1]Table!$A$2:$N506,E$1,FALSE)</f>
        <v>CLOTRIMAZOL</v>
      </c>
      <c r="F322" t="str">
        <f>VLOOKUP($A322,[1]Table!$A$2:$N506,F$1,FALSE)</f>
        <v>CANESTEN SKIN 10 MG/G CREME 30 G</v>
      </c>
      <c r="G322" t="str">
        <f>VLOOKUP($A322,[1]Table!$A$2:$N506,G$1,FALSE)</f>
        <v>CLOTRIMAZOL 10MG/G CREME</v>
      </c>
      <c r="H322" t="str">
        <f>VLOOKUP($A322,[1]Table!$A$2:$N506,H$1,FALSE)</f>
        <v>creme</v>
      </c>
      <c r="I322" t="str">
        <f>VLOOKUP($A322,[1]Table!$A$2:$N506,I$1,FALSE)</f>
        <v>cutaan</v>
      </c>
      <c r="J322">
        <f>VLOOKUP($A322,[1]Table!$A$2:$N506,J$1,FALSE)</f>
        <v>10</v>
      </c>
      <c r="K322" t="str">
        <f>VLOOKUP($A322,[1]Table!$A$2:$N506,K$1,FALSE)</f>
        <v>mg/gr</v>
      </c>
      <c r="L322">
        <f>VLOOKUP($A322,[1]Table!$A$2:$N506,L$1,FALSE)</f>
        <v>10</v>
      </c>
      <c r="M322" t="str">
        <f>VLOOKUP($A322,[1]Table!$A$2:$N506,M$1,FALSE)</f>
        <v>mg</v>
      </c>
      <c r="N322" t="str">
        <f>VLOOKUP($A322,[1]Table!$A$2:$N506,N$1,FALSE)</f>
        <v>Voetschimmel</v>
      </c>
      <c r="O322" t="str">
        <f>ConcatenateRange(AZ322:BU322,"||")</f>
        <v/>
      </c>
      <c r="AZ322" t="str">
        <f t="shared" si="132"/>
        <v/>
      </c>
      <c r="BA322" t="str">
        <f t="shared" si="133"/>
        <v/>
      </c>
      <c r="BB322" t="str">
        <f t="shared" si="134"/>
        <v/>
      </c>
      <c r="BC322" t="str">
        <f t="shared" si="135"/>
        <v/>
      </c>
      <c r="BD322" t="str">
        <f t="shared" si="136"/>
        <v/>
      </c>
      <c r="BE322" t="str">
        <f t="shared" si="137"/>
        <v/>
      </c>
      <c r="BF322" t="str">
        <f t="shared" si="138"/>
        <v/>
      </c>
      <c r="BG322" t="str">
        <f t="shared" si="139"/>
        <v/>
      </c>
      <c r="BH322" t="str">
        <f t="shared" si="140"/>
        <v/>
      </c>
      <c r="BI322" t="str">
        <f t="shared" si="141"/>
        <v/>
      </c>
      <c r="BJ322" t="str">
        <f t="shared" si="142"/>
        <v/>
      </c>
      <c r="BK322" t="str">
        <f t="shared" si="143"/>
        <v/>
      </c>
      <c r="BL322" t="str">
        <f t="shared" si="144"/>
        <v/>
      </c>
      <c r="BM322" t="str">
        <f t="shared" si="145"/>
        <v/>
      </c>
      <c r="BN322" t="str">
        <f t="shared" si="146"/>
        <v/>
      </c>
      <c r="BO322" t="str">
        <f t="shared" si="147"/>
        <v/>
      </c>
      <c r="BP322" t="str">
        <f t="shared" si="148"/>
        <v/>
      </c>
      <c r="BQ322" t="str">
        <f t="shared" si="149"/>
        <v/>
      </c>
      <c r="BR322" t="str">
        <f t="shared" si="150"/>
        <v/>
      </c>
      <c r="BS322" t="str">
        <f t="shared" si="151"/>
        <v/>
      </c>
      <c r="BT322" t="str">
        <f t="shared" si="152"/>
        <v/>
      </c>
      <c r="BU322" t="str">
        <f t="shared" si="153"/>
        <v/>
      </c>
    </row>
    <row r="323" spans="1:73">
      <c r="A323" s="1">
        <v>136700</v>
      </c>
      <c r="B323" t="str">
        <f>VLOOKUP($A323,[1]Table!$A$2:$N507,B$1,FALSE)</f>
        <v>N05AH02</v>
      </c>
      <c r="C323" t="str">
        <f>VLOOKUP($A323,[1]Table!$A$2:$N507,C$1,FALSE)</f>
        <v>PSYCHOLEPTICA</v>
      </c>
      <c r="D323" t="str">
        <f>VLOOKUP($A323,[1]Table!$A$2:$N507,D$1,FALSE)</f>
        <v>ANTIPSYCHOTICA</v>
      </c>
      <c r="E323" t="str">
        <f>VLOOKUP($A323,[1]Table!$A$2:$N507,E$1,FALSE)</f>
        <v>CLOZAPINE</v>
      </c>
      <c r="F323" t="str">
        <f>VLOOKUP($A323,[1]Table!$A$2:$N507,F$1,FALSE)</f>
        <v>CLOZAPINE 25 MG/ML 300 ML DRANK</v>
      </c>
      <c r="G323" t="str">
        <f>VLOOKUP($A323,[1]Table!$A$2:$N507,G$1,FALSE)</f>
        <v>CLOZAPINE 25MG/ML DRANK</v>
      </c>
      <c r="H323" t="str">
        <f>VLOOKUP($A323,[1]Table!$A$2:$N507,H$1,FALSE)</f>
        <v>drank</v>
      </c>
      <c r="I323" t="str">
        <f>VLOOKUP($A323,[1]Table!$A$2:$N507,I$1,FALSE)</f>
        <v>or</v>
      </c>
      <c r="J323">
        <f>VLOOKUP($A323,[1]Table!$A$2:$N507,J$1,FALSE)</f>
        <v>25</v>
      </c>
      <c r="K323" t="str">
        <f>VLOOKUP($A323,[1]Table!$A$2:$N507,K$1,FALSE)</f>
        <v>mg/ml</v>
      </c>
      <c r="L323">
        <f>VLOOKUP($A323,[1]Table!$A$2:$N507,L$1,FALSE)</f>
        <v>25</v>
      </c>
      <c r="M323" t="str">
        <f>VLOOKUP($A323,[1]Table!$A$2:$N507,M$1,FALSE)</f>
        <v>mg</v>
      </c>
      <c r="N323" t="str">
        <f>VLOOKUP($A323,[1]Table!$A$2:$N507,N$1,FALSE)</f>
        <v xml:space="preserve">Therapieresistente psychose </v>
      </c>
      <c r="O323" t="str">
        <f>ConcatenateRange(AZ323:BU323,"||")</f>
        <v/>
      </c>
      <c r="AZ323" t="str">
        <f t="shared" si="132"/>
        <v/>
      </c>
      <c r="BA323" t="str">
        <f t="shared" si="133"/>
        <v/>
      </c>
      <c r="BB323" t="str">
        <f t="shared" si="134"/>
        <v/>
      </c>
      <c r="BC323" t="str">
        <f t="shared" si="135"/>
        <v/>
      </c>
      <c r="BD323" t="str">
        <f t="shared" si="136"/>
        <v/>
      </c>
      <c r="BE323" t="str">
        <f t="shared" si="137"/>
        <v/>
      </c>
      <c r="BF323" t="str">
        <f t="shared" si="138"/>
        <v/>
      </c>
      <c r="BG323" t="str">
        <f t="shared" si="139"/>
        <v/>
      </c>
      <c r="BH323" t="str">
        <f t="shared" si="140"/>
        <v/>
      </c>
      <c r="BI323" t="str">
        <f t="shared" si="141"/>
        <v/>
      </c>
      <c r="BJ323" t="str">
        <f t="shared" si="142"/>
        <v/>
      </c>
      <c r="BK323" t="str">
        <f t="shared" si="143"/>
        <v/>
      </c>
      <c r="BL323" t="str">
        <f t="shared" si="144"/>
        <v/>
      </c>
      <c r="BM323" t="str">
        <f t="shared" si="145"/>
        <v/>
      </c>
      <c r="BN323" t="str">
        <f t="shared" si="146"/>
        <v/>
      </c>
      <c r="BO323" t="str">
        <f t="shared" si="147"/>
        <v/>
      </c>
      <c r="BP323" t="str">
        <f t="shared" si="148"/>
        <v/>
      </c>
      <c r="BQ323" t="str">
        <f t="shared" si="149"/>
        <v/>
      </c>
      <c r="BR323" t="str">
        <f t="shared" si="150"/>
        <v/>
      </c>
      <c r="BS323" t="str">
        <f t="shared" si="151"/>
        <v/>
      </c>
      <c r="BT323" t="str">
        <f t="shared" si="152"/>
        <v/>
      </c>
      <c r="BU323" t="str">
        <f t="shared" si="153"/>
        <v/>
      </c>
    </row>
    <row r="324" spans="1:73">
      <c r="A324" s="1">
        <v>149721</v>
      </c>
      <c r="B324" t="str">
        <f>VLOOKUP($A324,[1]Table!$A$2:$N508,B$1,FALSE)</f>
        <v>N05AH02</v>
      </c>
      <c r="C324" t="str">
        <f>VLOOKUP($A324,[1]Table!$A$2:$N508,C$1,FALSE)</f>
        <v>PSYCHOLEPTICA</v>
      </c>
      <c r="D324" t="str">
        <f>VLOOKUP($A324,[1]Table!$A$2:$N508,D$1,FALSE)</f>
        <v>ANTIPSYCHOTICA</v>
      </c>
      <c r="E324" t="str">
        <f>VLOOKUP($A324,[1]Table!$A$2:$N508,E$1,FALSE)</f>
        <v>CLOZAPINE</v>
      </c>
      <c r="F324" t="str">
        <f>VLOOKUP($A324,[1]Table!$A$2:$N508,F$1,FALSE)</f>
        <v>CLOZAPINE 25 MG/ ML AMPUL 5 ML</v>
      </c>
      <c r="G324" t="str">
        <f>VLOOKUP($A324,[1]Table!$A$2:$N508,G$1,FALSE)</f>
        <v>CLOZAPINE 25MG/ML INJVLST</v>
      </c>
      <c r="H324" t="str">
        <f>VLOOKUP($A324,[1]Table!$A$2:$N508,H$1,FALSE)</f>
        <v>injectievloeistof</v>
      </c>
      <c r="I324" t="str">
        <f>VLOOKUP($A324,[1]Table!$A$2:$N508,I$1,FALSE)</f>
        <v>im</v>
      </c>
      <c r="J324">
        <f>VLOOKUP($A324,[1]Table!$A$2:$N508,J$1,FALSE)</f>
        <v>25</v>
      </c>
      <c r="K324" t="str">
        <f>VLOOKUP($A324,[1]Table!$A$2:$N508,K$1,FALSE)</f>
        <v>mg/ml</v>
      </c>
      <c r="L324">
        <f>VLOOKUP($A324,[1]Table!$A$2:$N508,L$1,FALSE)</f>
        <v>25</v>
      </c>
      <c r="M324" t="str">
        <f>VLOOKUP($A324,[1]Table!$A$2:$N508,M$1,FALSE)</f>
        <v>mg</v>
      </c>
      <c r="N324" t="str">
        <f>VLOOKUP($A324,[1]Table!$A$2:$N508,N$1,FALSE)</f>
        <v xml:space="preserve">Therapieresistente psychose </v>
      </c>
      <c r="O324" t="str">
        <f>ConcatenateRange(AZ324:BU324,"||")</f>
        <v/>
      </c>
      <c r="AZ324" t="str">
        <f t="shared" si="132"/>
        <v/>
      </c>
      <c r="BA324" t="str">
        <f t="shared" si="133"/>
        <v/>
      </c>
      <c r="BB324" t="str">
        <f t="shared" si="134"/>
        <v/>
      </c>
      <c r="BC324" t="str">
        <f t="shared" si="135"/>
        <v/>
      </c>
      <c r="BD324" t="str">
        <f t="shared" si="136"/>
        <v/>
      </c>
      <c r="BE324" t="str">
        <f t="shared" si="137"/>
        <v/>
      </c>
      <c r="BF324" t="str">
        <f t="shared" si="138"/>
        <v/>
      </c>
      <c r="BG324" t="str">
        <f t="shared" si="139"/>
        <v/>
      </c>
      <c r="BH324" t="str">
        <f t="shared" si="140"/>
        <v/>
      </c>
      <c r="BI324" t="str">
        <f t="shared" si="141"/>
        <v/>
      </c>
      <c r="BJ324" t="str">
        <f t="shared" si="142"/>
        <v/>
      </c>
      <c r="BK324" t="str">
        <f t="shared" si="143"/>
        <v/>
      </c>
      <c r="BL324" t="str">
        <f t="shared" si="144"/>
        <v/>
      </c>
      <c r="BM324" t="str">
        <f t="shared" si="145"/>
        <v/>
      </c>
      <c r="BN324" t="str">
        <f t="shared" si="146"/>
        <v/>
      </c>
      <c r="BO324" t="str">
        <f t="shared" si="147"/>
        <v/>
      </c>
      <c r="BP324" t="str">
        <f t="shared" si="148"/>
        <v/>
      </c>
      <c r="BQ324" t="str">
        <f t="shared" si="149"/>
        <v/>
      </c>
      <c r="BR324" t="str">
        <f t="shared" si="150"/>
        <v/>
      </c>
      <c r="BS324" t="str">
        <f t="shared" si="151"/>
        <v/>
      </c>
      <c r="BT324" t="str">
        <f t="shared" si="152"/>
        <v/>
      </c>
      <c r="BU324" t="str">
        <f t="shared" si="153"/>
        <v/>
      </c>
    </row>
    <row r="325" spans="1:73">
      <c r="A325" s="1">
        <v>66508</v>
      </c>
      <c r="B325" t="str">
        <f>VLOOKUP($A325,[1]Table!$A$2:$N509,B$1,FALSE)</f>
        <v>N05AH02</v>
      </c>
      <c r="C325" t="str">
        <f>VLOOKUP($A325,[1]Table!$A$2:$N509,C$1,FALSE)</f>
        <v>PSYCHOLEPTICA</v>
      </c>
      <c r="D325" t="str">
        <f>VLOOKUP($A325,[1]Table!$A$2:$N509,D$1,FALSE)</f>
        <v>ANTIPSYCHOTICA</v>
      </c>
      <c r="E325" t="str">
        <f>VLOOKUP($A325,[1]Table!$A$2:$N509,E$1,FALSE)</f>
        <v>CLOZAPINE</v>
      </c>
      <c r="F325" t="str">
        <f>VLOOKUP($A325,[1]Table!$A$2:$N509,F$1,FALSE)</f>
        <v>CLOZAPINE 25 MG TABLET</v>
      </c>
      <c r="G325" t="str">
        <f>VLOOKUP($A325,[1]Table!$A$2:$N509,G$1,FALSE)</f>
        <v>CLOZAPINE 25MG TABLET</v>
      </c>
      <c r="H325" t="str">
        <f>VLOOKUP($A325,[1]Table!$A$2:$N509,H$1,FALSE)</f>
        <v>tablet</v>
      </c>
      <c r="I325" t="str">
        <f>VLOOKUP($A325,[1]Table!$A$2:$N509,I$1,FALSE)</f>
        <v>or</v>
      </c>
      <c r="J325">
        <f>VLOOKUP($A325,[1]Table!$A$2:$N509,J$1,FALSE)</f>
        <v>25</v>
      </c>
      <c r="K325" t="str">
        <f>VLOOKUP($A325,[1]Table!$A$2:$N509,K$1,FALSE)</f>
        <v>mg/stuk</v>
      </c>
      <c r="L325">
        <f>VLOOKUP($A325,[1]Table!$A$2:$N509,L$1,FALSE)</f>
        <v>12.5</v>
      </c>
      <c r="M325" t="str">
        <f>VLOOKUP($A325,[1]Table!$A$2:$N509,M$1,FALSE)</f>
        <v>mg</v>
      </c>
      <c r="N325" t="str">
        <f>VLOOKUP($A325,[1]Table!$A$2:$N509,N$1,FALSE)</f>
        <v xml:space="preserve">Therapieresistente psychose </v>
      </c>
      <c r="O325" t="str">
        <f>ConcatenateRange(AZ325:BU325,"||")</f>
        <v/>
      </c>
      <c r="AZ325" t="str">
        <f t="shared" si="132"/>
        <v/>
      </c>
      <c r="BA325" t="str">
        <f t="shared" si="133"/>
        <v/>
      </c>
      <c r="BB325" t="str">
        <f t="shared" si="134"/>
        <v/>
      </c>
      <c r="BC325" t="str">
        <f t="shared" si="135"/>
        <v/>
      </c>
      <c r="BD325" t="str">
        <f t="shared" si="136"/>
        <v/>
      </c>
      <c r="BE325" t="str">
        <f t="shared" si="137"/>
        <v/>
      </c>
      <c r="BF325" t="str">
        <f t="shared" si="138"/>
        <v/>
      </c>
      <c r="BG325" t="str">
        <f t="shared" si="139"/>
        <v/>
      </c>
      <c r="BH325" t="str">
        <f t="shared" si="140"/>
        <v/>
      </c>
      <c r="BI325" t="str">
        <f t="shared" si="141"/>
        <v/>
      </c>
      <c r="BJ325" t="str">
        <f t="shared" si="142"/>
        <v/>
      </c>
      <c r="BK325" t="str">
        <f t="shared" si="143"/>
        <v/>
      </c>
      <c r="BL325" t="str">
        <f t="shared" si="144"/>
        <v/>
      </c>
      <c r="BM325" t="str">
        <f t="shared" si="145"/>
        <v/>
      </c>
      <c r="BN325" t="str">
        <f t="shared" si="146"/>
        <v/>
      </c>
      <c r="BO325" t="str">
        <f t="shared" si="147"/>
        <v/>
      </c>
      <c r="BP325" t="str">
        <f t="shared" si="148"/>
        <v/>
      </c>
      <c r="BQ325" t="str">
        <f t="shared" si="149"/>
        <v/>
      </c>
      <c r="BR325" t="str">
        <f t="shared" si="150"/>
        <v/>
      </c>
      <c r="BS325" t="str">
        <f t="shared" si="151"/>
        <v/>
      </c>
      <c r="BT325" t="str">
        <f t="shared" si="152"/>
        <v/>
      </c>
      <c r="BU325" t="str">
        <f t="shared" si="153"/>
        <v/>
      </c>
    </row>
    <row r="326" spans="1:73">
      <c r="A326" s="1">
        <v>66516</v>
      </c>
      <c r="B326" t="str">
        <f>VLOOKUP($A326,[1]Table!$A$2:$N510,B$1,FALSE)</f>
        <v>N05AH02</v>
      </c>
      <c r="C326" t="str">
        <f>VLOOKUP($A326,[1]Table!$A$2:$N510,C$1,FALSE)</f>
        <v>PSYCHOLEPTICA</v>
      </c>
      <c r="D326" t="str">
        <f>VLOOKUP($A326,[1]Table!$A$2:$N510,D$1,FALSE)</f>
        <v>ANTIPSYCHOTICA</v>
      </c>
      <c r="E326" t="str">
        <f>VLOOKUP($A326,[1]Table!$A$2:$N510,E$1,FALSE)</f>
        <v>CLOZAPINE</v>
      </c>
      <c r="F326" t="str">
        <f>VLOOKUP($A326,[1]Table!$A$2:$N510,F$1,FALSE)</f>
        <v>CLOZAPINE 100 MG TABLET</v>
      </c>
      <c r="G326" t="str">
        <f>VLOOKUP($A326,[1]Table!$A$2:$N510,G$1,FALSE)</f>
        <v>CLOZAPINE 100MG TABLET</v>
      </c>
      <c r="H326" t="str">
        <f>VLOOKUP($A326,[1]Table!$A$2:$N510,H$1,FALSE)</f>
        <v>tablet</v>
      </c>
      <c r="I326" t="str">
        <f>VLOOKUP($A326,[1]Table!$A$2:$N510,I$1,FALSE)</f>
        <v>or</v>
      </c>
      <c r="J326">
        <f>VLOOKUP($A326,[1]Table!$A$2:$N510,J$1,FALSE)</f>
        <v>100</v>
      </c>
      <c r="K326" t="str">
        <f>VLOOKUP($A326,[1]Table!$A$2:$N510,K$1,FALSE)</f>
        <v>mg/stuk</v>
      </c>
      <c r="L326">
        <f>VLOOKUP($A326,[1]Table!$A$2:$N510,L$1,FALSE)</f>
        <v>100</v>
      </c>
      <c r="M326" t="str">
        <f>VLOOKUP($A326,[1]Table!$A$2:$N510,M$1,FALSE)</f>
        <v>mg</v>
      </c>
      <c r="N326" t="str">
        <f>VLOOKUP($A326,[1]Table!$A$2:$N510,N$1,FALSE)</f>
        <v xml:space="preserve">Therapieresistente psychose </v>
      </c>
      <c r="O326" t="str">
        <f>ConcatenateRange(AZ326:BU326,"||")</f>
        <v/>
      </c>
      <c r="AZ326" t="str">
        <f t="shared" si="132"/>
        <v/>
      </c>
      <c r="BA326" t="str">
        <f t="shared" si="133"/>
        <v/>
      </c>
      <c r="BB326" t="str">
        <f t="shared" si="134"/>
        <v/>
      </c>
      <c r="BC326" t="str">
        <f t="shared" si="135"/>
        <v/>
      </c>
      <c r="BD326" t="str">
        <f t="shared" si="136"/>
        <v/>
      </c>
      <c r="BE326" t="str">
        <f t="shared" si="137"/>
        <v/>
      </c>
      <c r="BF326" t="str">
        <f t="shared" si="138"/>
        <v/>
      </c>
      <c r="BG326" t="str">
        <f t="shared" si="139"/>
        <v/>
      </c>
      <c r="BH326" t="str">
        <f t="shared" si="140"/>
        <v/>
      </c>
      <c r="BI326" t="str">
        <f t="shared" si="141"/>
        <v/>
      </c>
      <c r="BJ326" t="str">
        <f t="shared" si="142"/>
        <v/>
      </c>
      <c r="BK326" t="str">
        <f t="shared" si="143"/>
        <v/>
      </c>
      <c r="BL326" t="str">
        <f t="shared" si="144"/>
        <v/>
      </c>
      <c r="BM326" t="str">
        <f t="shared" si="145"/>
        <v/>
      </c>
      <c r="BN326" t="str">
        <f t="shared" si="146"/>
        <v/>
      </c>
      <c r="BO326" t="str">
        <f t="shared" si="147"/>
        <v/>
      </c>
      <c r="BP326" t="str">
        <f t="shared" si="148"/>
        <v/>
      </c>
      <c r="BQ326" t="str">
        <f t="shared" si="149"/>
        <v/>
      </c>
      <c r="BR326" t="str">
        <f t="shared" si="150"/>
        <v/>
      </c>
      <c r="BS326" t="str">
        <f t="shared" si="151"/>
        <v/>
      </c>
      <c r="BT326" t="str">
        <f t="shared" si="152"/>
        <v/>
      </c>
      <c r="BU326" t="str">
        <f t="shared" si="153"/>
        <v/>
      </c>
    </row>
    <row r="327" spans="1:73">
      <c r="A327" s="1">
        <v>128392</v>
      </c>
      <c r="B327" t="str">
        <f>VLOOKUP($A327,[1]Table!$A$2:$N511,B$1,FALSE)</f>
        <v>N05AH02</v>
      </c>
      <c r="C327" t="str">
        <f>VLOOKUP($A327,[1]Table!$A$2:$N511,C$1,FALSE)</f>
        <v>PSYCHOLEPTICA</v>
      </c>
      <c r="D327" t="str">
        <f>VLOOKUP($A327,[1]Table!$A$2:$N511,D$1,FALSE)</f>
        <v>ANTIPSYCHOTICA</v>
      </c>
      <c r="E327" t="str">
        <f>VLOOKUP($A327,[1]Table!$A$2:$N511,E$1,FALSE)</f>
        <v>CLOZAPINE</v>
      </c>
      <c r="F327" t="str">
        <f>VLOOKUP($A327,[1]Table!$A$2:$N511,F$1,FALSE)</f>
        <v>CLOZAPINE 200 MG TABLET</v>
      </c>
      <c r="G327" t="str">
        <f>VLOOKUP($A327,[1]Table!$A$2:$N511,G$1,FALSE)</f>
        <v>CLOZAPINE 200MG TABLET</v>
      </c>
      <c r="H327" t="str">
        <f>VLOOKUP($A327,[1]Table!$A$2:$N511,H$1,FALSE)</f>
        <v>tablet</v>
      </c>
      <c r="I327" t="str">
        <f>VLOOKUP($A327,[1]Table!$A$2:$N511,I$1,FALSE)</f>
        <v>or</v>
      </c>
      <c r="J327">
        <f>VLOOKUP($A327,[1]Table!$A$2:$N511,J$1,FALSE)</f>
        <v>200</v>
      </c>
      <c r="K327" t="str">
        <f>VLOOKUP($A327,[1]Table!$A$2:$N511,K$1,FALSE)</f>
        <v>mg/stuk</v>
      </c>
      <c r="L327">
        <f>VLOOKUP($A327,[1]Table!$A$2:$N511,L$1,FALSE)</f>
        <v>200</v>
      </c>
      <c r="M327" t="str">
        <f>VLOOKUP($A327,[1]Table!$A$2:$N511,M$1,FALSE)</f>
        <v>mg</v>
      </c>
      <c r="N327" t="str">
        <f>VLOOKUP($A327,[1]Table!$A$2:$N511,N$1,FALSE)</f>
        <v xml:space="preserve">Therapieresistente psychose </v>
      </c>
      <c r="O327" t="str">
        <f>ConcatenateRange(AZ327:BU327,"||")</f>
        <v/>
      </c>
      <c r="AZ327" t="str">
        <f t="shared" si="132"/>
        <v/>
      </c>
      <c r="BA327" t="str">
        <f t="shared" si="133"/>
        <v/>
      </c>
      <c r="BB327" t="str">
        <f t="shared" si="134"/>
        <v/>
      </c>
      <c r="BC327" t="str">
        <f t="shared" si="135"/>
        <v/>
      </c>
      <c r="BD327" t="str">
        <f t="shared" si="136"/>
        <v/>
      </c>
      <c r="BE327" t="str">
        <f t="shared" si="137"/>
        <v/>
      </c>
      <c r="BF327" t="str">
        <f t="shared" si="138"/>
        <v/>
      </c>
      <c r="BG327" t="str">
        <f t="shared" si="139"/>
        <v/>
      </c>
      <c r="BH327" t="str">
        <f t="shared" si="140"/>
        <v/>
      </c>
      <c r="BI327" t="str">
        <f t="shared" si="141"/>
        <v/>
      </c>
      <c r="BJ327" t="str">
        <f t="shared" si="142"/>
        <v/>
      </c>
      <c r="BK327" t="str">
        <f t="shared" si="143"/>
        <v/>
      </c>
      <c r="BL327" t="str">
        <f t="shared" si="144"/>
        <v/>
      </c>
      <c r="BM327" t="str">
        <f t="shared" si="145"/>
        <v/>
      </c>
      <c r="BN327" t="str">
        <f t="shared" si="146"/>
        <v/>
      </c>
      <c r="BO327" t="str">
        <f t="shared" si="147"/>
        <v/>
      </c>
      <c r="BP327" t="str">
        <f t="shared" si="148"/>
        <v/>
      </c>
      <c r="BQ327" t="str">
        <f t="shared" si="149"/>
        <v/>
      </c>
      <c r="BR327" t="str">
        <f t="shared" si="150"/>
        <v/>
      </c>
      <c r="BS327" t="str">
        <f t="shared" si="151"/>
        <v/>
      </c>
      <c r="BT327" t="str">
        <f t="shared" si="152"/>
        <v/>
      </c>
      <c r="BU327" t="str">
        <f t="shared" si="153"/>
        <v/>
      </c>
    </row>
    <row r="328" spans="1:73">
      <c r="A328" s="1">
        <v>23086</v>
      </c>
      <c r="B328" t="str">
        <f>VLOOKUP($A328,[1]Table!$A$2:$N512,B$1,FALSE)</f>
        <v>R05DA04</v>
      </c>
      <c r="C328" t="str">
        <f>VLOOKUP($A328,[1]Table!$A$2:$N512,C$1,FALSE)</f>
        <v>HOEST- EN VERKOUDHEIDSMIDDELEN</v>
      </c>
      <c r="D328" t="str">
        <f>VLOOKUP($A328,[1]Table!$A$2:$N512,D$1,FALSE)</f>
        <v>HOESTPRIKKELDEMP.MIDD., EXCL COMB.PREP. MET EXPECTORANTIA</v>
      </c>
      <c r="E328" t="str">
        <f>VLOOKUP($A328,[1]Table!$A$2:$N512,E$1,FALSE)</f>
        <v>CODEINE</v>
      </c>
      <c r="F328" t="str">
        <f>VLOOKUP($A328,[1]Table!$A$2:$N512,F$1,FALSE)</f>
        <v>CODEINE FOSFAAT 10 MG TABLET</v>
      </c>
      <c r="G328" t="str">
        <f>VLOOKUP($A328,[1]Table!$A$2:$N512,G$1,FALSE)</f>
        <v>CODEINE 10MG TABLET (FOSF)</v>
      </c>
      <c r="H328" t="str">
        <f>VLOOKUP($A328,[1]Table!$A$2:$N512,H$1,FALSE)</f>
        <v>tablet</v>
      </c>
      <c r="I328" t="str">
        <f>VLOOKUP($A328,[1]Table!$A$2:$N512,I$1,FALSE)</f>
        <v>or</v>
      </c>
      <c r="J328">
        <f>VLOOKUP($A328,[1]Table!$A$2:$N512,J$1,FALSE)</f>
        <v>10</v>
      </c>
      <c r="K328" t="str">
        <f>VLOOKUP($A328,[1]Table!$A$2:$N512,K$1,FALSE)</f>
        <v>mg/stuk</v>
      </c>
      <c r="L328">
        <f>VLOOKUP($A328,[1]Table!$A$2:$N512,L$1,FALSE)</f>
        <v>5</v>
      </c>
      <c r="M328" t="str">
        <f>VLOOKUP($A328,[1]Table!$A$2:$N512,M$1,FALSE)</f>
        <v>mg</v>
      </c>
      <c r="N328" t="str">
        <f>VLOOKUP($A328,[1]Table!$A$2:$N512,N$1,FALSE)</f>
        <v>Chronische pijn||Hoest</v>
      </c>
      <c r="O328" t="str">
        <f>ConcatenateRange(AZ328:BU328,"||")</f>
        <v/>
      </c>
      <c r="AZ328" t="str">
        <f t="shared" si="132"/>
        <v/>
      </c>
      <c r="BA328" t="str">
        <f t="shared" si="133"/>
        <v/>
      </c>
      <c r="BB328" t="str">
        <f t="shared" si="134"/>
        <v/>
      </c>
      <c r="BC328" t="str">
        <f t="shared" si="135"/>
        <v/>
      </c>
      <c r="BD328" t="str">
        <f t="shared" si="136"/>
        <v/>
      </c>
      <c r="BE328" t="str">
        <f t="shared" si="137"/>
        <v/>
      </c>
      <c r="BF328" t="str">
        <f t="shared" si="138"/>
        <v/>
      </c>
      <c r="BG328" t="str">
        <f t="shared" si="139"/>
        <v/>
      </c>
      <c r="BH328" t="str">
        <f t="shared" si="140"/>
        <v/>
      </c>
      <c r="BI328" t="str">
        <f t="shared" si="141"/>
        <v/>
      </c>
      <c r="BJ328" t="str">
        <f t="shared" si="142"/>
        <v/>
      </c>
      <c r="BK328" t="str">
        <f t="shared" si="143"/>
        <v/>
      </c>
      <c r="BL328" t="str">
        <f t="shared" si="144"/>
        <v/>
      </c>
      <c r="BM328" t="str">
        <f t="shared" si="145"/>
        <v/>
      </c>
      <c r="BN328" t="str">
        <f t="shared" si="146"/>
        <v/>
      </c>
      <c r="BO328" t="str">
        <f t="shared" si="147"/>
        <v/>
      </c>
      <c r="BP328" t="str">
        <f t="shared" si="148"/>
        <v/>
      </c>
      <c r="BQ328" t="str">
        <f t="shared" si="149"/>
        <v/>
      </c>
      <c r="BR328" t="str">
        <f t="shared" si="150"/>
        <v/>
      </c>
      <c r="BS328" t="str">
        <f t="shared" si="151"/>
        <v/>
      </c>
      <c r="BT328" t="str">
        <f t="shared" si="152"/>
        <v/>
      </c>
      <c r="BU328" t="str">
        <f t="shared" si="153"/>
        <v/>
      </c>
    </row>
    <row r="329" spans="1:73">
      <c r="A329" s="1">
        <v>23094</v>
      </c>
      <c r="B329" t="str">
        <f>VLOOKUP($A329,[1]Table!$A$2:$N513,B$1,FALSE)</f>
        <v>R05DA04</v>
      </c>
      <c r="C329" t="str">
        <f>VLOOKUP($A329,[1]Table!$A$2:$N513,C$1,FALSE)</f>
        <v>HOEST- EN VERKOUDHEIDSMIDDELEN</v>
      </c>
      <c r="D329" t="str">
        <f>VLOOKUP($A329,[1]Table!$A$2:$N513,D$1,FALSE)</f>
        <v>HOESTPRIKKELDEMP.MIDD., EXCL COMB.PREP. MET EXPECTORANTIA</v>
      </c>
      <c r="E329" t="str">
        <f>VLOOKUP($A329,[1]Table!$A$2:$N513,E$1,FALSE)</f>
        <v>CODEINE</v>
      </c>
      <c r="F329" t="str">
        <f>VLOOKUP($A329,[1]Table!$A$2:$N513,F$1,FALSE)</f>
        <v>CODEINE FOSFAAT 20 MG TABLET</v>
      </c>
      <c r="G329" t="str">
        <f>VLOOKUP($A329,[1]Table!$A$2:$N513,G$1,FALSE)</f>
        <v>CODEINE 20MG TABLET (FOSF)</v>
      </c>
      <c r="H329" t="str">
        <f>VLOOKUP($A329,[1]Table!$A$2:$N513,H$1,FALSE)</f>
        <v>tablet</v>
      </c>
      <c r="I329" t="str">
        <f>VLOOKUP($A329,[1]Table!$A$2:$N513,I$1,FALSE)</f>
        <v>or</v>
      </c>
      <c r="J329">
        <f>VLOOKUP($A329,[1]Table!$A$2:$N513,J$1,FALSE)</f>
        <v>20</v>
      </c>
      <c r="K329" t="str">
        <f>VLOOKUP($A329,[1]Table!$A$2:$N513,K$1,FALSE)</f>
        <v>mg/stuk</v>
      </c>
      <c r="L329">
        <f>VLOOKUP($A329,[1]Table!$A$2:$N513,L$1,FALSE)</f>
        <v>10</v>
      </c>
      <c r="M329" t="str">
        <f>VLOOKUP($A329,[1]Table!$A$2:$N513,M$1,FALSE)</f>
        <v>mg</v>
      </c>
      <c r="N329" t="str">
        <f>VLOOKUP($A329,[1]Table!$A$2:$N513,N$1,FALSE)</f>
        <v>Chronische pijn||Hoest</v>
      </c>
      <c r="O329" t="str">
        <f>ConcatenateRange(AZ329:BU329,"||")</f>
        <v/>
      </c>
      <c r="AZ329" t="str">
        <f t="shared" si="132"/>
        <v/>
      </c>
      <c r="BA329" t="str">
        <f t="shared" si="133"/>
        <v/>
      </c>
      <c r="BB329" t="str">
        <f t="shared" si="134"/>
        <v/>
      </c>
      <c r="BC329" t="str">
        <f t="shared" si="135"/>
        <v/>
      </c>
      <c r="BD329" t="str">
        <f t="shared" si="136"/>
        <v/>
      </c>
      <c r="BE329" t="str">
        <f t="shared" si="137"/>
        <v/>
      </c>
      <c r="BF329" t="str">
        <f t="shared" si="138"/>
        <v/>
      </c>
      <c r="BG329" t="str">
        <f t="shared" si="139"/>
        <v/>
      </c>
      <c r="BH329" t="str">
        <f t="shared" si="140"/>
        <v/>
      </c>
      <c r="BI329" t="str">
        <f t="shared" si="141"/>
        <v/>
      </c>
      <c r="BJ329" t="str">
        <f t="shared" si="142"/>
        <v/>
      </c>
      <c r="BK329" t="str">
        <f t="shared" si="143"/>
        <v/>
      </c>
      <c r="BL329" t="str">
        <f t="shared" si="144"/>
        <v/>
      </c>
      <c r="BM329" t="str">
        <f t="shared" si="145"/>
        <v/>
      </c>
      <c r="BN329" t="str">
        <f t="shared" si="146"/>
        <v/>
      </c>
      <c r="BO329" t="str">
        <f t="shared" si="147"/>
        <v/>
      </c>
      <c r="BP329" t="str">
        <f t="shared" si="148"/>
        <v/>
      </c>
      <c r="BQ329" t="str">
        <f t="shared" si="149"/>
        <v/>
      </c>
      <c r="BR329" t="str">
        <f t="shared" si="150"/>
        <v/>
      </c>
      <c r="BS329" t="str">
        <f t="shared" si="151"/>
        <v/>
      </c>
      <c r="BT329" t="str">
        <f t="shared" si="152"/>
        <v/>
      </c>
      <c r="BU329" t="str">
        <f t="shared" si="153"/>
        <v/>
      </c>
    </row>
    <row r="330" spans="1:73">
      <c r="A330" s="15">
        <v>121576</v>
      </c>
      <c r="B330" t="str">
        <f>VLOOKUP($A330,[1]Table!$A$2:$N1722,B$1,FALSE)</f>
        <v>N06BC01</v>
      </c>
      <c r="C330" t="str">
        <f>VLOOKUP($A330,[1]Table!$A$2:$N1722,C$1,FALSE)</f>
        <v>PSYCHOSTIMULANTIA, OVERIG</v>
      </c>
      <c r="D330" t="str">
        <f>VLOOKUP($A330,[1]Table!$A$2:$N1722,D$1,FALSE)</f>
        <v>PSYCHOSTIMULANTIA, OVERIG</v>
      </c>
      <c r="E330" t="str">
        <f>VLOOKUP($A330,[1]Table!$A$2:$N1722,E$1,FALSE)</f>
        <v>COFFEINE</v>
      </c>
      <c r="F330" t="str">
        <f>VLOOKUP($A330,[1]Table!$A$2:$N1722,F$1,FALSE)</f>
        <v>COFFEINE 10 MG/ML AMPUL 1 ML</v>
      </c>
      <c r="G330" t="str">
        <f>VLOOKUP($A330,[1]Table!$A$2:$N1722,G$1,FALSE)</f>
        <v>COFFEINE 10MG/ML INJVLST</v>
      </c>
      <c r="H330" t="str">
        <f>VLOOKUP($A330,[1]Table!$A$2:$N1722,H$1,FALSE)</f>
        <v>ampul</v>
      </c>
      <c r="I330" t="str">
        <f>VLOOKUP($A330,[1]Table!$A$2:$N1722,I$1,FALSE)</f>
        <v>iv</v>
      </c>
      <c r="J330">
        <f>VLOOKUP($A330,[1]Table!$A$2:$N1722,J$1,FALSE)</f>
        <v>10</v>
      </c>
      <c r="K330" t="str">
        <f>VLOOKUP($A330,[1]Table!$A$2:$N1722,K$1,FALSE)</f>
        <v>mg/ml</v>
      </c>
      <c r="L330">
        <f>VLOOKUP($A330,[1]Table!$A$2:$N1722,L$1,FALSE)</f>
        <v>1</v>
      </c>
      <c r="M330" t="str">
        <f>VLOOKUP($A330,[1]Table!$A$2:$N1722,M$1,FALSE)</f>
        <v>mg</v>
      </c>
      <c r="N330" t="str">
        <f>VLOOKUP($A330,[1]Table!$A$2:$N1722,N$1,FALSE)</f>
        <v>Neonatale apneu</v>
      </c>
      <c r="AZ330" t="str">
        <f t="shared" si="132"/>
        <v/>
      </c>
      <c r="BA330" t="str">
        <f t="shared" si="133"/>
        <v/>
      </c>
      <c r="BB330" t="str">
        <f t="shared" si="134"/>
        <v/>
      </c>
      <c r="BC330" t="str">
        <f t="shared" si="135"/>
        <v/>
      </c>
      <c r="BD330" t="str">
        <f t="shared" si="136"/>
        <v/>
      </c>
      <c r="BE330" t="str">
        <f t="shared" si="137"/>
        <v/>
      </c>
      <c r="BF330" t="str">
        <f t="shared" si="138"/>
        <v/>
      </c>
      <c r="BG330" t="str">
        <f t="shared" si="139"/>
        <v/>
      </c>
      <c r="BH330" t="str">
        <f t="shared" si="140"/>
        <v/>
      </c>
      <c r="BI330" t="str">
        <f t="shared" si="141"/>
        <v/>
      </c>
      <c r="BJ330" t="str">
        <f t="shared" si="142"/>
        <v/>
      </c>
      <c r="BK330" t="str">
        <f t="shared" si="143"/>
        <v/>
      </c>
      <c r="BL330" t="str">
        <f t="shared" si="144"/>
        <v/>
      </c>
      <c r="BM330" t="str">
        <f t="shared" si="145"/>
        <v/>
      </c>
      <c r="BN330" t="str">
        <f t="shared" si="146"/>
        <v/>
      </c>
      <c r="BO330" t="str">
        <f t="shared" si="147"/>
        <v/>
      </c>
      <c r="BP330" t="str">
        <f t="shared" si="148"/>
        <v/>
      </c>
      <c r="BQ330" t="str">
        <f t="shared" si="149"/>
        <v/>
      </c>
      <c r="BR330" t="str">
        <f t="shared" si="150"/>
        <v/>
      </c>
      <c r="BS330" t="str">
        <f t="shared" si="151"/>
        <v/>
      </c>
      <c r="BT330" t="str">
        <f t="shared" si="152"/>
        <v/>
      </c>
      <c r="BU330" t="str">
        <f t="shared" si="153"/>
        <v/>
      </c>
    </row>
    <row r="331" spans="1:73">
      <c r="A331" s="14">
        <v>149888</v>
      </c>
      <c r="B331" t="str">
        <f>VLOOKUP($A331,[1]Table!$A$2:$N1723,B$1,FALSE)</f>
        <v>N06BC01</v>
      </c>
      <c r="C331" t="str">
        <f>VLOOKUP($A331,[1]Table!$A$2:$N1723,C$1,FALSE)</f>
        <v>PSYCHOSTIMULANTIA, OVERIG</v>
      </c>
      <c r="D331" t="str">
        <f>VLOOKUP($A331,[1]Table!$A$2:$N1723,D$1,FALSE)</f>
        <v>PSYCHOSTIMULANTIA, OVERIG</v>
      </c>
      <c r="E331" t="str">
        <f>VLOOKUP($A331,[1]Table!$A$2:$N1723,E$1,FALSE)</f>
        <v>COFFEINE</v>
      </c>
      <c r="F331" t="str">
        <f>VLOOKUP($A331,[1]Table!$A$2:$N1723,F$1,FALSE)</f>
        <v>COFFEINE 10MG/ML DRANK 30 ML</v>
      </c>
      <c r="G331" t="str">
        <f>VLOOKUP($A331,[1]Table!$A$2:$N1723,G$1,FALSE)</f>
        <v>COFFEINE 10MG/ML DRANK</v>
      </c>
      <c r="H331" t="str">
        <f>VLOOKUP($A331,[1]Table!$A$2:$N1723,H$1,FALSE)</f>
        <v>drank</v>
      </c>
      <c r="I331" t="str">
        <f>VLOOKUP($A331,[1]Table!$A$2:$N1723,I$1,FALSE)</f>
        <v>or</v>
      </c>
      <c r="J331">
        <f>VLOOKUP($A331,[1]Table!$A$2:$N1723,J$1,FALSE)</f>
        <v>10</v>
      </c>
      <c r="K331" t="str">
        <f>VLOOKUP($A331,[1]Table!$A$2:$N1723,K$1,FALSE)</f>
        <v>mg/ml</v>
      </c>
      <c r="L331">
        <f>VLOOKUP($A331,[1]Table!$A$2:$N1723,L$1,FALSE)</f>
        <v>1</v>
      </c>
      <c r="M331" t="str">
        <f>VLOOKUP($A331,[1]Table!$A$2:$N1723,M$1,FALSE)</f>
        <v>mg</v>
      </c>
      <c r="N331" t="str">
        <f>VLOOKUP($A331,[1]Table!$A$2:$N1723,N$1,FALSE)</f>
        <v>Neonatale apneu</v>
      </c>
      <c r="AZ331" t="str">
        <f t="shared" si="132"/>
        <v/>
      </c>
      <c r="BA331" t="str">
        <f t="shared" si="133"/>
        <v/>
      </c>
      <c r="BB331" t="str">
        <f t="shared" si="134"/>
        <v/>
      </c>
      <c r="BC331" t="str">
        <f t="shared" si="135"/>
        <v/>
      </c>
      <c r="BD331" t="str">
        <f t="shared" si="136"/>
        <v/>
      </c>
      <c r="BE331" t="str">
        <f t="shared" si="137"/>
        <v/>
      </c>
      <c r="BF331" t="str">
        <f t="shared" si="138"/>
        <v/>
      </c>
      <c r="BG331" t="str">
        <f t="shared" si="139"/>
        <v/>
      </c>
      <c r="BH331" t="str">
        <f t="shared" si="140"/>
        <v/>
      </c>
      <c r="BI331" t="str">
        <f t="shared" si="141"/>
        <v/>
      </c>
      <c r="BJ331" t="str">
        <f t="shared" si="142"/>
        <v/>
      </c>
      <c r="BK331" t="str">
        <f t="shared" si="143"/>
        <v/>
      </c>
      <c r="BL331" t="str">
        <f t="shared" si="144"/>
        <v/>
      </c>
      <c r="BM331" t="str">
        <f t="shared" si="145"/>
        <v/>
      </c>
      <c r="BN331" t="str">
        <f t="shared" si="146"/>
        <v/>
      </c>
      <c r="BO331" t="str">
        <f t="shared" si="147"/>
        <v/>
      </c>
      <c r="BP331" t="str">
        <f t="shared" si="148"/>
        <v/>
      </c>
      <c r="BQ331" t="str">
        <f t="shared" si="149"/>
        <v/>
      </c>
      <c r="BR331" t="str">
        <f t="shared" si="150"/>
        <v/>
      </c>
      <c r="BS331" t="str">
        <f t="shared" si="151"/>
        <v/>
      </c>
      <c r="BT331" t="str">
        <f t="shared" si="152"/>
        <v/>
      </c>
      <c r="BU331" t="str">
        <f t="shared" si="153"/>
        <v/>
      </c>
    </row>
    <row r="332" spans="1:73">
      <c r="A332" s="1">
        <v>100463</v>
      </c>
      <c r="B332" t="str">
        <f>VLOOKUP($A332,[1]Table!$A$2:$N514,B$1,FALSE)</f>
        <v>M04AC01</v>
      </c>
      <c r="C332" t="str">
        <f>VLOOKUP($A332,[1]Table!$A$2:$N514,C$1,FALSE)</f>
        <v>JICHTMIDDELEN</v>
      </c>
      <c r="D332" t="str">
        <f>VLOOKUP($A332,[1]Table!$A$2:$N514,D$1,FALSE)</f>
        <v>JICHTMIDDELEN</v>
      </c>
      <c r="E332" t="str">
        <f>VLOOKUP($A332,[1]Table!$A$2:$N514,E$1,FALSE)</f>
        <v>COLCHICINE</v>
      </c>
      <c r="F332" t="str">
        <f>VLOOKUP($A332,[1]Table!$A$2:$N514,F$1,FALSE)</f>
        <v>COLCHICINE 0,5 MG TABLET</v>
      </c>
      <c r="G332" t="str">
        <f>VLOOKUP($A332,[1]Table!$A$2:$N514,G$1,FALSE)</f>
        <v>COLCHICINE 0,5MG TABLET</v>
      </c>
      <c r="H332" t="str">
        <f>VLOOKUP($A332,[1]Table!$A$2:$N514,H$1,FALSE)</f>
        <v>tablet</v>
      </c>
      <c r="I332" t="str">
        <f>VLOOKUP($A332,[1]Table!$A$2:$N514,I$1,FALSE)</f>
        <v>or</v>
      </c>
      <c r="J332">
        <f>VLOOKUP($A332,[1]Table!$A$2:$N514,J$1,FALSE)</f>
        <v>0.5</v>
      </c>
      <c r="K332" t="str">
        <f>VLOOKUP($A332,[1]Table!$A$2:$N514,K$1,FALSE)</f>
        <v>mg/stuk</v>
      </c>
      <c r="L332">
        <f>VLOOKUP($A332,[1]Table!$A$2:$N514,L$1,FALSE)</f>
        <v>0.5</v>
      </c>
      <c r="M332" t="str">
        <f>VLOOKUP($A332,[1]Table!$A$2:$N514,M$1,FALSE)</f>
        <v>mg</v>
      </c>
      <c r="N332" t="str">
        <f>VLOOKUP($A332,[1]Table!$A$2:$N514,N$1,FALSE)</f>
        <v>Familiaire Mediterrane Fever (F.M.F.) profylaxe</v>
      </c>
      <c r="O332" t="str">
        <f>ConcatenateRange(AZ332:BU332,"||")</f>
        <v/>
      </c>
      <c r="AZ332" t="str">
        <f t="shared" si="132"/>
        <v/>
      </c>
      <c r="BA332" t="str">
        <f t="shared" si="133"/>
        <v/>
      </c>
      <c r="BB332" t="str">
        <f t="shared" si="134"/>
        <v/>
      </c>
      <c r="BC332" t="str">
        <f t="shared" si="135"/>
        <v/>
      </c>
      <c r="BD332" t="str">
        <f t="shared" si="136"/>
        <v/>
      </c>
      <c r="BE332" t="str">
        <f t="shared" si="137"/>
        <v/>
      </c>
      <c r="BF332" t="str">
        <f t="shared" si="138"/>
        <v/>
      </c>
      <c r="BG332" t="str">
        <f t="shared" si="139"/>
        <v/>
      </c>
      <c r="BH332" t="str">
        <f t="shared" si="140"/>
        <v/>
      </c>
      <c r="BI332" t="str">
        <f t="shared" si="141"/>
        <v/>
      </c>
      <c r="BJ332" t="str">
        <f t="shared" si="142"/>
        <v/>
      </c>
      <c r="BK332" t="str">
        <f t="shared" si="143"/>
        <v/>
      </c>
      <c r="BL332" t="str">
        <f t="shared" si="144"/>
        <v/>
      </c>
      <c r="BM332" t="str">
        <f t="shared" si="145"/>
        <v/>
      </c>
      <c r="BN332" t="str">
        <f t="shared" si="146"/>
        <v/>
      </c>
      <c r="BO332" t="str">
        <f t="shared" si="147"/>
        <v/>
      </c>
      <c r="BP332" t="str">
        <f t="shared" si="148"/>
        <v/>
      </c>
      <c r="BQ332" t="str">
        <f t="shared" si="149"/>
        <v/>
      </c>
      <c r="BR332" t="str">
        <f t="shared" si="150"/>
        <v/>
      </c>
      <c r="BS332" t="str">
        <f t="shared" si="151"/>
        <v/>
      </c>
      <c r="BT332" t="str">
        <f t="shared" si="152"/>
        <v/>
      </c>
      <c r="BU332" t="str">
        <f t="shared" si="153"/>
        <v/>
      </c>
    </row>
    <row r="333" spans="1:73">
      <c r="A333" s="1">
        <v>144290</v>
      </c>
      <c r="B333" t="str">
        <f>VLOOKUP($A333,[1]Table!$A$2:$N515,B$1,FALSE)</f>
        <v>A11CC05</v>
      </c>
      <c r="C333" t="str">
        <f>VLOOKUP($A333,[1]Table!$A$2:$N515,C$1,FALSE)</f>
        <v>VITAMINEN</v>
      </c>
      <c r="D333" t="str">
        <f>VLOOKUP($A333,[1]Table!$A$2:$N515,D$1,FALSE)</f>
        <v>VITAMINEN A EN D, INCLUSIEF COMBINATIES VAN DEZE TWEE</v>
      </c>
      <c r="E333" t="str">
        <f>VLOOKUP($A333,[1]Table!$A$2:$N515,E$1,FALSE)</f>
        <v>COLECALCIFEROL</v>
      </c>
      <c r="F333" t="str">
        <f>VLOOKUP($A333,[1]Table!$A$2:$N515,F$1,FALSE)</f>
        <v>VITAMINE D3 5600 IE CAPSULE</v>
      </c>
      <c r="G333" t="str">
        <f>VLOOKUP($A333,[1]Table!$A$2:$N515,G$1,FALSE)</f>
        <v>COLECALCIFEROL 5600IE CAPSU</v>
      </c>
      <c r="H333" t="str">
        <f>VLOOKUP($A333,[1]Table!$A$2:$N515,H$1,FALSE)</f>
        <v>capsule</v>
      </c>
      <c r="I333" t="str">
        <f>VLOOKUP($A333,[1]Table!$A$2:$N515,I$1,FALSE)</f>
        <v>or</v>
      </c>
      <c r="J333">
        <f>VLOOKUP($A333,[1]Table!$A$2:$N515,J$1,FALSE)</f>
        <v>5600</v>
      </c>
      <c r="K333" t="str">
        <f>VLOOKUP($A333,[1]Table!$A$2:$N515,K$1,FALSE)</f>
        <v>IE/stuk</v>
      </c>
      <c r="L333">
        <f>VLOOKUP($A333,[1]Table!$A$2:$N515,L$1,FALSE)</f>
        <v>5600</v>
      </c>
      <c r="M333" t="str">
        <f>VLOOKUP($A333,[1]Table!$A$2:$N515,M$1,FALSE)</f>
        <v>IE</v>
      </c>
      <c r="N333" t="str">
        <f>VLOOKUP($A333,[1]Table!$A$2:$N515,N$1,FALSE)</f>
        <v>Profylaxe rachitis||Suppletie bij cystische fibrose||Vitamine D deficientie</v>
      </c>
      <c r="O333" t="str">
        <f>ConcatenateRange(AZ333:BU333,"||")</f>
        <v/>
      </c>
      <c r="AZ333" t="str">
        <f t="shared" si="132"/>
        <v/>
      </c>
      <c r="BA333" t="str">
        <f t="shared" si="133"/>
        <v/>
      </c>
      <c r="BB333" t="str">
        <f t="shared" si="134"/>
        <v/>
      </c>
      <c r="BC333" t="str">
        <f t="shared" si="135"/>
        <v/>
      </c>
      <c r="BD333" t="str">
        <f t="shared" si="136"/>
        <v/>
      </c>
      <c r="BE333" t="str">
        <f t="shared" si="137"/>
        <v/>
      </c>
      <c r="BF333" t="str">
        <f t="shared" si="138"/>
        <v/>
      </c>
      <c r="BG333" t="str">
        <f t="shared" si="139"/>
        <v/>
      </c>
      <c r="BH333" t="str">
        <f t="shared" si="140"/>
        <v/>
      </c>
      <c r="BI333" t="str">
        <f t="shared" si="141"/>
        <v/>
      </c>
      <c r="BJ333" t="str">
        <f t="shared" si="142"/>
        <v/>
      </c>
      <c r="BK333" t="str">
        <f t="shared" si="143"/>
        <v/>
      </c>
      <c r="BL333" t="str">
        <f t="shared" si="144"/>
        <v/>
      </c>
      <c r="BM333" t="str">
        <f t="shared" si="145"/>
        <v/>
      </c>
      <c r="BN333" t="str">
        <f t="shared" si="146"/>
        <v/>
      </c>
      <c r="BO333" t="str">
        <f t="shared" si="147"/>
        <v/>
      </c>
      <c r="BP333" t="str">
        <f t="shared" si="148"/>
        <v/>
      </c>
      <c r="BQ333" t="str">
        <f t="shared" si="149"/>
        <v/>
      </c>
      <c r="BR333" t="str">
        <f t="shared" si="150"/>
        <v/>
      </c>
      <c r="BS333" t="str">
        <f t="shared" si="151"/>
        <v/>
      </c>
      <c r="BT333" t="str">
        <f t="shared" si="152"/>
        <v/>
      </c>
      <c r="BU333" t="str">
        <f t="shared" si="153"/>
        <v/>
      </c>
    </row>
    <row r="334" spans="1:73">
      <c r="A334" s="1">
        <v>151726</v>
      </c>
      <c r="B334" t="str">
        <f>VLOOKUP($A334,[1]Table!$A$2:$N516,B$1,FALSE)</f>
        <v>A11CC05</v>
      </c>
      <c r="C334" t="str">
        <f>VLOOKUP($A334,[1]Table!$A$2:$N516,C$1,FALSE)</f>
        <v>VITAMINEN</v>
      </c>
      <c r="D334" t="str">
        <f>VLOOKUP($A334,[1]Table!$A$2:$N516,D$1,FALSE)</f>
        <v>VITAMINEN A EN D, INCLUSIEF COMBINATIES VAN DEZE TWEE</v>
      </c>
      <c r="E334" t="str">
        <f>VLOOKUP($A334,[1]Table!$A$2:$N516,E$1,FALSE)</f>
        <v>COLECALCIFEROL</v>
      </c>
      <c r="F334" t="str">
        <f>VLOOKUP($A334,[1]Table!$A$2:$N516,F$1,FALSE)</f>
        <v>VITAMINE D3 5.000IE/ML UNIDOSE FLACON 10ML</v>
      </c>
      <c r="G334" t="str">
        <f>VLOOKUP($A334,[1]Table!$A$2:$N516,G$1,FALSE)</f>
        <v>COLECALCIFEROL 5000IE/ML DR</v>
      </c>
      <c r="H334" t="str">
        <f>VLOOKUP($A334,[1]Table!$A$2:$N516,H$1,FALSE)</f>
        <v>drank</v>
      </c>
      <c r="I334" t="str">
        <f>VLOOKUP($A334,[1]Table!$A$2:$N516,I$1,FALSE)</f>
        <v>or</v>
      </c>
      <c r="J334">
        <f>VLOOKUP($A334,[1]Table!$A$2:$N516,J$1,FALSE)</f>
        <v>5000</v>
      </c>
      <c r="K334" t="str">
        <f>VLOOKUP($A334,[1]Table!$A$2:$N516,K$1,FALSE)</f>
        <v>IE/ml</v>
      </c>
      <c r="L334">
        <f>VLOOKUP($A334,[1]Table!$A$2:$N516,L$1,FALSE)</f>
        <v>5000</v>
      </c>
      <c r="M334" t="str">
        <f>VLOOKUP($A334,[1]Table!$A$2:$N516,M$1,FALSE)</f>
        <v>IE</v>
      </c>
      <c r="N334" t="str">
        <f>VLOOKUP($A334,[1]Table!$A$2:$N516,N$1,FALSE)</f>
        <v>Profylaxe rachitis||Suppletie bij cystische fibrose||Vitamine D deficientie</v>
      </c>
      <c r="O334" t="str">
        <f>ConcatenateRange(AZ334:BU334,"||")</f>
        <v/>
      </c>
      <c r="AZ334" t="str">
        <f t="shared" si="132"/>
        <v/>
      </c>
      <c r="BA334" t="str">
        <f t="shared" si="133"/>
        <v/>
      </c>
      <c r="BB334" t="str">
        <f t="shared" si="134"/>
        <v/>
      </c>
      <c r="BC334" t="str">
        <f t="shared" si="135"/>
        <v/>
      </c>
      <c r="BD334" t="str">
        <f t="shared" si="136"/>
        <v/>
      </c>
      <c r="BE334" t="str">
        <f t="shared" si="137"/>
        <v/>
      </c>
      <c r="BF334" t="str">
        <f t="shared" si="138"/>
        <v/>
      </c>
      <c r="BG334" t="str">
        <f t="shared" si="139"/>
        <v/>
      </c>
      <c r="BH334" t="str">
        <f t="shared" si="140"/>
        <v/>
      </c>
      <c r="BI334" t="str">
        <f t="shared" si="141"/>
        <v/>
      </c>
      <c r="BJ334" t="str">
        <f t="shared" si="142"/>
        <v/>
      </c>
      <c r="BK334" t="str">
        <f t="shared" si="143"/>
        <v/>
      </c>
      <c r="BL334" t="str">
        <f t="shared" si="144"/>
        <v/>
      </c>
      <c r="BM334" t="str">
        <f t="shared" si="145"/>
        <v/>
      </c>
      <c r="BN334" t="str">
        <f t="shared" si="146"/>
        <v/>
      </c>
      <c r="BO334" t="str">
        <f t="shared" si="147"/>
        <v/>
      </c>
      <c r="BP334" t="str">
        <f t="shared" si="148"/>
        <v/>
      </c>
      <c r="BQ334" t="str">
        <f t="shared" si="149"/>
        <v/>
      </c>
      <c r="BR334" t="str">
        <f t="shared" si="150"/>
        <v/>
      </c>
      <c r="BS334" t="str">
        <f t="shared" si="151"/>
        <v/>
      </c>
      <c r="BT334" t="str">
        <f t="shared" si="152"/>
        <v/>
      </c>
      <c r="BU334" t="str">
        <f t="shared" si="153"/>
        <v/>
      </c>
    </row>
    <row r="335" spans="1:73">
      <c r="A335" s="1">
        <v>120383</v>
      </c>
      <c r="B335" t="str">
        <f>VLOOKUP($A335,[1]Table!$A$2:$N517,B$1,FALSE)</f>
        <v>A11CC05</v>
      </c>
      <c r="C335" t="str">
        <f>VLOOKUP($A335,[1]Table!$A$2:$N517,C$1,FALSE)</f>
        <v>VITAMINEN</v>
      </c>
      <c r="D335" t="str">
        <f>VLOOKUP($A335,[1]Table!$A$2:$N517,D$1,FALSE)</f>
        <v>VITAMINEN A EN D, INCLUSIEF COMBINATIES VAN DEZE TWEE</v>
      </c>
      <c r="E335" t="str">
        <f>VLOOKUP($A335,[1]Table!$A$2:$N517,E$1,FALSE)</f>
        <v>COLECALCIFEROL</v>
      </c>
      <c r="F335" t="str">
        <f>VLOOKUP($A335,[1]Table!$A$2:$N517,F$1,FALSE)</f>
        <v>VITAMINE D3 DRANK WATERIG 50000 IE/ML 10ML</v>
      </c>
      <c r="G335" t="str">
        <f>VLOOKUP($A335,[1]Table!$A$2:$N517,G$1,FALSE)</f>
        <v>COLECALCIF 50000IE/ML DRANK</v>
      </c>
      <c r="H335" t="str">
        <f>VLOOKUP($A335,[1]Table!$A$2:$N517,H$1,FALSE)</f>
        <v>drank</v>
      </c>
      <c r="I335" t="str">
        <f>VLOOKUP($A335,[1]Table!$A$2:$N517,I$1,FALSE)</f>
        <v>or</v>
      </c>
      <c r="J335">
        <f>VLOOKUP($A335,[1]Table!$A$2:$N517,J$1,FALSE)</f>
        <v>50000</v>
      </c>
      <c r="K335" t="str">
        <f>VLOOKUP($A335,[1]Table!$A$2:$N517,K$1,FALSE)</f>
        <v>IE/ml</v>
      </c>
      <c r="L335">
        <f>VLOOKUP($A335,[1]Table!$A$2:$N517,L$1,FALSE)</f>
        <v>50000</v>
      </c>
      <c r="M335" t="str">
        <f>VLOOKUP($A335,[1]Table!$A$2:$N517,M$1,FALSE)</f>
        <v>IE</v>
      </c>
      <c r="N335" t="str">
        <f>VLOOKUP($A335,[1]Table!$A$2:$N517,N$1,FALSE)</f>
        <v>Profylaxe rachitis||Suppletie bij cystische fibrose||Vitamine D deficientie</v>
      </c>
      <c r="O335" t="str">
        <f>ConcatenateRange(AZ335:BU335,"||")</f>
        <v/>
      </c>
      <c r="AZ335" t="str">
        <f t="shared" si="132"/>
        <v/>
      </c>
      <c r="BA335" t="str">
        <f t="shared" si="133"/>
        <v/>
      </c>
      <c r="BB335" t="str">
        <f t="shared" si="134"/>
        <v/>
      </c>
      <c r="BC335" t="str">
        <f t="shared" si="135"/>
        <v/>
      </c>
      <c r="BD335" t="str">
        <f t="shared" si="136"/>
        <v/>
      </c>
      <c r="BE335" t="str">
        <f t="shared" si="137"/>
        <v/>
      </c>
      <c r="BF335" t="str">
        <f t="shared" si="138"/>
        <v/>
      </c>
      <c r="BG335" t="str">
        <f t="shared" si="139"/>
        <v/>
      </c>
      <c r="BH335" t="str">
        <f t="shared" si="140"/>
        <v/>
      </c>
      <c r="BI335" t="str">
        <f t="shared" si="141"/>
        <v/>
      </c>
      <c r="BJ335" t="str">
        <f t="shared" si="142"/>
        <v/>
      </c>
      <c r="BK335" t="str">
        <f t="shared" si="143"/>
        <v/>
      </c>
      <c r="BL335" t="str">
        <f t="shared" si="144"/>
        <v/>
      </c>
      <c r="BM335" t="str">
        <f t="shared" si="145"/>
        <v/>
      </c>
      <c r="BN335" t="str">
        <f t="shared" si="146"/>
        <v/>
      </c>
      <c r="BO335" t="str">
        <f t="shared" si="147"/>
        <v/>
      </c>
      <c r="BP335" t="str">
        <f t="shared" si="148"/>
        <v/>
      </c>
      <c r="BQ335" t="str">
        <f t="shared" si="149"/>
        <v/>
      </c>
      <c r="BR335" t="str">
        <f t="shared" si="150"/>
        <v/>
      </c>
      <c r="BS335" t="str">
        <f t="shared" si="151"/>
        <v/>
      </c>
      <c r="BT335" t="str">
        <f t="shared" si="152"/>
        <v/>
      </c>
      <c r="BU335" t="str">
        <f t="shared" si="153"/>
        <v/>
      </c>
    </row>
    <row r="336" spans="1:73">
      <c r="A336" s="1">
        <v>136581</v>
      </c>
      <c r="B336" t="str">
        <f>VLOOKUP($A336,[1]Table!$A$2:$N518,B$1,FALSE)</f>
        <v>A11CC05</v>
      </c>
      <c r="C336" t="str">
        <f>VLOOKUP($A336,[1]Table!$A$2:$N518,C$1,FALSE)</f>
        <v>VITAMINEN</v>
      </c>
      <c r="D336" t="str">
        <f>VLOOKUP($A336,[1]Table!$A$2:$N518,D$1,FALSE)</f>
        <v>VITAMINEN A EN D, INCLUSIEF COMBINATIES VAN DEZE TWEE</v>
      </c>
      <c r="E336" t="str">
        <f>VLOOKUP($A336,[1]Table!$A$2:$N518,E$1,FALSE)</f>
        <v>COLECALCIFEROL</v>
      </c>
      <c r="F336" t="str">
        <f>VLOOKUP($A336,[1]Table!$A$2:$N518,F$1,FALSE)</f>
        <v>DAVITAMON D AQUOSUM DRUPPELS 25ML</v>
      </c>
      <c r="G336" t="str">
        <f>VLOOKUP($A336,[1]Table!$A$2:$N518,G$1,FALSE)</f>
        <v>COLECALCIFEROL 960IE/ML DRU</v>
      </c>
      <c r="H336" t="str">
        <f>VLOOKUP($A336,[1]Table!$A$2:$N518,H$1,FALSE)</f>
        <v>druppels voor oraal gebruik</v>
      </c>
      <c r="I336" t="str">
        <f>VLOOKUP($A336,[1]Table!$A$2:$N518,I$1,FALSE)</f>
        <v>or</v>
      </c>
      <c r="J336">
        <f>VLOOKUP($A336,[1]Table!$A$2:$N518,J$1,FALSE)</f>
        <v>960</v>
      </c>
      <c r="K336" t="str">
        <f>VLOOKUP($A336,[1]Table!$A$2:$N518,K$1,FALSE)</f>
        <v>IE/ml</v>
      </c>
      <c r="L336">
        <f>VLOOKUP($A336,[1]Table!$A$2:$N518,L$1,FALSE)</f>
        <v>960</v>
      </c>
      <c r="M336" t="str">
        <f>VLOOKUP($A336,[1]Table!$A$2:$N518,M$1,FALSE)</f>
        <v>IE</v>
      </c>
      <c r="N336" t="str">
        <f>VLOOKUP($A336,[1]Table!$A$2:$N518,N$1,FALSE)</f>
        <v>Profylaxe rachitis||Suppletie bij cystische fibrose||Vitamine D deficientie</v>
      </c>
      <c r="O336" t="str">
        <f>ConcatenateRange(AZ336:BU336,"||")</f>
        <v/>
      </c>
      <c r="AZ336" t="str">
        <f t="shared" si="132"/>
        <v/>
      </c>
      <c r="BA336" t="str">
        <f t="shared" si="133"/>
        <v/>
      </c>
      <c r="BB336" t="str">
        <f t="shared" si="134"/>
        <v/>
      </c>
      <c r="BC336" t="str">
        <f t="shared" si="135"/>
        <v/>
      </c>
      <c r="BD336" t="str">
        <f t="shared" si="136"/>
        <v/>
      </c>
      <c r="BE336" t="str">
        <f t="shared" si="137"/>
        <v/>
      </c>
      <c r="BF336" t="str">
        <f t="shared" si="138"/>
        <v/>
      </c>
      <c r="BG336" t="str">
        <f t="shared" si="139"/>
        <v/>
      </c>
      <c r="BH336" t="str">
        <f t="shared" si="140"/>
        <v/>
      </c>
      <c r="BI336" t="str">
        <f t="shared" si="141"/>
        <v/>
      </c>
      <c r="BJ336" t="str">
        <f t="shared" si="142"/>
        <v/>
      </c>
      <c r="BK336" t="str">
        <f t="shared" si="143"/>
        <v/>
      </c>
      <c r="BL336" t="str">
        <f t="shared" si="144"/>
        <v/>
      </c>
      <c r="BM336" t="str">
        <f t="shared" si="145"/>
        <v/>
      </c>
      <c r="BN336" t="str">
        <f t="shared" si="146"/>
        <v/>
      </c>
      <c r="BO336" t="str">
        <f t="shared" si="147"/>
        <v/>
      </c>
      <c r="BP336" t="str">
        <f t="shared" si="148"/>
        <v/>
      </c>
      <c r="BQ336" t="str">
        <f t="shared" si="149"/>
        <v/>
      </c>
      <c r="BR336" t="str">
        <f t="shared" si="150"/>
        <v/>
      </c>
      <c r="BS336" t="str">
        <f t="shared" si="151"/>
        <v/>
      </c>
      <c r="BT336" t="str">
        <f t="shared" si="152"/>
        <v/>
      </c>
      <c r="BU336" t="str">
        <f t="shared" si="153"/>
        <v/>
      </c>
    </row>
    <row r="337" spans="1:73">
      <c r="A337" s="1">
        <v>53015</v>
      </c>
      <c r="B337" t="str">
        <f>VLOOKUP($A337,[1]Table!$A$2:$N519,B$1,FALSE)</f>
        <v>A11CC05</v>
      </c>
      <c r="C337" t="str">
        <f>VLOOKUP($A337,[1]Table!$A$2:$N519,C$1,FALSE)</f>
        <v>VITAMINEN</v>
      </c>
      <c r="D337" t="str">
        <f>VLOOKUP($A337,[1]Table!$A$2:$N519,D$1,FALSE)</f>
        <v>VITAMINEN A EN D, INCLUSIEF COMBINATIES VAN DEZE TWEE</v>
      </c>
      <c r="E337" t="str">
        <f>VLOOKUP($A337,[1]Table!$A$2:$N519,E$1,FALSE)</f>
        <v>COLECALCIFEROL</v>
      </c>
      <c r="F337" t="str">
        <f>VLOOKUP($A337,[1]Table!$A$2:$N519,F$1,FALSE)</f>
        <v>DEVARON 400 IE TABLET</v>
      </c>
      <c r="G337" t="str">
        <f>VLOOKUP($A337,[1]Table!$A$2:$N519,G$1,FALSE)</f>
        <v>COLECALCIFEROL 400IE TABLET</v>
      </c>
      <c r="H337" t="str">
        <f>VLOOKUP($A337,[1]Table!$A$2:$N519,H$1,FALSE)</f>
        <v>tablet</v>
      </c>
      <c r="I337" t="str">
        <f>VLOOKUP($A337,[1]Table!$A$2:$N519,I$1,FALSE)</f>
        <v>or</v>
      </c>
      <c r="J337">
        <f>VLOOKUP($A337,[1]Table!$A$2:$N519,J$1,FALSE)</f>
        <v>400</v>
      </c>
      <c r="K337" t="str">
        <f>VLOOKUP($A337,[1]Table!$A$2:$N519,K$1,FALSE)</f>
        <v>IE/stuk</v>
      </c>
      <c r="L337">
        <f>VLOOKUP($A337,[1]Table!$A$2:$N519,L$1,FALSE)</f>
        <v>400</v>
      </c>
      <c r="M337" t="str">
        <f>VLOOKUP($A337,[1]Table!$A$2:$N519,M$1,FALSE)</f>
        <v>IE</v>
      </c>
      <c r="N337" t="str">
        <f>VLOOKUP($A337,[1]Table!$A$2:$N519,N$1,FALSE)</f>
        <v>Profylaxe rachitis||Suppletie bij cystische fibrose||Vitamine D deficientie</v>
      </c>
      <c r="O337" t="str">
        <f>ConcatenateRange(AZ337:BU337,"||")</f>
        <v/>
      </c>
      <c r="AZ337" t="str">
        <f t="shared" si="132"/>
        <v/>
      </c>
      <c r="BA337" t="str">
        <f t="shared" si="133"/>
        <v/>
      </c>
      <c r="BB337" t="str">
        <f t="shared" si="134"/>
        <v/>
      </c>
      <c r="BC337" t="str">
        <f t="shared" si="135"/>
        <v/>
      </c>
      <c r="BD337" t="str">
        <f t="shared" si="136"/>
        <v/>
      </c>
      <c r="BE337" t="str">
        <f t="shared" si="137"/>
        <v/>
      </c>
      <c r="BF337" t="str">
        <f t="shared" si="138"/>
        <v/>
      </c>
      <c r="BG337" t="str">
        <f t="shared" si="139"/>
        <v/>
      </c>
      <c r="BH337" t="str">
        <f t="shared" si="140"/>
        <v/>
      </c>
      <c r="BI337" t="str">
        <f t="shared" si="141"/>
        <v/>
      </c>
      <c r="BJ337" t="str">
        <f t="shared" si="142"/>
        <v/>
      </c>
      <c r="BK337" t="str">
        <f t="shared" si="143"/>
        <v/>
      </c>
      <c r="BL337" t="str">
        <f t="shared" si="144"/>
        <v/>
      </c>
      <c r="BM337" t="str">
        <f t="shared" si="145"/>
        <v/>
      </c>
      <c r="BN337" t="str">
        <f t="shared" si="146"/>
        <v/>
      </c>
      <c r="BO337" t="str">
        <f t="shared" si="147"/>
        <v/>
      </c>
      <c r="BP337" t="str">
        <f t="shared" si="148"/>
        <v/>
      </c>
      <c r="BQ337" t="str">
        <f t="shared" si="149"/>
        <v/>
      </c>
      <c r="BR337" t="str">
        <f t="shared" si="150"/>
        <v/>
      </c>
      <c r="BS337" t="str">
        <f t="shared" si="151"/>
        <v/>
      </c>
      <c r="BT337" t="str">
        <f t="shared" si="152"/>
        <v/>
      </c>
      <c r="BU337" t="str">
        <f t="shared" si="153"/>
        <v/>
      </c>
    </row>
    <row r="338" spans="1:73">
      <c r="A338" s="1">
        <v>135755</v>
      </c>
      <c r="B338" t="str">
        <f>VLOOKUP($A338,[1]Table!$A$2:$N520,B$1,FALSE)</f>
        <v>C10AC01</v>
      </c>
      <c r="C338" t="str">
        <f>VLOOKUP($A338,[1]Table!$A$2:$N520,C$1,FALSE)</f>
        <v>ANTILIPAEMICA</v>
      </c>
      <c r="D338" t="str">
        <f>VLOOKUP($A338,[1]Table!$A$2:$N520,D$1,FALSE)</f>
        <v>ANTILIPAEMICA, ENKELVOUDIG</v>
      </c>
      <c r="E338" t="str">
        <f>VLOOKUP($A338,[1]Table!$A$2:$N520,E$1,FALSE)</f>
        <v>COLESTYRAMINE</v>
      </c>
      <c r="F338" t="str">
        <f>VLOOKUP($A338,[1]Table!$A$2:$N520,F$1,FALSE)</f>
        <v>COLESTYRAMINE 100 MG CAPSULE</v>
      </c>
      <c r="G338" t="str">
        <f>VLOOKUP($A338,[1]Table!$A$2:$N520,G$1,FALSE)</f>
        <v>COLESTYRAMINE 100MG CAPSULE</v>
      </c>
      <c r="H338" t="str">
        <f>VLOOKUP($A338,[1]Table!$A$2:$N520,H$1,FALSE)</f>
        <v>capsule</v>
      </c>
      <c r="I338" t="str">
        <f>VLOOKUP($A338,[1]Table!$A$2:$N520,I$1,FALSE)</f>
        <v>or</v>
      </c>
      <c r="J338">
        <f>VLOOKUP($A338,[1]Table!$A$2:$N520,J$1,FALSE)</f>
        <v>100</v>
      </c>
      <c r="K338" t="str">
        <f>VLOOKUP($A338,[1]Table!$A$2:$N520,K$1,FALSE)</f>
        <v>mg/stuk</v>
      </c>
      <c r="L338">
        <f>VLOOKUP($A338,[1]Table!$A$2:$N520,L$1,FALSE)</f>
        <v>100</v>
      </c>
      <c r="M338" t="str">
        <f>VLOOKUP($A338,[1]Table!$A$2:$N520,M$1,FALSE)</f>
        <v>mg</v>
      </c>
      <c r="N338" t="str">
        <f>VLOOKUP($A338,[1]Table!$A$2:$N520,N$1,FALSE)</f>
        <v xml:space="preserve">Cholestatische jeuk, hypercholesterolemie. ||Diarree veroorzaakt door galzouten </v>
      </c>
      <c r="O338" t="str">
        <f>ConcatenateRange(AZ338:BU338,"||")</f>
        <v/>
      </c>
      <c r="AZ338" t="str">
        <f t="shared" si="132"/>
        <v/>
      </c>
      <c r="BA338" t="str">
        <f t="shared" si="133"/>
        <v/>
      </c>
      <c r="BB338" t="str">
        <f t="shared" si="134"/>
        <v/>
      </c>
      <c r="BC338" t="str">
        <f t="shared" si="135"/>
        <v/>
      </c>
      <c r="BD338" t="str">
        <f t="shared" si="136"/>
        <v/>
      </c>
      <c r="BE338" t="str">
        <f t="shared" si="137"/>
        <v/>
      </c>
      <c r="BF338" t="str">
        <f t="shared" si="138"/>
        <v/>
      </c>
      <c r="BG338" t="str">
        <f t="shared" si="139"/>
        <v/>
      </c>
      <c r="BH338" t="str">
        <f t="shared" si="140"/>
        <v/>
      </c>
      <c r="BI338" t="str">
        <f t="shared" si="141"/>
        <v/>
      </c>
      <c r="BJ338" t="str">
        <f t="shared" si="142"/>
        <v/>
      </c>
      <c r="BK338" t="str">
        <f t="shared" si="143"/>
        <v/>
      </c>
      <c r="BL338" t="str">
        <f t="shared" si="144"/>
        <v/>
      </c>
      <c r="BM338" t="str">
        <f t="shared" si="145"/>
        <v/>
      </c>
      <c r="BN338" t="str">
        <f t="shared" si="146"/>
        <v/>
      </c>
      <c r="BO338" t="str">
        <f t="shared" si="147"/>
        <v/>
      </c>
      <c r="BP338" t="str">
        <f t="shared" si="148"/>
        <v/>
      </c>
      <c r="BQ338" t="str">
        <f t="shared" si="149"/>
        <v/>
      </c>
      <c r="BR338" t="str">
        <f t="shared" si="150"/>
        <v/>
      </c>
      <c r="BS338" t="str">
        <f t="shared" si="151"/>
        <v/>
      </c>
      <c r="BT338" t="str">
        <f t="shared" si="152"/>
        <v/>
      </c>
      <c r="BU338" t="str">
        <f t="shared" si="153"/>
        <v/>
      </c>
    </row>
    <row r="339" spans="1:73">
      <c r="A339" s="1">
        <v>507</v>
      </c>
      <c r="B339" t="str">
        <f>VLOOKUP($A339,[1]Table!$A$2:$N521,B$1,FALSE)</f>
        <v>C10AC01</v>
      </c>
      <c r="C339" t="str">
        <f>VLOOKUP($A339,[1]Table!$A$2:$N521,C$1,FALSE)</f>
        <v>ANTILIPAEMICA</v>
      </c>
      <c r="D339" t="str">
        <f>VLOOKUP($A339,[1]Table!$A$2:$N521,D$1,FALSE)</f>
        <v>ANTILIPAEMICA, ENKELVOUDIG</v>
      </c>
      <c r="E339" t="str">
        <f>VLOOKUP($A339,[1]Table!$A$2:$N521,E$1,FALSE)</f>
        <v>COLESTYRAMINE</v>
      </c>
      <c r="F339" t="str">
        <f>VLOOKUP($A339,[1]Table!$A$2:$N521,F$1,FALSE)</f>
        <v>QUESTRAN A 4GRAM SACHET</v>
      </c>
      <c r="G339" t="str">
        <f>VLOOKUP($A339,[1]Table!$A$2:$N521,G$1,FALSE)</f>
        <v>COLESTYRAMINE 4G POEDER</v>
      </c>
      <c r="H339" t="str">
        <f>VLOOKUP($A339,[1]Table!$A$2:$N521,H$1,FALSE)</f>
        <v>poeder voor oraal gebruik</v>
      </c>
      <c r="I339" t="str">
        <f>VLOOKUP($A339,[1]Table!$A$2:$N521,I$1,FALSE)</f>
        <v>or</v>
      </c>
      <c r="J339">
        <f>VLOOKUP($A339,[1]Table!$A$2:$N521,J$1,FALSE)</f>
        <v>4</v>
      </c>
      <c r="K339" t="str">
        <f>VLOOKUP($A339,[1]Table!$A$2:$N521,K$1,FALSE)</f>
        <v>gr/stuk</v>
      </c>
      <c r="L339">
        <f>VLOOKUP($A339,[1]Table!$A$2:$N521,L$1,FALSE)</f>
        <v>4</v>
      </c>
      <c r="M339" t="str">
        <f>VLOOKUP($A339,[1]Table!$A$2:$N521,M$1,FALSE)</f>
        <v>gr</v>
      </c>
      <c r="N339" t="str">
        <f>VLOOKUP($A339,[1]Table!$A$2:$N521,N$1,FALSE)</f>
        <v xml:space="preserve">Cholestatische jeuk, hypercholesterolemie. ||Diarree veroorzaakt door galzouten </v>
      </c>
      <c r="O339" t="str">
        <f>ConcatenateRange(AZ339:BU339,"||")</f>
        <v/>
      </c>
      <c r="AZ339" t="str">
        <f t="shared" si="132"/>
        <v/>
      </c>
      <c r="BA339" t="str">
        <f t="shared" si="133"/>
        <v/>
      </c>
      <c r="BB339" t="str">
        <f t="shared" si="134"/>
        <v/>
      </c>
      <c r="BC339" t="str">
        <f t="shared" si="135"/>
        <v/>
      </c>
      <c r="BD339" t="str">
        <f t="shared" si="136"/>
        <v/>
      </c>
      <c r="BE339" t="str">
        <f t="shared" si="137"/>
        <v/>
      </c>
      <c r="BF339" t="str">
        <f t="shared" si="138"/>
        <v/>
      </c>
      <c r="BG339" t="str">
        <f t="shared" si="139"/>
        <v/>
      </c>
      <c r="BH339" t="str">
        <f t="shared" si="140"/>
        <v/>
      </c>
      <c r="BI339" t="str">
        <f t="shared" si="141"/>
        <v/>
      </c>
      <c r="BJ339" t="str">
        <f t="shared" si="142"/>
        <v/>
      </c>
      <c r="BK339" t="str">
        <f t="shared" si="143"/>
        <v/>
      </c>
      <c r="BL339" t="str">
        <f t="shared" si="144"/>
        <v/>
      </c>
      <c r="BM339" t="str">
        <f t="shared" si="145"/>
        <v/>
      </c>
      <c r="BN339" t="str">
        <f t="shared" si="146"/>
        <v/>
      </c>
      <c r="BO339" t="str">
        <f t="shared" si="147"/>
        <v/>
      </c>
      <c r="BP339" t="str">
        <f t="shared" si="148"/>
        <v/>
      </c>
      <c r="BQ339" t="str">
        <f t="shared" si="149"/>
        <v/>
      </c>
      <c r="BR339" t="str">
        <f t="shared" si="150"/>
        <v/>
      </c>
      <c r="BS339" t="str">
        <f t="shared" si="151"/>
        <v/>
      </c>
      <c r="BT339" t="str">
        <f t="shared" si="152"/>
        <v/>
      </c>
      <c r="BU339" t="str">
        <f t="shared" si="153"/>
        <v/>
      </c>
    </row>
    <row r="340" spans="1:73">
      <c r="A340" s="1">
        <v>144673</v>
      </c>
      <c r="B340" t="str">
        <f>VLOOKUP($A340,[1]Table!$A$2:$N522,B$1,FALSE)</f>
        <v>C10AC01</v>
      </c>
      <c r="C340" t="str">
        <f>VLOOKUP($A340,[1]Table!$A$2:$N522,C$1,FALSE)</f>
        <v>ANTILIPAEMICA</v>
      </c>
      <c r="D340" t="str">
        <f>VLOOKUP($A340,[1]Table!$A$2:$N522,D$1,FALSE)</f>
        <v>ANTILIPAEMICA, ENKELVOUDIG</v>
      </c>
      <c r="E340" t="str">
        <f>VLOOKUP($A340,[1]Table!$A$2:$N522,E$1,FALSE)</f>
        <v>COLESTYRAMINE</v>
      </c>
      <c r="F340" t="str">
        <f>VLOOKUP($A340,[1]Table!$A$2:$N522,F$1,FALSE)</f>
        <v>COLESTYRAMINE 400 MG TABLET</v>
      </c>
      <c r="G340" t="str">
        <f>VLOOKUP($A340,[1]Table!$A$2:$N522,G$1,FALSE)</f>
        <v>COLESTYRAMINE 400MG TABLET</v>
      </c>
      <c r="H340" t="str">
        <f>VLOOKUP($A340,[1]Table!$A$2:$N522,H$1,FALSE)</f>
        <v>tablet</v>
      </c>
      <c r="I340" t="str">
        <f>VLOOKUP($A340,[1]Table!$A$2:$N522,I$1,FALSE)</f>
        <v>or</v>
      </c>
      <c r="J340">
        <f>VLOOKUP($A340,[1]Table!$A$2:$N522,J$1,FALSE)</f>
        <v>400</v>
      </c>
      <c r="K340" t="str">
        <f>VLOOKUP($A340,[1]Table!$A$2:$N522,K$1,FALSE)</f>
        <v>mg/stuk</v>
      </c>
      <c r="L340">
        <f>VLOOKUP($A340,[1]Table!$A$2:$N522,L$1,FALSE)</f>
        <v>400</v>
      </c>
      <c r="M340" t="str">
        <f>VLOOKUP($A340,[1]Table!$A$2:$N522,M$1,FALSE)</f>
        <v>mg</v>
      </c>
      <c r="N340" t="str">
        <f>VLOOKUP($A340,[1]Table!$A$2:$N522,N$1,FALSE)</f>
        <v xml:space="preserve">Cholestatische jeuk, hypercholesterolemie. ||Diarree veroorzaakt door galzouten </v>
      </c>
      <c r="O340" t="str">
        <f>ConcatenateRange(AZ340:BU340,"||")</f>
        <v/>
      </c>
      <c r="AZ340" t="str">
        <f t="shared" si="132"/>
        <v/>
      </c>
      <c r="BA340" t="str">
        <f t="shared" si="133"/>
        <v/>
      </c>
      <c r="BB340" t="str">
        <f t="shared" si="134"/>
        <v/>
      </c>
      <c r="BC340" t="str">
        <f t="shared" si="135"/>
        <v/>
      </c>
      <c r="BD340" t="str">
        <f t="shared" si="136"/>
        <v/>
      </c>
      <c r="BE340" t="str">
        <f t="shared" si="137"/>
        <v/>
      </c>
      <c r="BF340" t="str">
        <f t="shared" si="138"/>
        <v/>
      </c>
      <c r="BG340" t="str">
        <f t="shared" si="139"/>
        <v/>
      </c>
      <c r="BH340" t="str">
        <f t="shared" si="140"/>
        <v/>
      </c>
      <c r="BI340" t="str">
        <f t="shared" si="141"/>
        <v/>
      </c>
      <c r="BJ340" t="str">
        <f t="shared" si="142"/>
        <v/>
      </c>
      <c r="BK340" t="str">
        <f t="shared" si="143"/>
        <v/>
      </c>
      <c r="BL340" t="str">
        <f t="shared" si="144"/>
        <v/>
      </c>
      <c r="BM340" t="str">
        <f t="shared" si="145"/>
        <v/>
      </c>
      <c r="BN340" t="str">
        <f t="shared" si="146"/>
        <v/>
      </c>
      <c r="BO340" t="str">
        <f t="shared" si="147"/>
        <v/>
      </c>
      <c r="BP340" t="str">
        <f t="shared" si="148"/>
        <v/>
      </c>
      <c r="BQ340" t="str">
        <f t="shared" si="149"/>
        <v/>
      </c>
      <c r="BR340" t="str">
        <f t="shared" si="150"/>
        <v/>
      </c>
      <c r="BS340" t="str">
        <f t="shared" si="151"/>
        <v/>
      </c>
      <c r="BT340" t="str">
        <f t="shared" si="152"/>
        <v/>
      </c>
      <c r="BU340" t="str">
        <f t="shared" si="153"/>
        <v/>
      </c>
    </row>
    <row r="341" spans="1:73">
      <c r="A341" s="1">
        <v>139610</v>
      </c>
      <c r="B341" t="str">
        <f>VLOOKUP($A341,[1]Table!$A$2:$N523,B$1,FALSE)</f>
        <v>J01XB01</v>
      </c>
      <c r="C341" t="str">
        <f>VLOOKUP($A341,[1]Table!$A$2:$N523,C$1,FALSE)</f>
        <v>ANTIBACTERIELE MIDDELEN VOOR SYSTEMISCH GEBRUIK</v>
      </c>
      <c r="D341" t="str">
        <f>VLOOKUP($A341,[1]Table!$A$2:$N523,D$1,FALSE)</f>
        <v>OVERIGE ANTIBACTERIELE MIDDELEN</v>
      </c>
      <c r="E341" t="str">
        <f>VLOOKUP($A341,[1]Table!$A$2:$N523,E$1,FALSE)</f>
        <v>COLISTINE</v>
      </c>
      <c r="F341" t="str">
        <f>VLOOKUP($A341,[1]Table!$A$2:$N523,F$1,FALSE)</f>
        <v>COLOBREATHE POEDER VOOR INHALATIE 1662500IE + TURBOSPIN</v>
      </c>
      <c r="G341" t="str">
        <f>VLOOKUP($A341,[1]Table!$A$2:$N523,G$1,FALSE)</f>
        <v>COLISTINE 1662500IE INHCAPS</v>
      </c>
      <c r="H341" t="str">
        <f>VLOOKUP($A341,[1]Table!$A$2:$N523,H$1,FALSE)</f>
        <v>inhalatiepoeder</v>
      </c>
      <c r="I341" t="str">
        <f>VLOOKUP($A341,[1]Table!$A$2:$N523,I$1,FALSE)</f>
        <v>inh</v>
      </c>
      <c r="J341">
        <f>VLOOKUP($A341,[1]Table!$A$2:$N523,J$1,FALSE)</f>
        <v>1662500</v>
      </c>
      <c r="K341" t="str">
        <f>VLOOKUP($A341,[1]Table!$A$2:$N523,K$1,FALSE)</f>
        <v>IE/stuk</v>
      </c>
      <c r="L341">
        <f>VLOOKUP($A341,[1]Table!$A$2:$N523,L$1,FALSE)</f>
        <v>1662500</v>
      </c>
      <c r="M341" t="str">
        <f>VLOOKUP($A341,[1]Table!$A$2:$N523,M$1,FALSE)</f>
        <v>IE</v>
      </c>
      <c r="N341" t="str">
        <f>VLOOKUP($A341,[1]Table!$A$2:$N523,N$1,FALSE)</f>
        <v>Ernstige infecties; chronische longinfectie met Pseudomonas Aeruginosa bij cystische fibrose||(Chronische) longinfectie met Pseudomonas aeruginosa bij cystische fibrose</v>
      </c>
      <c r="O341" t="str">
        <f>ConcatenateRange(AZ341:BU341,"||")</f>
        <v/>
      </c>
      <c r="AZ341" t="str">
        <f t="shared" si="132"/>
        <v/>
      </c>
      <c r="BA341" t="str">
        <f t="shared" si="133"/>
        <v/>
      </c>
      <c r="BB341" t="str">
        <f t="shared" si="134"/>
        <v/>
      </c>
      <c r="BC341" t="str">
        <f t="shared" si="135"/>
        <v/>
      </c>
      <c r="BD341" t="str">
        <f t="shared" si="136"/>
        <v/>
      </c>
      <c r="BE341" t="str">
        <f t="shared" si="137"/>
        <v/>
      </c>
      <c r="BF341" t="str">
        <f t="shared" si="138"/>
        <v/>
      </c>
      <c r="BG341" t="str">
        <f t="shared" si="139"/>
        <v/>
      </c>
      <c r="BH341" t="str">
        <f t="shared" si="140"/>
        <v/>
      </c>
      <c r="BI341" t="str">
        <f t="shared" si="141"/>
        <v/>
      </c>
      <c r="BJ341" t="str">
        <f t="shared" si="142"/>
        <v/>
      </c>
      <c r="BK341" t="str">
        <f t="shared" si="143"/>
        <v/>
      </c>
      <c r="BL341" t="str">
        <f t="shared" si="144"/>
        <v/>
      </c>
      <c r="BM341" t="str">
        <f t="shared" si="145"/>
        <v/>
      </c>
      <c r="BN341" t="str">
        <f t="shared" si="146"/>
        <v/>
      </c>
      <c r="BO341" t="str">
        <f t="shared" si="147"/>
        <v/>
      </c>
      <c r="BP341" t="str">
        <f t="shared" si="148"/>
        <v/>
      </c>
      <c r="BQ341" t="str">
        <f t="shared" si="149"/>
        <v/>
      </c>
      <c r="BR341" t="str">
        <f t="shared" si="150"/>
        <v/>
      </c>
      <c r="BS341" t="str">
        <f t="shared" si="151"/>
        <v/>
      </c>
      <c r="BT341" t="str">
        <f t="shared" si="152"/>
        <v/>
      </c>
      <c r="BU341" t="str">
        <f t="shared" si="153"/>
        <v/>
      </c>
    </row>
    <row r="342" spans="1:73">
      <c r="A342" s="1">
        <v>138908</v>
      </c>
      <c r="B342" t="str">
        <f>VLOOKUP($A342,[1]Table!$A$2:$N524,B$1,FALSE)</f>
        <v>J01XB01</v>
      </c>
      <c r="C342" t="str">
        <f>VLOOKUP($A342,[1]Table!$A$2:$N524,C$1,FALSE)</f>
        <v>ANTIBACTERIELE MIDDELEN VOOR SYSTEMISCH GEBRUIK</v>
      </c>
      <c r="D342" t="str">
        <f>VLOOKUP($A342,[1]Table!$A$2:$N524,D$1,FALSE)</f>
        <v>OVERIGE ANTIBACTERIELE MIDDELEN</v>
      </c>
      <c r="E342" t="str">
        <f>VLOOKUP($A342,[1]Table!$A$2:$N524,E$1,FALSE)</f>
        <v>COLISTINE</v>
      </c>
      <c r="F342" t="str">
        <f>VLOOKUP($A342,[1]Table!$A$2:$N524,F$1,FALSE)</f>
        <v>COLISTIN 80 MG  (OOK VOOR I.V)</v>
      </c>
      <c r="G342" t="str">
        <f>VLOOKUP($A342,[1]Table!$A$2:$N524,G$1,FALSE)</f>
        <v>COLISTINE 1ME PDR V VERNEV</v>
      </c>
      <c r="H342" t="str">
        <f>VLOOKUP($A342,[1]Table!$A$2:$N524,H$1,FALSE)</f>
        <v>poeder voor vernevelvloeistof</v>
      </c>
      <c r="I342" t="str">
        <f>VLOOKUP($A342,[1]Table!$A$2:$N524,I$1,FALSE)</f>
        <v>inh</v>
      </c>
      <c r="J342">
        <f>VLOOKUP($A342,[1]Table!$A$2:$N524,J$1,FALSE)</f>
        <v>1000000</v>
      </c>
      <c r="K342" t="str">
        <f>VLOOKUP($A342,[1]Table!$A$2:$N524,K$1,FALSE)</f>
        <v>IE/stuk</v>
      </c>
      <c r="L342">
        <f>VLOOKUP($A342,[1]Table!$A$2:$N524,L$1,FALSE)</f>
        <v>1000000</v>
      </c>
      <c r="M342" t="str">
        <f>VLOOKUP($A342,[1]Table!$A$2:$N524,M$1,FALSE)</f>
        <v>IE</v>
      </c>
      <c r="N342" t="str">
        <f>VLOOKUP($A342,[1]Table!$A$2:$N524,N$1,FALSE)</f>
        <v>Ernstige infecties; chronische longinfectie met Pseudomonas Aeruginosa bij cystische fibrose||(Chronische) longinfectie met Pseudomonas aeruginosa bij cystische fibrose</v>
      </c>
      <c r="O342" t="str">
        <f>ConcatenateRange(AZ342:BU342,"||")</f>
        <v/>
      </c>
      <c r="AZ342" t="str">
        <f t="shared" si="132"/>
        <v/>
      </c>
      <c r="BA342" t="str">
        <f t="shared" si="133"/>
        <v/>
      </c>
      <c r="BB342" t="str">
        <f t="shared" si="134"/>
        <v/>
      </c>
      <c r="BC342" t="str">
        <f t="shared" si="135"/>
        <v/>
      </c>
      <c r="BD342" t="str">
        <f t="shared" si="136"/>
        <v/>
      </c>
      <c r="BE342" t="str">
        <f t="shared" si="137"/>
        <v/>
      </c>
      <c r="BF342" t="str">
        <f t="shared" si="138"/>
        <v/>
      </c>
      <c r="BG342" t="str">
        <f t="shared" si="139"/>
        <v/>
      </c>
      <c r="BH342" t="str">
        <f t="shared" si="140"/>
        <v/>
      </c>
      <c r="BI342" t="str">
        <f t="shared" si="141"/>
        <v/>
      </c>
      <c r="BJ342" t="str">
        <f t="shared" si="142"/>
        <v/>
      </c>
      <c r="BK342" t="str">
        <f t="shared" si="143"/>
        <v/>
      </c>
      <c r="BL342" t="str">
        <f t="shared" si="144"/>
        <v/>
      </c>
      <c r="BM342" t="str">
        <f t="shared" si="145"/>
        <v/>
      </c>
      <c r="BN342" t="str">
        <f t="shared" si="146"/>
        <v/>
      </c>
      <c r="BO342" t="str">
        <f t="shared" si="147"/>
        <v/>
      </c>
      <c r="BP342" t="str">
        <f t="shared" si="148"/>
        <v/>
      </c>
      <c r="BQ342" t="str">
        <f t="shared" si="149"/>
        <v/>
      </c>
      <c r="BR342" t="str">
        <f t="shared" si="150"/>
        <v/>
      </c>
      <c r="BS342" t="str">
        <f t="shared" si="151"/>
        <v/>
      </c>
      <c r="BT342" t="str">
        <f t="shared" si="152"/>
        <v/>
      </c>
      <c r="BU342" t="str">
        <f t="shared" si="153"/>
        <v/>
      </c>
    </row>
    <row r="343" spans="1:73">
      <c r="A343" s="1">
        <v>3387</v>
      </c>
      <c r="B343" t="str">
        <f>VLOOKUP($A343,[1]Table!$A$2:$N1628,B$1,FALSE)</f>
        <v>J01EE01</v>
      </c>
      <c r="C343" t="str">
        <f>VLOOKUP($A343,[1]Table!$A$2:$N1628,C$1,FALSE)</f>
        <v>ANTIBACTERIELE MIDDELEN VOOR SYSTEMISCH GEBRUIK</v>
      </c>
      <c r="D343" t="str">
        <f>VLOOKUP($A343,[1]Table!$A$2:$N1628,D$1,FALSE)</f>
        <v>SULFONAMIDEN EN TRIMETHOPRIM</v>
      </c>
      <c r="E343" t="str">
        <f>VLOOKUP($A343,[1]Table!$A$2:$N1628,E$1,FALSE)</f>
        <v>COTRIMOXAZOL</v>
      </c>
      <c r="F343" t="str">
        <f>VLOOKUP($A343,[1]Table!$A$2:$N1628,F$1,FALSE)</f>
        <v>BACTRIMEL 96 MG/ML (80+16MG/ML) AMPUL 5 ML</v>
      </c>
      <c r="G343" t="str">
        <f>VLOOKUP($A343,[1]Table!$A$2:$N1628,G$1,FALSE)</f>
        <v>COTRIMOXAZOL 96MG/ML INFCON</v>
      </c>
      <c r="H343" t="str">
        <f>VLOOKUP($A343,[1]Table!$A$2:$N1628,H$1,FALSE)</f>
        <v>concentraat voor oplossing voor infusie</v>
      </c>
      <c r="I343" t="str">
        <f>VLOOKUP($A343,[1]Table!$A$2:$N1628,I$1,FALSE)</f>
        <v>iv</v>
      </c>
      <c r="J343">
        <f>VLOOKUP($A343,[1]Table!$A$2:$N1628,J$1,FALSE)</f>
        <v>96</v>
      </c>
      <c r="K343" t="str">
        <f>VLOOKUP($A343,[1]Table!$A$2:$N1628,K$1,FALSE)</f>
        <v>mg/ml</v>
      </c>
      <c r="L343">
        <f>VLOOKUP($A343,[1]Table!$A$2:$N1628,L$1,FALSE)</f>
        <v>9.6</v>
      </c>
      <c r="M343" t="str">
        <f>VLOOKUP($A343,[1]Table!$A$2:$N1628,M$1,FALSE)</f>
        <v>mg</v>
      </c>
      <c r="N343" t="str">
        <f>VLOOKUP($A343,[1]Table!$A$2:$N1628,N$1,FALSE)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>ConcatenateRange(AZ343:BU343,"||")</f>
        <v>2 x / dag||3 x / dag||4 x / dag</v>
      </c>
      <c r="Q343">
        <v>36</v>
      </c>
      <c r="R343">
        <v>108</v>
      </c>
      <c r="V343">
        <v>5760</v>
      </c>
      <c r="W343">
        <v>6</v>
      </c>
      <c r="Y343">
        <v>30</v>
      </c>
      <c r="AB343" t="s">
        <v>49</v>
      </c>
      <c r="AC343" t="s">
        <v>49</v>
      </c>
      <c r="AD343" t="s">
        <v>49</v>
      </c>
      <c r="AZ343" t="str">
        <f t="shared" si="132"/>
        <v/>
      </c>
      <c r="BA343" t="str">
        <f t="shared" si="133"/>
        <v>2 x / dag</v>
      </c>
      <c r="BB343" t="str">
        <f t="shared" si="134"/>
        <v>3 x / dag</v>
      </c>
      <c r="BC343" t="str">
        <f t="shared" si="135"/>
        <v>4 x / dag</v>
      </c>
      <c r="BD343" t="str">
        <f t="shared" si="136"/>
        <v/>
      </c>
      <c r="BE343" t="str">
        <f t="shared" si="137"/>
        <v/>
      </c>
      <c r="BF343" t="str">
        <f t="shared" si="138"/>
        <v/>
      </c>
      <c r="BG343" t="str">
        <f t="shared" si="139"/>
        <v/>
      </c>
      <c r="BH343" t="str">
        <f t="shared" si="140"/>
        <v/>
      </c>
      <c r="BI343" t="str">
        <f t="shared" si="141"/>
        <v/>
      </c>
      <c r="BJ343" t="str">
        <f t="shared" si="142"/>
        <v/>
      </c>
      <c r="BK343" t="str">
        <f t="shared" si="143"/>
        <v/>
      </c>
      <c r="BL343" t="str">
        <f t="shared" si="144"/>
        <v/>
      </c>
      <c r="BM343" t="str">
        <f t="shared" si="145"/>
        <v/>
      </c>
      <c r="BN343" t="str">
        <f t="shared" si="146"/>
        <v/>
      </c>
      <c r="BO343" t="str">
        <f t="shared" si="147"/>
        <v/>
      </c>
      <c r="BP343" t="str">
        <f t="shared" si="148"/>
        <v/>
      </c>
      <c r="BQ343" t="str">
        <f t="shared" si="149"/>
        <v/>
      </c>
      <c r="BR343" t="str">
        <f t="shared" si="150"/>
        <v/>
      </c>
      <c r="BS343" t="str">
        <f t="shared" si="151"/>
        <v/>
      </c>
      <c r="BT343" t="str">
        <f t="shared" si="152"/>
        <v/>
      </c>
      <c r="BU343" t="str">
        <f t="shared" si="153"/>
        <v/>
      </c>
    </row>
    <row r="344" spans="1:73">
      <c r="A344" s="1">
        <v>10529</v>
      </c>
      <c r="B344" t="str">
        <f>VLOOKUP($A344,[1]Table!$A$2:$N1629,B$1,FALSE)</f>
        <v>J01EE01</v>
      </c>
      <c r="C344" t="str">
        <f>VLOOKUP($A344,[1]Table!$A$2:$N1629,C$1,FALSE)</f>
        <v>ANTIBACTERIELE MIDDELEN VOOR SYSTEMISCH GEBRUIK</v>
      </c>
      <c r="D344" t="str">
        <f>VLOOKUP($A344,[1]Table!$A$2:$N1629,D$1,FALSE)</f>
        <v>SULFONAMIDEN EN TRIMETHOPRIM</v>
      </c>
      <c r="E344" t="str">
        <f>VLOOKUP($A344,[1]Table!$A$2:$N1629,E$1,FALSE)</f>
        <v>COTRIMOXAZOL</v>
      </c>
      <c r="F344" t="str">
        <f>VLOOKUP($A344,[1]Table!$A$2:$N1629,F$1,FALSE)</f>
        <v>BACTRIMEL 48 MG/ML (40+8MG/ML)SUSPENSIE</v>
      </c>
      <c r="G344" t="str">
        <f>VLOOKUP($A344,[1]Table!$A$2:$N1629,G$1,FALSE)</f>
        <v>COTRIMOXAZOL 48MG/ML SUSP</v>
      </c>
      <c r="H344" t="str">
        <f>VLOOKUP($A344,[1]Table!$A$2:$N1629,H$1,FALSE)</f>
        <v>suspensie voor oraal gebruik</v>
      </c>
      <c r="I344" t="str">
        <f>VLOOKUP($A344,[1]Table!$A$2:$N1629,I$1,FALSE)</f>
        <v>or</v>
      </c>
      <c r="J344">
        <f>VLOOKUP($A344,[1]Table!$A$2:$N1629,J$1,FALSE)</f>
        <v>48</v>
      </c>
      <c r="K344" t="str">
        <f>VLOOKUP($A344,[1]Table!$A$2:$N1629,K$1,FALSE)</f>
        <v>mg/ml</v>
      </c>
      <c r="L344">
        <f>VLOOKUP($A344,[1]Table!$A$2:$N1629,L$1,FALSE)</f>
        <v>4.8</v>
      </c>
      <c r="M344" t="str">
        <f>VLOOKUP($A344,[1]Table!$A$2:$N1629,M$1,FALSE)</f>
        <v>mg</v>
      </c>
      <c r="N344" t="str">
        <f>VLOOKUP($A344,[1]Table!$A$2:$N1629,N$1,FALSE)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4" t="str">
        <f>ConcatenateRange(AZ344:BU344,"||")</f>
        <v/>
      </c>
      <c r="AZ344" t="str">
        <f t="shared" si="132"/>
        <v/>
      </c>
      <c r="BA344" t="str">
        <f t="shared" si="133"/>
        <v/>
      </c>
      <c r="BB344" t="str">
        <f t="shared" si="134"/>
        <v/>
      </c>
      <c r="BC344" t="str">
        <f t="shared" si="135"/>
        <v/>
      </c>
      <c r="BD344" t="str">
        <f t="shared" si="136"/>
        <v/>
      </c>
      <c r="BE344" t="str">
        <f t="shared" si="137"/>
        <v/>
      </c>
      <c r="BF344" t="str">
        <f t="shared" si="138"/>
        <v/>
      </c>
      <c r="BG344" t="str">
        <f t="shared" si="139"/>
        <v/>
      </c>
      <c r="BH344" t="str">
        <f t="shared" si="140"/>
        <v/>
      </c>
      <c r="BI344" t="str">
        <f t="shared" si="141"/>
        <v/>
      </c>
      <c r="BJ344" t="str">
        <f t="shared" si="142"/>
        <v/>
      </c>
      <c r="BK344" t="str">
        <f t="shared" si="143"/>
        <v/>
      </c>
      <c r="BL344" t="str">
        <f t="shared" si="144"/>
        <v/>
      </c>
      <c r="BM344" t="str">
        <f t="shared" si="145"/>
        <v/>
      </c>
      <c r="BN344" t="str">
        <f t="shared" si="146"/>
        <v/>
      </c>
      <c r="BO344" t="str">
        <f t="shared" si="147"/>
        <v/>
      </c>
      <c r="BP344" t="str">
        <f t="shared" si="148"/>
        <v/>
      </c>
      <c r="BQ344" t="str">
        <f t="shared" si="149"/>
        <v/>
      </c>
      <c r="BR344" t="str">
        <f t="shared" si="150"/>
        <v/>
      </c>
      <c r="BS344" t="str">
        <f t="shared" si="151"/>
        <v/>
      </c>
      <c r="BT344" t="str">
        <f t="shared" si="152"/>
        <v/>
      </c>
      <c r="BU344" t="str">
        <f t="shared" si="153"/>
        <v/>
      </c>
    </row>
    <row r="345" spans="1:73">
      <c r="A345" s="1">
        <v>12653</v>
      </c>
      <c r="B345" t="str">
        <f>VLOOKUP($A345,[1]Table!$A$2:$N1630,B$1,FALSE)</f>
        <v>J01EE01</v>
      </c>
      <c r="C345" t="str">
        <f>VLOOKUP($A345,[1]Table!$A$2:$N1630,C$1,FALSE)</f>
        <v>ANTIBACTERIELE MIDDELEN VOOR SYSTEMISCH GEBRUIK</v>
      </c>
      <c r="D345" t="str">
        <f>VLOOKUP($A345,[1]Table!$A$2:$N1630,D$1,FALSE)</f>
        <v>SULFONAMIDEN EN TRIMETHOPRIM</v>
      </c>
      <c r="E345" t="str">
        <f>VLOOKUP($A345,[1]Table!$A$2:$N1630,E$1,FALSE)</f>
        <v>COTRIMOXAZOL</v>
      </c>
      <c r="F345" t="str">
        <f>VLOOKUP($A345,[1]Table!$A$2:$N1630,F$1,FALSE)</f>
        <v>COTRIMOXAZOL 120 MG TABLET</v>
      </c>
      <c r="G345" t="str">
        <f>VLOOKUP($A345,[1]Table!$A$2:$N1630,G$1,FALSE)</f>
        <v>COTRIMOXAZOL 20/100MG TAB</v>
      </c>
      <c r="H345" t="str">
        <f>VLOOKUP($A345,[1]Table!$A$2:$N1630,H$1,FALSE)</f>
        <v>tablet</v>
      </c>
      <c r="I345" t="str">
        <f>VLOOKUP($A345,[1]Table!$A$2:$N1630,I$1,FALSE)</f>
        <v>or</v>
      </c>
      <c r="J345">
        <f>VLOOKUP($A345,[1]Table!$A$2:$N1630,J$1,FALSE)</f>
        <v>120</v>
      </c>
      <c r="K345" t="str">
        <f>VLOOKUP($A345,[1]Table!$A$2:$N1630,K$1,FALSE)</f>
        <v>mg/stuk</v>
      </c>
      <c r="L345">
        <f>VLOOKUP($A345,[1]Table!$A$2:$N1630,L$1,FALSE)</f>
        <v>120</v>
      </c>
      <c r="M345" t="str">
        <f>VLOOKUP($A345,[1]Table!$A$2:$N1630,M$1,FALSE)</f>
        <v>mg</v>
      </c>
      <c r="N345" t="str">
        <f>VLOOKUP($A345,[1]Table!$A$2:$N1630,N$1,FALSE)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5" t="str">
        <f>ConcatenateRange(AZ345:BU345,"||")</f>
        <v/>
      </c>
      <c r="AZ345" t="str">
        <f t="shared" si="132"/>
        <v/>
      </c>
      <c r="BA345" t="str">
        <f t="shared" si="133"/>
        <v/>
      </c>
      <c r="BB345" t="str">
        <f t="shared" si="134"/>
        <v/>
      </c>
      <c r="BC345" t="str">
        <f t="shared" si="135"/>
        <v/>
      </c>
      <c r="BD345" t="str">
        <f t="shared" si="136"/>
        <v/>
      </c>
      <c r="BE345" t="str">
        <f t="shared" si="137"/>
        <v/>
      </c>
      <c r="BF345" t="str">
        <f t="shared" si="138"/>
        <v/>
      </c>
      <c r="BG345" t="str">
        <f t="shared" si="139"/>
        <v/>
      </c>
      <c r="BH345" t="str">
        <f t="shared" si="140"/>
        <v/>
      </c>
      <c r="BI345" t="str">
        <f t="shared" si="141"/>
        <v/>
      </c>
      <c r="BJ345" t="str">
        <f t="shared" si="142"/>
        <v/>
      </c>
      <c r="BK345" t="str">
        <f t="shared" si="143"/>
        <v/>
      </c>
      <c r="BL345" t="str">
        <f t="shared" si="144"/>
        <v/>
      </c>
      <c r="BM345" t="str">
        <f t="shared" si="145"/>
        <v/>
      </c>
      <c r="BN345" t="str">
        <f t="shared" si="146"/>
        <v/>
      </c>
      <c r="BO345" t="str">
        <f t="shared" si="147"/>
        <v/>
      </c>
      <c r="BP345" t="str">
        <f t="shared" si="148"/>
        <v/>
      </c>
      <c r="BQ345" t="str">
        <f t="shared" si="149"/>
        <v/>
      </c>
      <c r="BR345" t="str">
        <f t="shared" si="150"/>
        <v/>
      </c>
      <c r="BS345" t="str">
        <f t="shared" si="151"/>
        <v/>
      </c>
      <c r="BT345" t="str">
        <f t="shared" si="152"/>
        <v/>
      </c>
      <c r="BU345" t="str">
        <f t="shared" si="153"/>
        <v/>
      </c>
    </row>
    <row r="346" spans="1:73">
      <c r="A346" s="1">
        <v>12661</v>
      </c>
      <c r="B346" t="str">
        <f>VLOOKUP($A346,[1]Table!$A$2:$N1631,B$1,FALSE)</f>
        <v>J01EE01</v>
      </c>
      <c r="C346" t="str">
        <f>VLOOKUP($A346,[1]Table!$A$2:$N1631,C$1,FALSE)</f>
        <v>ANTIBACTERIELE MIDDELEN VOOR SYSTEMISCH GEBRUIK</v>
      </c>
      <c r="D346" t="str">
        <f>VLOOKUP($A346,[1]Table!$A$2:$N1631,D$1,FALSE)</f>
        <v>SULFONAMIDEN EN TRIMETHOPRIM</v>
      </c>
      <c r="E346" t="str">
        <f>VLOOKUP($A346,[1]Table!$A$2:$N1631,E$1,FALSE)</f>
        <v>COTRIMOXAZOL</v>
      </c>
      <c r="F346" t="str">
        <f>VLOOKUP($A346,[1]Table!$A$2:$N1631,F$1,FALSE)</f>
        <v>COTRIMOXAZOL 480 MG  TABLET</v>
      </c>
      <c r="G346" t="str">
        <f>VLOOKUP($A346,[1]Table!$A$2:$N1631,G$1,FALSE)</f>
        <v>COTRIMOXAZOL 80/400MG TAB</v>
      </c>
      <c r="H346" t="str">
        <f>VLOOKUP($A346,[1]Table!$A$2:$N1631,H$1,FALSE)</f>
        <v>tablet</v>
      </c>
      <c r="I346" t="str">
        <f>VLOOKUP($A346,[1]Table!$A$2:$N1631,I$1,FALSE)</f>
        <v>or</v>
      </c>
      <c r="J346">
        <f>VLOOKUP($A346,[1]Table!$A$2:$N1631,J$1,FALSE)</f>
        <v>480</v>
      </c>
      <c r="K346" t="str">
        <f>VLOOKUP($A346,[1]Table!$A$2:$N1631,K$1,FALSE)</f>
        <v>mg/stuk</v>
      </c>
      <c r="L346">
        <f>VLOOKUP($A346,[1]Table!$A$2:$N1631,L$1,FALSE)</f>
        <v>480</v>
      </c>
      <c r="M346" t="str">
        <f>VLOOKUP($A346,[1]Table!$A$2:$N1631,M$1,FALSE)</f>
        <v>mg</v>
      </c>
      <c r="N346" t="str">
        <f>VLOOKUP($A346,[1]Table!$A$2:$N1631,N$1,FALSE)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6" t="str">
        <f>ConcatenateRange(AZ346:BU346,"||")</f>
        <v/>
      </c>
      <c r="AZ346" t="str">
        <f t="shared" si="132"/>
        <v/>
      </c>
      <c r="BA346" t="str">
        <f t="shared" si="133"/>
        <v/>
      </c>
      <c r="BB346" t="str">
        <f t="shared" si="134"/>
        <v/>
      </c>
      <c r="BC346" t="str">
        <f t="shared" si="135"/>
        <v/>
      </c>
      <c r="BD346" t="str">
        <f t="shared" si="136"/>
        <v/>
      </c>
      <c r="BE346" t="str">
        <f t="shared" si="137"/>
        <v/>
      </c>
      <c r="BF346" t="str">
        <f t="shared" si="138"/>
        <v/>
      </c>
      <c r="BG346" t="str">
        <f t="shared" si="139"/>
        <v/>
      </c>
      <c r="BH346" t="str">
        <f t="shared" si="140"/>
        <v/>
      </c>
      <c r="BI346" t="str">
        <f t="shared" si="141"/>
        <v/>
      </c>
      <c r="BJ346" t="str">
        <f t="shared" si="142"/>
        <v/>
      </c>
      <c r="BK346" t="str">
        <f t="shared" si="143"/>
        <v/>
      </c>
      <c r="BL346" t="str">
        <f t="shared" si="144"/>
        <v/>
      </c>
      <c r="BM346" t="str">
        <f t="shared" si="145"/>
        <v/>
      </c>
      <c r="BN346" t="str">
        <f t="shared" si="146"/>
        <v/>
      </c>
      <c r="BO346" t="str">
        <f t="shared" si="147"/>
        <v/>
      </c>
      <c r="BP346" t="str">
        <f t="shared" si="148"/>
        <v/>
      </c>
      <c r="BQ346" t="str">
        <f t="shared" si="149"/>
        <v/>
      </c>
      <c r="BR346" t="str">
        <f t="shared" si="150"/>
        <v/>
      </c>
      <c r="BS346" t="str">
        <f t="shared" si="151"/>
        <v/>
      </c>
      <c r="BT346" t="str">
        <f t="shared" si="152"/>
        <v/>
      </c>
      <c r="BU346" t="str">
        <f t="shared" si="153"/>
        <v/>
      </c>
    </row>
    <row r="347" spans="1:73">
      <c r="A347" s="1">
        <v>12688</v>
      </c>
      <c r="B347" t="str">
        <f>VLOOKUP($A347,[1]Table!$A$2:$N1632,B$1,FALSE)</f>
        <v>J01EE01</v>
      </c>
      <c r="C347" t="str">
        <f>VLOOKUP($A347,[1]Table!$A$2:$N1632,C$1,FALSE)</f>
        <v>ANTIBACTERIELE MIDDELEN VOOR SYSTEMISCH GEBRUIK</v>
      </c>
      <c r="D347" t="str">
        <f>VLOOKUP($A347,[1]Table!$A$2:$N1632,D$1,FALSE)</f>
        <v>SULFONAMIDEN EN TRIMETHOPRIM</v>
      </c>
      <c r="E347" t="str">
        <f>VLOOKUP($A347,[1]Table!$A$2:$N1632,E$1,FALSE)</f>
        <v>COTRIMOXAZOL</v>
      </c>
      <c r="F347" t="str">
        <f>VLOOKUP($A347,[1]Table!$A$2:$N1632,F$1,FALSE)</f>
        <v>COTRIMOXAZOL FORTE 960 MG TABLET</v>
      </c>
      <c r="G347" t="str">
        <f>VLOOKUP($A347,[1]Table!$A$2:$N1632,G$1,FALSE)</f>
        <v>COTRIMOXAZOL 160/800MG TAB</v>
      </c>
      <c r="H347" t="str">
        <f>VLOOKUP($A347,[1]Table!$A$2:$N1632,H$1,FALSE)</f>
        <v>tablet</v>
      </c>
      <c r="I347" t="str">
        <f>VLOOKUP($A347,[1]Table!$A$2:$N1632,I$1,FALSE)</f>
        <v>or</v>
      </c>
      <c r="J347">
        <f>VLOOKUP($A347,[1]Table!$A$2:$N1632,J$1,FALSE)</f>
        <v>960</v>
      </c>
      <c r="K347" t="str">
        <f>VLOOKUP($A347,[1]Table!$A$2:$N1632,K$1,FALSE)</f>
        <v>mg/stuk</v>
      </c>
      <c r="L347">
        <f>VLOOKUP($A347,[1]Table!$A$2:$N1632,L$1,FALSE)</f>
        <v>960</v>
      </c>
      <c r="M347" t="str">
        <f>VLOOKUP($A347,[1]Table!$A$2:$N1632,M$1,FALSE)</f>
        <v>mg</v>
      </c>
      <c r="N347" t="str">
        <f>VLOOKUP($A347,[1]Table!$A$2:$N1632,N$1,FALSE)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7" t="str">
        <f>ConcatenateRange(AZ347:BU347,"||")</f>
        <v/>
      </c>
      <c r="AZ347" t="str">
        <f t="shared" si="132"/>
        <v/>
      </c>
      <c r="BA347" t="str">
        <f t="shared" si="133"/>
        <v/>
      </c>
      <c r="BB347" t="str">
        <f t="shared" si="134"/>
        <v/>
      </c>
      <c r="BC347" t="str">
        <f t="shared" si="135"/>
        <v/>
      </c>
      <c r="BD347" t="str">
        <f t="shared" si="136"/>
        <v/>
      </c>
      <c r="BE347" t="str">
        <f t="shared" si="137"/>
        <v/>
      </c>
      <c r="BF347" t="str">
        <f t="shared" si="138"/>
        <v/>
      </c>
      <c r="BG347" t="str">
        <f t="shared" si="139"/>
        <v/>
      </c>
      <c r="BH347" t="str">
        <f t="shared" si="140"/>
        <v/>
      </c>
      <c r="BI347" t="str">
        <f t="shared" si="141"/>
        <v/>
      </c>
      <c r="BJ347" t="str">
        <f t="shared" si="142"/>
        <v/>
      </c>
      <c r="BK347" t="str">
        <f t="shared" si="143"/>
        <v/>
      </c>
      <c r="BL347" t="str">
        <f t="shared" si="144"/>
        <v/>
      </c>
      <c r="BM347" t="str">
        <f t="shared" si="145"/>
        <v/>
      </c>
      <c r="BN347" t="str">
        <f t="shared" si="146"/>
        <v/>
      </c>
      <c r="BO347" t="str">
        <f t="shared" si="147"/>
        <v/>
      </c>
      <c r="BP347" t="str">
        <f t="shared" si="148"/>
        <v/>
      </c>
      <c r="BQ347" t="str">
        <f t="shared" si="149"/>
        <v/>
      </c>
      <c r="BR347" t="str">
        <f t="shared" si="150"/>
        <v/>
      </c>
      <c r="BS347" t="str">
        <f t="shared" si="151"/>
        <v/>
      </c>
      <c r="BT347" t="str">
        <f t="shared" si="152"/>
        <v/>
      </c>
      <c r="BU347" t="str">
        <f t="shared" si="153"/>
        <v/>
      </c>
    </row>
    <row r="348" spans="1:73">
      <c r="A348" s="1">
        <v>66087</v>
      </c>
      <c r="B348" t="str">
        <f>VLOOKUP($A348,[1]Table!$A$2:$N525,B$1,FALSE)</f>
        <v>R03BC01</v>
      </c>
      <c r="C348" t="str">
        <f>VLOOKUP($A348,[1]Table!$A$2:$N525,C$1,FALSE)</f>
        <v>MIDDELEN BIJ ASTMA/COPD</v>
      </c>
      <c r="D348" t="str">
        <f>VLOOKUP($A348,[1]Table!$A$2:$N525,D$1,FALSE)</f>
        <v>OVERIGE MIDDELEN BIJ ASTMA/COPD VOOR INHALATIE</v>
      </c>
      <c r="E348" t="str">
        <f>VLOOKUP($A348,[1]Table!$A$2:$N525,E$1,FALSE)</f>
        <v>CROMOGLICINEZUUR</v>
      </c>
      <c r="F348" t="str">
        <f>VLOOKUP($A348,[1]Table!$A$2:$N525,F$1,FALSE)</f>
        <v>LOMUDAL 5MG/DOSIS AEROSOL 112DOSES</v>
      </c>
      <c r="G348" t="str">
        <f>VLOOKUP($A348,[1]Table!$A$2:$N525,G$1,FALSE)</f>
        <v>CROMOGLICINEZUUR 5MG/DO AER</v>
      </c>
      <c r="H348" t="str">
        <f>VLOOKUP($A348,[1]Table!$A$2:$N525,H$1,FALSE)</f>
        <v>aerosol</v>
      </c>
      <c r="I348" t="str">
        <f>VLOOKUP($A348,[1]Table!$A$2:$N525,I$1,FALSE)</f>
        <v>inh</v>
      </c>
      <c r="J348">
        <f>VLOOKUP($A348,[1]Table!$A$2:$N525,J$1,FALSE)</f>
        <v>5</v>
      </c>
      <c r="K348" t="str">
        <f>VLOOKUP($A348,[1]Table!$A$2:$N525,K$1,FALSE)</f>
        <v>mg/dose</v>
      </c>
      <c r="L348">
        <f>VLOOKUP($A348,[1]Table!$A$2:$N525,L$1,FALSE)</f>
        <v>5</v>
      </c>
      <c r="M348" t="str">
        <f>VLOOKUP($A348,[1]Table!$A$2:$N525,M$1,FALSE)</f>
        <v>mg</v>
      </c>
      <c r="N348" t="str">
        <f>VLOOKUP($A348,[1]Table!$A$2:$N525,N$1,FALSE)</f>
        <v>Profylaxe bij allergische vormen van astma</v>
      </c>
      <c r="O348" t="str">
        <f>ConcatenateRange(AZ348:BU348,"||")</f>
        <v/>
      </c>
      <c r="AZ348" t="str">
        <f t="shared" si="132"/>
        <v/>
      </c>
      <c r="BA348" t="str">
        <f t="shared" si="133"/>
        <v/>
      </c>
      <c r="BB348" t="str">
        <f t="shared" si="134"/>
        <v/>
      </c>
      <c r="BC348" t="str">
        <f t="shared" si="135"/>
        <v/>
      </c>
      <c r="BD348" t="str">
        <f t="shared" si="136"/>
        <v/>
      </c>
      <c r="BE348" t="str">
        <f t="shared" si="137"/>
        <v/>
      </c>
      <c r="BF348" t="str">
        <f t="shared" si="138"/>
        <v/>
      </c>
      <c r="BG348" t="str">
        <f t="shared" si="139"/>
        <v/>
      </c>
      <c r="BH348" t="str">
        <f t="shared" si="140"/>
        <v/>
      </c>
      <c r="BI348" t="str">
        <f t="shared" si="141"/>
        <v/>
      </c>
      <c r="BJ348" t="str">
        <f t="shared" si="142"/>
        <v/>
      </c>
      <c r="BK348" t="str">
        <f t="shared" si="143"/>
        <v/>
      </c>
      <c r="BL348" t="str">
        <f t="shared" si="144"/>
        <v/>
      </c>
      <c r="BM348" t="str">
        <f t="shared" si="145"/>
        <v/>
      </c>
      <c r="BN348" t="str">
        <f t="shared" si="146"/>
        <v/>
      </c>
      <c r="BO348" t="str">
        <f t="shared" si="147"/>
        <v/>
      </c>
      <c r="BP348" t="str">
        <f t="shared" si="148"/>
        <v/>
      </c>
      <c r="BQ348" t="str">
        <f t="shared" si="149"/>
        <v/>
      </c>
      <c r="BR348" t="str">
        <f t="shared" si="150"/>
        <v/>
      </c>
      <c r="BS348" t="str">
        <f t="shared" si="151"/>
        <v/>
      </c>
      <c r="BT348" t="str">
        <f t="shared" si="152"/>
        <v/>
      </c>
      <c r="BU348" t="str">
        <f t="shared" si="153"/>
        <v/>
      </c>
    </row>
    <row r="349" spans="1:73">
      <c r="A349" s="1">
        <v>55182</v>
      </c>
      <c r="B349" t="str">
        <f>VLOOKUP($A349,[1]Table!$A$2:$N526,B$1,FALSE)</f>
        <v>A07EB01</v>
      </c>
      <c r="C349" t="str">
        <f>VLOOKUP($A349,[1]Table!$A$2:$N526,C$1,FALSE)</f>
        <v>ANTIDIARRHOICA, ANTI-INFLAMM./ANTIMICROBIELE DARMMIDDELEN</v>
      </c>
      <c r="D349" t="str">
        <f>VLOOKUP($A349,[1]Table!$A$2:$N526,D$1,FALSE)</f>
        <v>ANTI-INFLAMMATOIRE DARMMIDDELEN</v>
      </c>
      <c r="E349" t="str">
        <f>VLOOKUP($A349,[1]Table!$A$2:$N526,E$1,FALSE)</f>
        <v>CROMOGLICINEZUUR</v>
      </c>
      <c r="F349" t="str">
        <f>VLOOKUP($A349,[1]Table!$A$2:$N526,F$1,FALSE)</f>
        <v>NALCROM GRAN 100MG SACHET</v>
      </c>
      <c r="G349" t="str">
        <f>VLOOKUP($A349,[1]Table!$A$2:$N526,G$1,FALSE)</f>
        <v>CROMOGLICAAT 1OOMG GRANUL</v>
      </c>
      <c r="H349" t="str">
        <f>VLOOKUP($A349,[1]Table!$A$2:$N526,H$1,FALSE)</f>
        <v>granulaat</v>
      </c>
      <c r="I349" t="str">
        <f>VLOOKUP($A349,[1]Table!$A$2:$N526,I$1,FALSE)</f>
        <v>or</v>
      </c>
      <c r="J349">
        <f>VLOOKUP($A349,[1]Table!$A$2:$N526,J$1,FALSE)</f>
        <v>100</v>
      </c>
      <c r="K349" t="str">
        <f>VLOOKUP($A349,[1]Table!$A$2:$N526,K$1,FALSE)</f>
        <v>mg/stuk</v>
      </c>
      <c r="L349">
        <f>VLOOKUP($A349,[1]Table!$A$2:$N526,L$1,FALSE)</f>
        <v>100</v>
      </c>
      <c r="M349" t="str">
        <f>VLOOKUP($A349,[1]Table!$A$2:$N526,M$1,FALSE)</f>
        <v>mg</v>
      </c>
      <c r="N349" t="str">
        <f>VLOOKUP($A349,[1]Table!$A$2:$N526,N$1,FALSE)</f>
        <v>Profylaxe van allergische aandoeningen, veroorzaakt door niet te vermijden bestanddelen van voeding</v>
      </c>
      <c r="O349" t="str">
        <f>ConcatenateRange(AZ349:BU349,"||")</f>
        <v/>
      </c>
      <c r="AZ349" t="str">
        <f t="shared" si="132"/>
        <v/>
      </c>
      <c r="BA349" t="str">
        <f t="shared" si="133"/>
        <v/>
      </c>
      <c r="BB349" t="str">
        <f t="shared" si="134"/>
        <v/>
      </c>
      <c r="BC349" t="str">
        <f t="shared" si="135"/>
        <v/>
      </c>
      <c r="BD349" t="str">
        <f t="shared" si="136"/>
        <v/>
      </c>
      <c r="BE349" t="str">
        <f t="shared" si="137"/>
        <v/>
      </c>
      <c r="BF349" t="str">
        <f t="shared" si="138"/>
        <v/>
      </c>
      <c r="BG349" t="str">
        <f t="shared" si="139"/>
        <v/>
      </c>
      <c r="BH349" t="str">
        <f t="shared" si="140"/>
        <v/>
      </c>
      <c r="BI349" t="str">
        <f t="shared" si="141"/>
        <v/>
      </c>
      <c r="BJ349" t="str">
        <f t="shared" si="142"/>
        <v/>
      </c>
      <c r="BK349" t="str">
        <f t="shared" si="143"/>
        <v/>
      </c>
      <c r="BL349" t="str">
        <f t="shared" si="144"/>
        <v/>
      </c>
      <c r="BM349" t="str">
        <f t="shared" si="145"/>
        <v/>
      </c>
      <c r="BN349" t="str">
        <f t="shared" si="146"/>
        <v/>
      </c>
      <c r="BO349" t="str">
        <f t="shared" si="147"/>
        <v/>
      </c>
      <c r="BP349" t="str">
        <f t="shared" si="148"/>
        <v/>
      </c>
      <c r="BQ349" t="str">
        <f t="shared" si="149"/>
        <v/>
      </c>
      <c r="BR349" t="str">
        <f t="shared" si="150"/>
        <v/>
      </c>
      <c r="BS349" t="str">
        <f t="shared" si="151"/>
        <v/>
      </c>
      <c r="BT349" t="str">
        <f t="shared" si="152"/>
        <v/>
      </c>
      <c r="BU349" t="str">
        <f t="shared" si="153"/>
        <v/>
      </c>
    </row>
    <row r="350" spans="1:73">
      <c r="A350" s="1">
        <v>11398</v>
      </c>
      <c r="B350" t="str">
        <f>VLOOKUP($A350,[1]Table!$A$2:$N527,B$1,FALSE)</f>
        <v>S01GX01</v>
      </c>
      <c r="C350" t="str">
        <f>VLOOKUP($A350,[1]Table!$A$2:$N527,C$1,FALSE)</f>
        <v>MIDDELEN VOOR OOGHEELKUNDIG GEBRUIK</v>
      </c>
      <c r="D350" t="str">
        <f>VLOOKUP($A350,[1]Table!$A$2:$N527,D$1,FALSE)</f>
        <v>DECONGESTIVA EN ALLERGIEMIDDELEN</v>
      </c>
      <c r="E350" t="str">
        <f>VLOOKUP($A350,[1]Table!$A$2:$N527,E$1,FALSE)</f>
        <v>CROMOGLICINEZUUR</v>
      </c>
      <c r="F350" t="str">
        <f>VLOOKUP($A350,[1]Table!$A$2:$N527,F$1,FALSE)</f>
        <v>NATRIUMCROMOGLICAAT 20 MG/ML OOGDRUPPELS</v>
      </c>
      <c r="G350" t="str">
        <f>VLOOKUP($A350,[1]Table!$A$2:$N527,G$1,FALSE)</f>
        <v>CROMOGLICAAT 20MG/ML OOGDR</v>
      </c>
      <c r="H350" t="str">
        <f>VLOOKUP($A350,[1]Table!$A$2:$N527,H$1,FALSE)</f>
        <v>oogdruppels</v>
      </c>
      <c r="I350" t="str">
        <f>VLOOKUP($A350,[1]Table!$A$2:$N527,I$1,FALSE)</f>
        <v>oog</v>
      </c>
      <c r="J350">
        <f>VLOOKUP($A350,[1]Table!$A$2:$N527,J$1,FALSE)</f>
        <v>20</v>
      </c>
      <c r="K350" t="str">
        <f>VLOOKUP($A350,[1]Table!$A$2:$N527,K$1,FALSE)</f>
        <v>mg/ml</v>
      </c>
      <c r="L350">
        <f>VLOOKUP($A350,[1]Table!$A$2:$N527,L$1,FALSE)</f>
        <v>20</v>
      </c>
      <c r="M350" t="str">
        <f>VLOOKUP($A350,[1]Table!$A$2:$N527,M$1,FALSE)</f>
        <v>mg</v>
      </c>
      <c r="N350" t="str">
        <f>VLOOKUP($A350,[1]Table!$A$2:$N527,N$1,FALSE)</f>
        <v>Allergische conjunctivitis</v>
      </c>
      <c r="O350" t="str">
        <f>ConcatenateRange(AZ350:BU350,"||")</f>
        <v/>
      </c>
      <c r="AZ350" t="str">
        <f t="shared" si="132"/>
        <v/>
      </c>
      <c r="BA350" t="str">
        <f t="shared" si="133"/>
        <v/>
      </c>
      <c r="BB350" t="str">
        <f t="shared" si="134"/>
        <v/>
      </c>
      <c r="BC350" t="str">
        <f t="shared" si="135"/>
        <v/>
      </c>
      <c r="BD350" t="str">
        <f t="shared" si="136"/>
        <v/>
      </c>
      <c r="BE350" t="str">
        <f t="shared" si="137"/>
        <v/>
      </c>
      <c r="BF350" t="str">
        <f t="shared" si="138"/>
        <v/>
      </c>
      <c r="BG350" t="str">
        <f t="shared" si="139"/>
        <v/>
      </c>
      <c r="BH350" t="str">
        <f t="shared" si="140"/>
        <v/>
      </c>
      <c r="BI350" t="str">
        <f t="shared" si="141"/>
        <v/>
      </c>
      <c r="BJ350" t="str">
        <f t="shared" si="142"/>
        <v/>
      </c>
      <c r="BK350" t="str">
        <f t="shared" si="143"/>
        <v/>
      </c>
      <c r="BL350" t="str">
        <f t="shared" si="144"/>
        <v/>
      </c>
      <c r="BM350" t="str">
        <f t="shared" si="145"/>
        <v/>
      </c>
      <c r="BN350" t="str">
        <f t="shared" si="146"/>
        <v/>
      </c>
      <c r="BO350" t="str">
        <f t="shared" si="147"/>
        <v/>
      </c>
      <c r="BP350" t="str">
        <f t="shared" si="148"/>
        <v/>
      </c>
      <c r="BQ350" t="str">
        <f t="shared" si="149"/>
        <v/>
      </c>
      <c r="BR350" t="str">
        <f t="shared" si="150"/>
        <v/>
      </c>
      <c r="BS350" t="str">
        <f t="shared" si="151"/>
        <v/>
      </c>
      <c r="BT350" t="str">
        <f t="shared" si="152"/>
        <v/>
      </c>
      <c r="BU350" t="str">
        <f t="shared" si="153"/>
        <v/>
      </c>
    </row>
    <row r="351" spans="1:73">
      <c r="A351" s="1">
        <v>3174</v>
      </c>
      <c r="B351" t="str">
        <f>VLOOKUP($A351,[1]Table!$A$2:$N529,B$1,FALSE)</f>
        <v>L01AA01</v>
      </c>
      <c r="C351" t="str">
        <f>VLOOKUP($A351,[1]Table!$A$2:$N529,C$1,FALSE)</f>
        <v>ONCOLYTICA</v>
      </c>
      <c r="D351" t="str">
        <f>VLOOKUP($A351,[1]Table!$A$2:$N529,D$1,FALSE)</f>
        <v>ALKYLERENDE MIDDELEN</v>
      </c>
      <c r="E351" t="str">
        <f>VLOOKUP($A351,[1]Table!$A$2:$N529,E$1,FALSE)</f>
        <v>CYCLOFOSFAMIDE</v>
      </c>
      <c r="F351" t="str">
        <f>VLOOKUP($A351,[1]Table!$A$2:$N529,F$1,FALSE)</f>
        <v>ENDOXAN 50 MG DRAGEE</v>
      </c>
      <c r="G351" t="str">
        <f>VLOOKUP($A351,[1]Table!$A$2:$N529,G$1,FALSE)</f>
        <v>CYCLOFOSFAMIDE 50MG DRAGEE</v>
      </c>
      <c r="H351" t="str">
        <f>VLOOKUP($A351,[1]Table!$A$2:$N529,H$1,FALSE)</f>
        <v>dragee</v>
      </c>
      <c r="I351" t="str">
        <f>VLOOKUP($A351,[1]Table!$A$2:$N529,I$1,FALSE)</f>
        <v>or</v>
      </c>
      <c r="J351">
        <f>VLOOKUP($A351,[1]Table!$A$2:$N529,J$1,FALSE)</f>
        <v>50</v>
      </c>
      <c r="K351" t="str">
        <f>VLOOKUP($A351,[1]Table!$A$2:$N529,K$1,FALSE)</f>
        <v>mg/stuk</v>
      </c>
      <c r="L351">
        <f>VLOOKUP($A351,[1]Table!$A$2:$N529,L$1,FALSE)</f>
        <v>50</v>
      </c>
      <c r="M351" t="str">
        <f>VLOOKUP($A351,[1]Table!$A$2:$N529,M$1,FALSE)</f>
        <v>mg</v>
      </c>
      <c r="N351" t="str">
        <f>VLOOKUP($A351,[1]Table!$A$2:$N529,N$1,FALSE)</f>
        <v>Oncologische aandoeningen</v>
      </c>
      <c r="O351" t="str">
        <f>ConcatenateRange(AZ351:BU351,"||")</f>
        <v/>
      </c>
      <c r="AZ351" t="str">
        <f t="shared" si="132"/>
        <v/>
      </c>
      <c r="BA351" t="str">
        <f t="shared" si="133"/>
        <v/>
      </c>
      <c r="BB351" t="str">
        <f t="shared" si="134"/>
        <v/>
      </c>
      <c r="BC351" t="str">
        <f t="shared" si="135"/>
        <v/>
      </c>
      <c r="BD351" t="str">
        <f t="shared" si="136"/>
        <v/>
      </c>
      <c r="BE351" t="str">
        <f t="shared" si="137"/>
        <v/>
      </c>
      <c r="BF351" t="str">
        <f t="shared" si="138"/>
        <v/>
      </c>
      <c r="BG351" t="str">
        <f t="shared" si="139"/>
        <v/>
      </c>
      <c r="BH351" t="str">
        <f t="shared" si="140"/>
        <v/>
      </c>
      <c r="BI351" t="str">
        <f t="shared" si="141"/>
        <v/>
      </c>
      <c r="BJ351" t="str">
        <f t="shared" si="142"/>
        <v/>
      </c>
      <c r="BK351" t="str">
        <f t="shared" si="143"/>
        <v/>
      </c>
      <c r="BL351" t="str">
        <f t="shared" si="144"/>
        <v/>
      </c>
      <c r="BM351" t="str">
        <f t="shared" si="145"/>
        <v/>
      </c>
      <c r="BN351" t="str">
        <f t="shared" si="146"/>
        <v/>
      </c>
      <c r="BO351" t="str">
        <f t="shared" si="147"/>
        <v/>
      </c>
      <c r="BP351" t="str">
        <f t="shared" si="148"/>
        <v/>
      </c>
      <c r="BQ351" t="str">
        <f t="shared" si="149"/>
        <v/>
      </c>
      <c r="BR351" t="str">
        <f t="shared" si="150"/>
        <v/>
      </c>
      <c r="BS351" t="str">
        <f t="shared" si="151"/>
        <v/>
      </c>
      <c r="BT351" t="str">
        <f t="shared" si="152"/>
        <v/>
      </c>
      <c r="BU351" t="str">
        <f t="shared" si="153"/>
        <v/>
      </c>
    </row>
    <row r="352" spans="1:73">
      <c r="A352" s="1">
        <v>157252</v>
      </c>
      <c r="B352" t="str">
        <f>VLOOKUP($A352,[1]Table!$A$2:$N530,B$1,FALSE)</f>
        <v>L01AA01</v>
      </c>
      <c r="C352" t="str">
        <f>VLOOKUP($A352,[1]Table!$A$2:$N530,C$1,FALSE)</f>
        <v>ONCOLYTICA</v>
      </c>
      <c r="D352" t="str">
        <f>VLOOKUP($A352,[1]Table!$A$2:$N530,D$1,FALSE)</f>
        <v>ALKYLERENDE MIDDELEN</v>
      </c>
      <c r="E352" t="str">
        <f>VLOOKUP($A352,[1]Table!$A$2:$N530,E$1,FALSE)</f>
        <v>CYCLOFOSFAMIDE</v>
      </c>
      <c r="F352" t="str">
        <f>VLOOKUP($A352,[1]Table!$A$2:$N530,F$1,FALSE)</f>
        <v>ENDOXAN 750 MG  INJPDR</v>
      </c>
      <c r="G352" t="str">
        <f>VLOOKUP($A352,[1]Table!$A$2:$N530,G$1,FALSE)</f>
        <v>CYCLOFOSFAMIDE 750MG INJPDR</v>
      </c>
      <c r="H352" t="str">
        <f>VLOOKUP($A352,[1]Table!$A$2:$N530,H$1,FALSE)</f>
        <v>poeder voor injectievloeistof</v>
      </c>
      <c r="I352" t="str">
        <f>VLOOKUP($A352,[1]Table!$A$2:$N530,I$1,FALSE)</f>
        <v>iv</v>
      </c>
      <c r="J352">
        <f>VLOOKUP($A352,[1]Table!$A$2:$N530,J$1,FALSE)</f>
        <v>750</v>
      </c>
      <c r="K352" t="str">
        <f>VLOOKUP($A352,[1]Table!$A$2:$N530,K$1,FALSE)</f>
        <v>mg/stuk</v>
      </c>
      <c r="L352">
        <f>VLOOKUP($A352,[1]Table!$A$2:$N530,L$1,FALSE)</f>
        <v>750</v>
      </c>
      <c r="M352" t="str">
        <f>VLOOKUP($A352,[1]Table!$A$2:$N530,M$1,FALSE)</f>
        <v>mg</v>
      </c>
      <c r="N352" t="str">
        <f>VLOOKUP($A352,[1]Table!$A$2:$N530,N$1,FALSE)</f>
        <v>Oncologische aandoeningen</v>
      </c>
      <c r="O352" t="str">
        <f>ConcatenateRange(AZ352:BU352,"||")</f>
        <v/>
      </c>
      <c r="AZ352" t="str">
        <f t="shared" si="132"/>
        <v/>
      </c>
      <c r="BA352" t="str">
        <f t="shared" si="133"/>
        <v/>
      </c>
      <c r="BB352" t="str">
        <f t="shared" si="134"/>
        <v/>
      </c>
      <c r="BC352" t="str">
        <f t="shared" si="135"/>
        <v/>
      </c>
      <c r="BD352" t="str">
        <f t="shared" si="136"/>
        <v/>
      </c>
      <c r="BE352" t="str">
        <f t="shared" si="137"/>
        <v/>
      </c>
      <c r="BF352" t="str">
        <f t="shared" si="138"/>
        <v/>
      </c>
      <c r="BG352" t="str">
        <f t="shared" si="139"/>
        <v/>
      </c>
      <c r="BH352" t="str">
        <f t="shared" si="140"/>
        <v/>
      </c>
      <c r="BI352" t="str">
        <f t="shared" si="141"/>
        <v/>
      </c>
      <c r="BJ352" t="str">
        <f t="shared" si="142"/>
        <v/>
      </c>
      <c r="BK352" t="str">
        <f t="shared" si="143"/>
        <v/>
      </c>
      <c r="BL352" t="str">
        <f t="shared" si="144"/>
        <v/>
      </c>
      <c r="BM352" t="str">
        <f t="shared" si="145"/>
        <v/>
      </c>
      <c r="BN352" t="str">
        <f t="shared" si="146"/>
        <v/>
      </c>
      <c r="BO352" t="str">
        <f t="shared" si="147"/>
        <v/>
      </c>
      <c r="BP352" t="str">
        <f t="shared" si="148"/>
        <v/>
      </c>
      <c r="BQ352" t="str">
        <f t="shared" si="149"/>
        <v/>
      </c>
      <c r="BR352" t="str">
        <f t="shared" si="150"/>
        <v/>
      </c>
      <c r="BS352" t="str">
        <f t="shared" si="151"/>
        <v/>
      </c>
      <c r="BT352" t="str">
        <f t="shared" si="152"/>
        <v/>
      </c>
      <c r="BU352" t="str">
        <f t="shared" si="153"/>
        <v/>
      </c>
    </row>
    <row r="353" spans="1:73">
      <c r="A353" s="1">
        <v>141771</v>
      </c>
      <c r="B353" t="str">
        <f>VLOOKUP($A353,[1]Table!$A$2:$N531,B$1,FALSE)</f>
        <v>L01AA01</v>
      </c>
      <c r="C353" t="str">
        <f>VLOOKUP($A353,[1]Table!$A$2:$N531,C$1,FALSE)</f>
        <v>ONCOLYTICA</v>
      </c>
      <c r="D353" t="str">
        <f>VLOOKUP($A353,[1]Table!$A$2:$N531,D$1,FALSE)</f>
        <v>ALKYLERENDE MIDDELEN</v>
      </c>
      <c r="E353" t="str">
        <f>VLOOKUP($A353,[1]Table!$A$2:$N531,E$1,FALSE)</f>
        <v>CYCLOFOSFAMIDE</v>
      </c>
      <c r="F353" t="str">
        <f>VLOOKUP($A353,[1]Table!$A$2:$N531,F$1,FALSE)</f>
        <v>ENDOXAN 2000 MG INJPDR</v>
      </c>
      <c r="G353" t="str">
        <f>VLOOKUP($A353,[1]Table!$A$2:$N531,G$1,FALSE)</f>
        <v>CYCLOFOSFAMIDE 2000MG INJPD</v>
      </c>
      <c r="H353" t="str">
        <f>VLOOKUP($A353,[1]Table!$A$2:$N531,H$1,FALSE)</f>
        <v>poeder voor injectievloeistof</v>
      </c>
      <c r="I353" t="str">
        <f>VLOOKUP($A353,[1]Table!$A$2:$N531,I$1,FALSE)</f>
        <v>iv</v>
      </c>
      <c r="J353">
        <f>VLOOKUP($A353,[1]Table!$A$2:$N531,J$1,FALSE)</f>
        <v>2000</v>
      </c>
      <c r="K353" t="str">
        <f>VLOOKUP($A353,[1]Table!$A$2:$N531,K$1,FALSE)</f>
        <v>mg/stuk</v>
      </c>
      <c r="L353">
        <f>VLOOKUP($A353,[1]Table!$A$2:$N531,L$1,FALSE)</f>
        <v>2000</v>
      </c>
      <c r="M353" t="str">
        <f>VLOOKUP($A353,[1]Table!$A$2:$N531,M$1,FALSE)</f>
        <v>mg</v>
      </c>
      <c r="N353" t="str">
        <f>VLOOKUP($A353,[1]Table!$A$2:$N531,N$1,FALSE)</f>
        <v>Oncologische aandoeningen</v>
      </c>
      <c r="O353" t="str">
        <f>ConcatenateRange(AZ353:BU353,"||")</f>
        <v/>
      </c>
      <c r="AZ353" t="str">
        <f t="shared" si="132"/>
        <v/>
      </c>
      <c r="BA353" t="str">
        <f t="shared" si="133"/>
        <v/>
      </c>
      <c r="BB353" t="str">
        <f t="shared" si="134"/>
        <v/>
      </c>
      <c r="BC353" t="str">
        <f t="shared" si="135"/>
        <v/>
      </c>
      <c r="BD353" t="str">
        <f t="shared" si="136"/>
        <v/>
      </c>
      <c r="BE353" t="str">
        <f t="shared" si="137"/>
        <v/>
      </c>
      <c r="BF353" t="str">
        <f t="shared" si="138"/>
        <v/>
      </c>
      <c r="BG353" t="str">
        <f t="shared" si="139"/>
        <v/>
      </c>
      <c r="BH353" t="str">
        <f t="shared" si="140"/>
        <v/>
      </c>
      <c r="BI353" t="str">
        <f t="shared" si="141"/>
        <v/>
      </c>
      <c r="BJ353" t="str">
        <f t="shared" si="142"/>
        <v/>
      </c>
      <c r="BK353" t="str">
        <f t="shared" si="143"/>
        <v/>
      </c>
      <c r="BL353" t="str">
        <f t="shared" si="144"/>
        <v/>
      </c>
      <c r="BM353" t="str">
        <f t="shared" si="145"/>
        <v/>
      </c>
      <c r="BN353" t="str">
        <f t="shared" si="146"/>
        <v/>
      </c>
      <c r="BO353" t="str">
        <f t="shared" si="147"/>
        <v/>
      </c>
      <c r="BP353" t="str">
        <f t="shared" si="148"/>
        <v/>
      </c>
      <c r="BQ353" t="str">
        <f t="shared" si="149"/>
        <v/>
      </c>
      <c r="BR353" t="str">
        <f t="shared" si="150"/>
        <v/>
      </c>
      <c r="BS353" t="str">
        <f t="shared" si="151"/>
        <v/>
      </c>
      <c r="BT353" t="str">
        <f t="shared" si="152"/>
        <v/>
      </c>
      <c r="BU353" t="str">
        <f t="shared" si="153"/>
        <v/>
      </c>
    </row>
    <row r="354" spans="1:73">
      <c r="A354" s="1">
        <v>5967</v>
      </c>
      <c r="B354" t="str">
        <f>VLOOKUP($A354,[1]Table!$A$2:$N532,B$1,FALSE)</f>
        <v>S01FA04</v>
      </c>
      <c r="C354" t="str">
        <f>VLOOKUP($A354,[1]Table!$A$2:$N532,C$1,FALSE)</f>
        <v>MIDDELEN VOOR OOGHEELKUNDIG GEBRUIK</v>
      </c>
      <c r="D354" t="str">
        <f>VLOOKUP($A354,[1]Table!$A$2:$N532,D$1,FALSE)</f>
        <v>MYDRIATICA EN CYCLOPLEGICA</v>
      </c>
      <c r="E354" t="str">
        <f>VLOOKUP($A354,[1]Table!$A$2:$N532,E$1,FALSE)</f>
        <v>CYCLOPENTOLAAT</v>
      </c>
      <c r="F354" t="str">
        <f>VLOOKUP($A354,[1]Table!$A$2:$N532,F$1,FALSE)</f>
        <v>CYCLOPENTOLAAT 0.5 % MINIMS 0.5ML</v>
      </c>
      <c r="G354" t="str">
        <f>VLOOKUP($A354,[1]Table!$A$2:$N532,G$1,FALSE)</f>
        <v>CYCLOPENTOLAAT 5MG/ML OOGDR</v>
      </c>
      <c r="H354" t="str">
        <f>VLOOKUP($A354,[1]Table!$A$2:$N532,H$1,FALSE)</f>
        <v>oogdruppels</v>
      </c>
      <c r="I354" t="str">
        <f>VLOOKUP($A354,[1]Table!$A$2:$N532,I$1,FALSE)</f>
        <v>oog</v>
      </c>
      <c r="J354">
        <f>VLOOKUP($A354,[1]Table!$A$2:$N532,J$1,FALSE)</f>
        <v>5</v>
      </c>
      <c r="K354" t="str">
        <f>VLOOKUP($A354,[1]Table!$A$2:$N532,K$1,FALSE)</f>
        <v>mg/ml</v>
      </c>
      <c r="L354">
        <f>VLOOKUP($A354,[1]Table!$A$2:$N532,L$1,FALSE)</f>
        <v>5</v>
      </c>
      <c r="M354" t="str">
        <f>VLOOKUP($A354,[1]Table!$A$2:$N532,M$1,FALSE)</f>
        <v>mg</v>
      </c>
      <c r="N354" t="str">
        <f>VLOOKUP($A354,[1]Table!$A$2:$N532,N$1,FALSE)</f>
        <v>Uveitis||Diagnosticum (cycloplegicum)</v>
      </c>
      <c r="O354" t="str">
        <f>ConcatenateRange(AZ354:BU354,"||")</f>
        <v/>
      </c>
      <c r="AZ354" t="str">
        <f t="shared" si="132"/>
        <v/>
      </c>
      <c r="BA354" t="str">
        <f t="shared" si="133"/>
        <v/>
      </c>
      <c r="BB354" t="str">
        <f t="shared" si="134"/>
        <v/>
      </c>
      <c r="BC354" t="str">
        <f t="shared" si="135"/>
        <v/>
      </c>
      <c r="BD354" t="str">
        <f t="shared" si="136"/>
        <v/>
      </c>
      <c r="BE354" t="str">
        <f t="shared" si="137"/>
        <v/>
      </c>
      <c r="BF354" t="str">
        <f t="shared" si="138"/>
        <v/>
      </c>
      <c r="BG354" t="str">
        <f t="shared" si="139"/>
        <v/>
      </c>
      <c r="BH354" t="str">
        <f t="shared" si="140"/>
        <v/>
      </c>
      <c r="BI354" t="str">
        <f t="shared" si="141"/>
        <v/>
      </c>
      <c r="BJ354" t="str">
        <f t="shared" si="142"/>
        <v/>
      </c>
      <c r="BK354" t="str">
        <f t="shared" si="143"/>
        <v/>
      </c>
      <c r="BL354" t="str">
        <f t="shared" si="144"/>
        <v/>
      </c>
      <c r="BM354" t="str">
        <f t="shared" si="145"/>
        <v/>
      </c>
      <c r="BN354" t="str">
        <f t="shared" si="146"/>
        <v/>
      </c>
      <c r="BO354" t="str">
        <f t="shared" si="147"/>
        <v/>
      </c>
      <c r="BP354" t="str">
        <f t="shared" si="148"/>
        <v/>
      </c>
      <c r="BQ354" t="str">
        <f t="shared" si="149"/>
        <v/>
      </c>
      <c r="BR354" t="str">
        <f t="shared" si="150"/>
        <v/>
      </c>
      <c r="BS354" t="str">
        <f t="shared" si="151"/>
        <v/>
      </c>
      <c r="BT354" t="str">
        <f t="shared" si="152"/>
        <v/>
      </c>
      <c r="BU354" t="str">
        <f t="shared" si="153"/>
        <v/>
      </c>
    </row>
    <row r="355" spans="1:73">
      <c r="A355" s="1">
        <v>13900</v>
      </c>
      <c r="B355" t="str">
        <f>VLOOKUP($A355,[1]Table!$A$2:$N533,B$1,FALSE)</f>
        <v>S01FA04</v>
      </c>
      <c r="C355" t="str">
        <f>VLOOKUP($A355,[1]Table!$A$2:$N533,C$1,FALSE)</f>
        <v>MIDDELEN VOOR OOGHEELKUNDIG GEBRUIK</v>
      </c>
      <c r="D355" t="str">
        <f>VLOOKUP($A355,[1]Table!$A$2:$N533,D$1,FALSE)</f>
        <v>MYDRIATICA EN CYCLOPLEGICA</v>
      </c>
      <c r="E355" t="str">
        <f>VLOOKUP($A355,[1]Table!$A$2:$N533,E$1,FALSE)</f>
        <v>CYCLOPENTOLAAT</v>
      </c>
      <c r="F355" t="str">
        <f>VLOOKUP($A355,[1]Table!$A$2:$N533,F$1,FALSE)</f>
        <v>CYCLOPENTOLAAT 1 % MINIMS 0.5ML</v>
      </c>
      <c r="G355" t="str">
        <f>VLOOKUP($A355,[1]Table!$A$2:$N533,G$1,FALSE)</f>
        <v>CYCLOPENTOLAAT 10MG/ML OOGD</v>
      </c>
      <c r="H355" t="str">
        <f>VLOOKUP($A355,[1]Table!$A$2:$N533,H$1,FALSE)</f>
        <v>oogdruppels</v>
      </c>
      <c r="I355" t="str">
        <f>VLOOKUP($A355,[1]Table!$A$2:$N533,I$1,FALSE)</f>
        <v>oog</v>
      </c>
      <c r="J355">
        <f>VLOOKUP($A355,[1]Table!$A$2:$N533,J$1,FALSE)</f>
        <v>10</v>
      </c>
      <c r="K355" t="str">
        <f>VLOOKUP($A355,[1]Table!$A$2:$N533,K$1,FALSE)</f>
        <v>mg/ml</v>
      </c>
      <c r="L355">
        <f>VLOOKUP($A355,[1]Table!$A$2:$N533,L$1,FALSE)</f>
        <v>10</v>
      </c>
      <c r="M355" t="str">
        <f>VLOOKUP($A355,[1]Table!$A$2:$N533,M$1,FALSE)</f>
        <v>mg</v>
      </c>
      <c r="N355" t="str">
        <f>VLOOKUP($A355,[1]Table!$A$2:$N533,N$1,FALSE)</f>
        <v>Uveitis||Diagnosticum (cycloplegicum)</v>
      </c>
      <c r="O355" t="str">
        <f>ConcatenateRange(AZ355:BU355,"||")</f>
        <v/>
      </c>
      <c r="AZ355" t="str">
        <f t="shared" si="132"/>
        <v/>
      </c>
      <c r="BA355" t="str">
        <f t="shared" si="133"/>
        <v/>
      </c>
      <c r="BB355" t="str">
        <f t="shared" si="134"/>
        <v/>
      </c>
      <c r="BC355" t="str">
        <f t="shared" si="135"/>
        <v/>
      </c>
      <c r="BD355" t="str">
        <f t="shared" si="136"/>
        <v/>
      </c>
      <c r="BE355" t="str">
        <f t="shared" si="137"/>
        <v/>
      </c>
      <c r="BF355" t="str">
        <f t="shared" si="138"/>
        <v/>
      </c>
      <c r="BG355" t="str">
        <f t="shared" si="139"/>
        <v/>
      </c>
      <c r="BH355" t="str">
        <f t="shared" si="140"/>
        <v/>
      </c>
      <c r="BI355" t="str">
        <f t="shared" si="141"/>
        <v/>
      </c>
      <c r="BJ355" t="str">
        <f t="shared" si="142"/>
        <v/>
      </c>
      <c r="BK355" t="str">
        <f t="shared" si="143"/>
        <v/>
      </c>
      <c r="BL355" t="str">
        <f t="shared" si="144"/>
        <v/>
      </c>
      <c r="BM355" t="str">
        <f t="shared" si="145"/>
        <v/>
      </c>
      <c r="BN355" t="str">
        <f t="shared" si="146"/>
        <v/>
      </c>
      <c r="BO355" t="str">
        <f t="shared" si="147"/>
        <v/>
      </c>
      <c r="BP355" t="str">
        <f t="shared" si="148"/>
        <v/>
      </c>
      <c r="BQ355" t="str">
        <f t="shared" si="149"/>
        <v/>
      </c>
      <c r="BR355" t="str">
        <f t="shared" si="150"/>
        <v/>
      </c>
      <c r="BS355" t="str">
        <f t="shared" si="151"/>
        <v/>
      </c>
      <c r="BT355" t="str">
        <f t="shared" si="152"/>
        <v/>
      </c>
      <c r="BU355" t="str">
        <f t="shared" si="153"/>
        <v/>
      </c>
    </row>
    <row r="356" spans="1:73">
      <c r="A356" s="1">
        <v>141313</v>
      </c>
      <c r="B356" t="str">
        <f>VLOOKUP($A356,[1]Table!$A$2:$N534,B$1,FALSE)</f>
        <v>L01BC01</v>
      </c>
      <c r="C356" t="str">
        <f>VLOOKUP($A356,[1]Table!$A$2:$N534,C$1,FALSE)</f>
        <v>ONCOLYTICA</v>
      </c>
      <c r="D356" t="str">
        <f>VLOOKUP($A356,[1]Table!$A$2:$N534,D$1,FALSE)</f>
        <v>ANTIMETABOLIETEN</v>
      </c>
      <c r="E356" t="str">
        <f>VLOOKUP($A356,[1]Table!$A$2:$N534,E$1,FALSE)</f>
        <v>CYTARABINE</v>
      </c>
      <c r="F356" t="str">
        <f>VLOOKUP($A356,[1]Table!$A$2:$N534,F$1,FALSE)</f>
        <v>CYTARABINE 1000 MG = 10 ML INJVLST FLACON 10 ML</v>
      </c>
      <c r="G356" t="str">
        <f>VLOOKUP($A356,[1]Table!$A$2:$N534,G$1,FALSE)</f>
        <v>CYTARABINE 100MG/ML INJ/INF</v>
      </c>
      <c r="H356" t="str">
        <f>VLOOKUP($A356,[1]Table!$A$2:$N534,H$1,FALSE)</f>
        <v>injectie/infusieoplossing</v>
      </c>
      <c r="I356" t="str">
        <f>VLOOKUP($A356,[1]Table!$A$2:$N534,I$1,FALSE)</f>
        <v>iv||sc</v>
      </c>
      <c r="J356">
        <f>VLOOKUP($A356,[1]Table!$A$2:$N534,J$1,FALSE)</f>
        <v>100</v>
      </c>
      <c r="K356" t="str">
        <f>VLOOKUP($A356,[1]Table!$A$2:$N534,K$1,FALSE)</f>
        <v>mg/ml</v>
      </c>
      <c r="L356">
        <f>VLOOKUP($A356,[1]Table!$A$2:$N534,L$1,FALSE)</f>
        <v>100</v>
      </c>
      <c r="M356" t="str">
        <f>VLOOKUP($A356,[1]Table!$A$2:$N534,M$1,FALSE)</f>
        <v>mg</v>
      </c>
      <c r="N356" t="str">
        <f>VLOOKUP($A356,[1]Table!$A$2:$N534,N$1,FALSE)</f>
        <v>Oncologische aandoeningen</v>
      </c>
      <c r="O356" t="str">
        <f>ConcatenateRange(AZ356:BU356,"||")</f>
        <v/>
      </c>
      <c r="AZ356" t="str">
        <f t="shared" si="132"/>
        <v/>
      </c>
      <c r="BA356" t="str">
        <f t="shared" si="133"/>
        <v/>
      </c>
      <c r="BB356" t="str">
        <f t="shared" si="134"/>
        <v/>
      </c>
      <c r="BC356" t="str">
        <f t="shared" si="135"/>
        <v/>
      </c>
      <c r="BD356" t="str">
        <f t="shared" si="136"/>
        <v/>
      </c>
      <c r="BE356" t="str">
        <f t="shared" si="137"/>
        <v/>
      </c>
      <c r="BF356" t="str">
        <f t="shared" si="138"/>
        <v/>
      </c>
      <c r="BG356" t="str">
        <f t="shared" si="139"/>
        <v/>
      </c>
      <c r="BH356" t="str">
        <f t="shared" si="140"/>
        <v/>
      </c>
      <c r="BI356" t="str">
        <f t="shared" si="141"/>
        <v/>
      </c>
      <c r="BJ356" t="str">
        <f t="shared" si="142"/>
        <v/>
      </c>
      <c r="BK356" t="str">
        <f t="shared" si="143"/>
        <v/>
      </c>
      <c r="BL356" t="str">
        <f t="shared" si="144"/>
        <v/>
      </c>
      <c r="BM356" t="str">
        <f t="shared" si="145"/>
        <v/>
      </c>
      <c r="BN356" t="str">
        <f t="shared" si="146"/>
        <v/>
      </c>
      <c r="BO356" t="str">
        <f t="shared" si="147"/>
        <v/>
      </c>
      <c r="BP356" t="str">
        <f t="shared" si="148"/>
        <v/>
      </c>
      <c r="BQ356" t="str">
        <f t="shared" si="149"/>
        <v/>
      </c>
      <c r="BR356" t="str">
        <f t="shared" si="150"/>
        <v/>
      </c>
      <c r="BS356" t="str">
        <f t="shared" si="151"/>
        <v/>
      </c>
      <c r="BT356" t="str">
        <f t="shared" si="152"/>
        <v/>
      </c>
      <c r="BU356" t="str">
        <f t="shared" si="153"/>
        <v/>
      </c>
    </row>
    <row r="357" spans="1:73">
      <c r="A357" s="1">
        <v>9024</v>
      </c>
      <c r="B357" t="str">
        <f>VLOOKUP($A357,[1]Table!$A$2:$N535,B$1,FALSE)</f>
        <v>L01BC01</v>
      </c>
      <c r="C357" t="str">
        <f>VLOOKUP($A357,[1]Table!$A$2:$N535,C$1,FALSE)</f>
        <v>ONCOLYTICA</v>
      </c>
      <c r="D357" t="str">
        <f>VLOOKUP($A357,[1]Table!$A$2:$N535,D$1,FALSE)</f>
        <v>ANTIMETABOLIETEN</v>
      </c>
      <c r="E357" t="str">
        <f>VLOOKUP($A357,[1]Table!$A$2:$N535,E$1,FALSE)</f>
        <v>CYTARABINE</v>
      </c>
      <c r="F357" t="str">
        <f>VLOOKUP($A357,[1]Table!$A$2:$N535,F$1,FALSE)</f>
        <v>CYTARABINE 100 MG = 5 ML FLACON</v>
      </c>
      <c r="G357" t="str">
        <f>VLOOKUP($A357,[1]Table!$A$2:$N535,G$1,FALSE)</f>
        <v>CYTARABINE 20MG/ML INJVLST</v>
      </c>
      <c r="H357" t="str">
        <f>VLOOKUP($A357,[1]Table!$A$2:$N535,H$1,FALSE)</f>
        <v>injectievloeistof</v>
      </c>
      <c r="I357" t="str">
        <f>VLOOKUP($A357,[1]Table!$A$2:$N535,I$1,FALSE)</f>
        <v>iv||sc||intrathec</v>
      </c>
      <c r="J357">
        <f>VLOOKUP($A357,[1]Table!$A$2:$N535,J$1,FALSE)</f>
        <v>20</v>
      </c>
      <c r="K357" t="str">
        <f>VLOOKUP($A357,[1]Table!$A$2:$N535,K$1,FALSE)</f>
        <v>mg/ml</v>
      </c>
      <c r="L357">
        <f>VLOOKUP($A357,[1]Table!$A$2:$N535,L$1,FALSE)</f>
        <v>20</v>
      </c>
      <c r="M357" t="str">
        <f>VLOOKUP($A357,[1]Table!$A$2:$N535,M$1,FALSE)</f>
        <v>mg</v>
      </c>
      <c r="N357" t="str">
        <f>VLOOKUP($A357,[1]Table!$A$2:$N535,N$1,FALSE)</f>
        <v>Oncologische aandoeningen</v>
      </c>
      <c r="O357" t="str">
        <f>ConcatenateRange(AZ357:BU357,"||")</f>
        <v/>
      </c>
      <c r="AZ357" t="str">
        <f t="shared" si="132"/>
        <v/>
      </c>
      <c r="BA357" t="str">
        <f t="shared" si="133"/>
        <v/>
      </c>
      <c r="BB357" t="str">
        <f t="shared" si="134"/>
        <v/>
      </c>
      <c r="BC357" t="str">
        <f t="shared" si="135"/>
        <v/>
      </c>
      <c r="BD357" t="str">
        <f t="shared" si="136"/>
        <v/>
      </c>
      <c r="BE357" t="str">
        <f t="shared" si="137"/>
        <v/>
      </c>
      <c r="BF357" t="str">
        <f t="shared" si="138"/>
        <v/>
      </c>
      <c r="BG357" t="str">
        <f t="shared" si="139"/>
        <v/>
      </c>
      <c r="BH357" t="str">
        <f t="shared" si="140"/>
        <v/>
      </c>
      <c r="BI357" t="str">
        <f t="shared" si="141"/>
        <v/>
      </c>
      <c r="BJ357" t="str">
        <f t="shared" si="142"/>
        <v/>
      </c>
      <c r="BK357" t="str">
        <f t="shared" si="143"/>
        <v/>
      </c>
      <c r="BL357" t="str">
        <f t="shared" si="144"/>
        <v/>
      </c>
      <c r="BM357" t="str">
        <f t="shared" si="145"/>
        <v/>
      </c>
      <c r="BN357" t="str">
        <f t="shared" si="146"/>
        <v/>
      </c>
      <c r="BO357" t="str">
        <f t="shared" si="147"/>
        <v/>
      </c>
      <c r="BP357" t="str">
        <f t="shared" si="148"/>
        <v/>
      </c>
      <c r="BQ357" t="str">
        <f t="shared" si="149"/>
        <v/>
      </c>
      <c r="BR357" t="str">
        <f t="shared" si="150"/>
        <v/>
      </c>
      <c r="BS357" t="str">
        <f t="shared" si="151"/>
        <v/>
      </c>
      <c r="BT357" t="str">
        <f t="shared" si="152"/>
        <v/>
      </c>
      <c r="BU357" t="str">
        <f t="shared" si="153"/>
        <v/>
      </c>
    </row>
    <row r="358" spans="1:73">
      <c r="A358" s="1">
        <v>135720</v>
      </c>
      <c r="B358" t="str">
        <f>VLOOKUP($A358,[1]Table!$A$2:$N536,B$1,FALSE)</f>
        <v>L01BC01</v>
      </c>
      <c r="C358" t="str">
        <f>VLOOKUP($A358,[1]Table!$A$2:$N536,C$1,FALSE)</f>
        <v>ONCOLYTICA</v>
      </c>
      <c r="D358" t="str">
        <f>VLOOKUP($A358,[1]Table!$A$2:$N536,D$1,FALSE)</f>
        <v>ANTIMETABOLIETEN</v>
      </c>
      <c r="E358" t="str">
        <f>VLOOKUP($A358,[1]Table!$A$2:$N536,E$1,FALSE)</f>
        <v>CYTARABINE</v>
      </c>
      <c r="F358" t="str">
        <f>VLOOKUP($A358,[1]Table!$A$2:$N536,F$1,FALSE)</f>
        <v>DEPOCYTE 50MG/5ML SUSP VOOR INJECTIE</v>
      </c>
      <c r="G358" t="str">
        <f>VLOOKUP($A358,[1]Table!$A$2:$N536,G$1,FALSE)</f>
        <v>CYTARABINE 10MG/ML INJSUSP</v>
      </c>
      <c r="H358" t="str">
        <f>VLOOKUP($A358,[1]Table!$A$2:$N536,H$1,FALSE)</f>
        <v>suspensie voor injectie</v>
      </c>
      <c r="I358" t="str">
        <f>VLOOKUP($A358,[1]Table!$A$2:$N536,I$1,FALSE)</f>
        <v>intrathec</v>
      </c>
      <c r="J358">
        <f>VLOOKUP($A358,[1]Table!$A$2:$N536,J$1,FALSE)</f>
        <v>10</v>
      </c>
      <c r="K358" t="str">
        <f>VLOOKUP($A358,[1]Table!$A$2:$N536,K$1,FALSE)</f>
        <v>mg/ml</v>
      </c>
      <c r="L358">
        <f>VLOOKUP($A358,[1]Table!$A$2:$N536,L$1,FALSE)</f>
        <v>10</v>
      </c>
      <c r="M358" t="str">
        <f>VLOOKUP($A358,[1]Table!$A$2:$N536,M$1,FALSE)</f>
        <v>mg</v>
      </c>
      <c r="N358" t="str">
        <f>VLOOKUP($A358,[1]Table!$A$2:$N536,N$1,FALSE)</f>
        <v>Oncologische aandoeningen</v>
      </c>
      <c r="O358" t="str">
        <f>ConcatenateRange(AZ358:BU358,"||")</f>
        <v/>
      </c>
      <c r="AZ358" t="str">
        <f t="shared" si="132"/>
        <v/>
      </c>
      <c r="BA358" t="str">
        <f t="shared" si="133"/>
        <v/>
      </c>
      <c r="BB358" t="str">
        <f t="shared" si="134"/>
        <v/>
      </c>
      <c r="BC358" t="str">
        <f t="shared" si="135"/>
        <v/>
      </c>
      <c r="BD358" t="str">
        <f t="shared" si="136"/>
        <v/>
      </c>
      <c r="BE358" t="str">
        <f t="shared" si="137"/>
        <v/>
      </c>
      <c r="BF358" t="str">
        <f t="shared" si="138"/>
        <v/>
      </c>
      <c r="BG358" t="str">
        <f t="shared" si="139"/>
        <v/>
      </c>
      <c r="BH358" t="str">
        <f t="shared" si="140"/>
        <v/>
      </c>
      <c r="BI358" t="str">
        <f t="shared" si="141"/>
        <v/>
      </c>
      <c r="BJ358" t="str">
        <f t="shared" si="142"/>
        <v/>
      </c>
      <c r="BK358" t="str">
        <f t="shared" si="143"/>
        <v/>
      </c>
      <c r="BL358" t="str">
        <f t="shared" si="144"/>
        <v/>
      </c>
      <c r="BM358" t="str">
        <f t="shared" si="145"/>
        <v/>
      </c>
      <c r="BN358" t="str">
        <f t="shared" si="146"/>
        <v/>
      </c>
      <c r="BO358" t="str">
        <f t="shared" si="147"/>
        <v/>
      </c>
      <c r="BP358" t="str">
        <f t="shared" si="148"/>
        <v/>
      </c>
      <c r="BQ358" t="str">
        <f t="shared" si="149"/>
        <v/>
      </c>
      <c r="BR358" t="str">
        <f t="shared" si="150"/>
        <v/>
      </c>
      <c r="BS358" t="str">
        <f t="shared" si="151"/>
        <v/>
      </c>
      <c r="BT358" t="str">
        <f t="shared" si="152"/>
        <v/>
      </c>
      <c r="BU358" t="str">
        <f t="shared" si="153"/>
        <v/>
      </c>
    </row>
    <row r="359" spans="1:73">
      <c r="A359" s="1">
        <v>133744</v>
      </c>
      <c r="B359" t="str">
        <f>VLOOKUP($A359,[1]Table!$A$2:$N537,B$1,FALSE)</f>
        <v>B01AB04</v>
      </c>
      <c r="C359" t="str">
        <f>VLOOKUP($A359,[1]Table!$A$2:$N537,C$1,FALSE)</f>
        <v>ANTITHROMBOTICA</v>
      </c>
      <c r="D359" t="str">
        <f>VLOOKUP($A359,[1]Table!$A$2:$N537,D$1,FALSE)</f>
        <v>ANTITHROMBOTICA</v>
      </c>
      <c r="E359" t="str">
        <f>VLOOKUP($A359,[1]Table!$A$2:$N537,E$1,FALSE)</f>
        <v>DALTEPARINE</v>
      </c>
      <c r="F359" t="str">
        <f>VLOOKUP($A359,[1]Table!$A$2:$N537,F$1,FALSE)</f>
        <v>FRAGMIN 10.000IE/ML AMPUL 1ML</v>
      </c>
      <c r="G359" t="str">
        <f>VLOOKUP($A359,[1]Table!$A$2:$N537,G$1,FALSE)</f>
        <v>DALTEPARINE 10000IE/ML INJV</v>
      </c>
      <c r="H359" t="str">
        <f>VLOOKUP($A359,[1]Table!$A$2:$N537,H$1,FALSE)</f>
        <v>injectievloeistof</v>
      </c>
      <c r="I359" t="str">
        <f>VLOOKUP($A359,[1]Table!$A$2:$N537,I$1,FALSE)</f>
        <v>iv||sc</v>
      </c>
      <c r="J359">
        <f>VLOOKUP($A359,[1]Table!$A$2:$N537,J$1,FALSE)</f>
        <v>10000</v>
      </c>
      <c r="K359" t="str">
        <f>VLOOKUP($A359,[1]Table!$A$2:$N537,K$1,FALSE)</f>
        <v>IE/ml</v>
      </c>
      <c r="L359">
        <f>VLOOKUP($A359,[1]Table!$A$2:$N537,L$1,FALSE)</f>
        <v>10000</v>
      </c>
      <c r="M359" t="str">
        <f>VLOOKUP($A359,[1]Table!$A$2:$N537,M$1,FALSE)</f>
        <v>IE</v>
      </c>
      <c r="N359" t="str">
        <f>VLOOKUP($A359,[1]Table!$A$2:$N537,N$1,FALSE)</f>
        <v>Behandeling veneuze trombose||Hemodialyse</v>
      </c>
      <c r="O359" t="str">
        <f>ConcatenateRange(AZ359:BU359,"||")</f>
        <v/>
      </c>
      <c r="AZ359" t="str">
        <f t="shared" si="132"/>
        <v/>
      </c>
      <c r="BA359" t="str">
        <f t="shared" si="133"/>
        <v/>
      </c>
      <c r="BB359" t="str">
        <f t="shared" si="134"/>
        <v/>
      </c>
      <c r="BC359" t="str">
        <f t="shared" si="135"/>
        <v/>
      </c>
      <c r="BD359" t="str">
        <f t="shared" si="136"/>
        <v/>
      </c>
      <c r="BE359" t="str">
        <f t="shared" si="137"/>
        <v/>
      </c>
      <c r="BF359" t="str">
        <f t="shared" si="138"/>
        <v/>
      </c>
      <c r="BG359" t="str">
        <f t="shared" si="139"/>
        <v/>
      </c>
      <c r="BH359" t="str">
        <f t="shared" si="140"/>
        <v/>
      </c>
      <c r="BI359" t="str">
        <f t="shared" si="141"/>
        <v/>
      </c>
      <c r="BJ359" t="str">
        <f t="shared" si="142"/>
        <v/>
      </c>
      <c r="BK359" t="str">
        <f t="shared" si="143"/>
        <v/>
      </c>
      <c r="BL359" t="str">
        <f t="shared" si="144"/>
        <v/>
      </c>
      <c r="BM359" t="str">
        <f t="shared" si="145"/>
        <v/>
      </c>
      <c r="BN359" t="str">
        <f t="shared" si="146"/>
        <v/>
      </c>
      <c r="BO359" t="str">
        <f t="shared" si="147"/>
        <v/>
      </c>
      <c r="BP359" t="str">
        <f t="shared" si="148"/>
        <v/>
      </c>
      <c r="BQ359" t="str">
        <f t="shared" si="149"/>
        <v/>
      </c>
      <c r="BR359" t="str">
        <f t="shared" si="150"/>
        <v/>
      </c>
      <c r="BS359" t="str">
        <f t="shared" si="151"/>
        <v/>
      </c>
      <c r="BT359" t="str">
        <f t="shared" si="152"/>
        <v/>
      </c>
      <c r="BU359" t="str">
        <f t="shared" si="153"/>
        <v/>
      </c>
    </row>
    <row r="360" spans="1:73">
      <c r="A360" s="1">
        <v>77054</v>
      </c>
      <c r="B360" t="str">
        <f>VLOOKUP($A360,[1]Table!$A$2:$N538,B$1,FALSE)</f>
        <v>B01AB04</v>
      </c>
      <c r="C360" t="str">
        <f>VLOOKUP($A360,[1]Table!$A$2:$N538,C$1,FALSE)</f>
        <v>ANTITHROMBOTICA</v>
      </c>
      <c r="D360" t="str">
        <f>VLOOKUP($A360,[1]Table!$A$2:$N538,D$1,FALSE)</f>
        <v>ANTITHROMBOTICA</v>
      </c>
      <c r="E360" t="str">
        <f>VLOOKUP($A360,[1]Table!$A$2:$N538,E$1,FALSE)</f>
        <v>DALTEPARINE</v>
      </c>
      <c r="F360" t="str">
        <f>VLOOKUP($A360,[1]Table!$A$2:$N538,F$1,FALSE)</f>
        <v>FRAGMIN 2500 IE/0.2ML WEGWERPSPUIT</v>
      </c>
      <c r="G360" t="str">
        <f>VLOOKUP($A360,[1]Table!$A$2:$N538,G$1,FALSE)</f>
        <v>DALTEPARINE 12500IE/ML INJV</v>
      </c>
      <c r="H360" t="str">
        <f>VLOOKUP($A360,[1]Table!$A$2:$N538,H$1,FALSE)</f>
        <v>injectievloeistof</v>
      </c>
      <c r="I360" t="str">
        <f>VLOOKUP($A360,[1]Table!$A$2:$N538,I$1,FALSE)</f>
        <v>iv||sc</v>
      </c>
      <c r="J360">
        <f>VLOOKUP($A360,[1]Table!$A$2:$N538,J$1,FALSE)</f>
        <v>12500</v>
      </c>
      <c r="K360" t="str">
        <f>VLOOKUP($A360,[1]Table!$A$2:$N538,K$1,FALSE)</f>
        <v>IE/ml</v>
      </c>
      <c r="L360">
        <f>VLOOKUP($A360,[1]Table!$A$2:$N538,L$1,FALSE)</f>
        <v>12500</v>
      </c>
      <c r="M360" t="str">
        <f>VLOOKUP($A360,[1]Table!$A$2:$N538,M$1,FALSE)</f>
        <v>IE</v>
      </c>
      <c r="N360" t="str">
        <f>VLOOKUP($A360,[1]Table!$A$2:$N538,N$1,FALSE)</f>
        <v>Behandeling veneuze trombose||Hemodialyse</v>
      </c>
      <c r="O360" t="str">
        <f>ConcatenateRange(AZ360:BU360,"||")</f>
        <v/>
      </c>
      <c r="AZ360" t="str">
        <f t="shared" si="132"/>
        <v/>
      </c>
      <c r="BA360" t="str">
        <f t="shared" si="133"/>
        <v/>
      </c>
      <c r="BB360" t="str">
        <f t="shared" si="134"/>
        <v/>
      </c>
      <c r="BC360" t="str">
        <f t="shared" si="135"/>
        <v/>
      </c>
      <c r="BD360" t="str">
        <f t="shared" si="136"/>
        <v/>
      </c>
      <c r="BE360" t="str">
        <f t="shared" si="137"/>
        <v/>
      </c>
      <c r="BF360" t="str">
        <f t="shared" si="138"/>
        <v/>
      </c>
      <c r="BG360" t="str">
        <f t="shared" si="139"/>
        <v/>
      </c>
      <c r="BH360" t="str">
        <f t="shared" si="140"/>
        <v/>
      </c>
      <c r="BI360" t="str">
        <f t="shared" si="141"/>
        <v/>
      </c>
      <c r="BJ360" t="str">
        <f t="shared" si="142"/>
        <v/>
      </c>
      <c r="BK360" t="str">
        <f t="shared" si="143"/>
        <v/>
      </c>
      <c r="BL360" t="str">
        <f t="shared" si="144"/>
        <v/>
      </c>
      <c r="BM360" t="str">
        <f t="shared" si="145"/>
        <v/>
      </c>
      <c r="BN360" t="str">
        <f t="shared" si="146"/>
        <v/>
      </c>
      <c r="BO360" t="str">
        <f t="shared" si="147"/>
        <v/>
      </c>
      <c r="BP360" t="str">
        <f t="shared" si="148"/>
        <v/>
      </c>
      <c r="BQ360" t="str">
        <f t="shared" si="149"/>
        <v/>
      </c>
      <c r="BR360" t="str">
        <f t="shared" si="150"/>
        <v/>
      </c>
      <c r="BS360" t="str">
        <f t="shared" si="151"/>
        <v/>
      </c>
      <c r="BT360" t="str">
        <f t="shared" si="152"/>
        <v/>
      </c>
      <c r="BU360" t="str">
        <f t="shared" si="153"/>
        <v/>
      </c>
    </row>
    <row r="361" spans="1:73">
      <c r="A361" s="1">
        <v>77062</v>
      </c>
      <c r="B361" t="str">
        <f>VLOOKUP($A361,[1]Table!$A$2:$N539,B$1,FALSE)</f>
        <v>B01AB04</v>
      </c>
      <c r="C361" t="str">
        <f>VLOOKUP($A361,[1]Table!$A$2:$N539,C$1,FALSE)</f>
        <v>ANTITHROMBOTICA</v>
      </c>
      <c r="D361" t="str">
        <f>VLOOKUP($A361,[1]Table!$A$2:$N539,D$1,FALSE)</f>
        <v>ANTITHROMBOTICA</v>
      </c>
      <c r="E361" t="str">
        <f>VLOOKUP($A361,[1]Table!$A$2:$N539,E$1,FALSE)</f>
        <v>DALTEPARINE</v>
      </c>
      <c r="F361" t="str">
        <f>VLOOKUP($A361,[1]Table!$A$2:$N539,F$1,FALSE)</f>
        <v>FRAGMIN 10.000IE/0.4ML WEGWERPSPUIT</v>
      </c>
      <c r="G361" t="str">
        <f>VLOOKUP($A361,[1]Table!$A$2:$N539,G$1,FALSE)</f>
        <v>DALTEPARINE 25000IE/ML INJV</v>
      </c>
      <c r="H361" t="str">
        <f>VLOOKUP($A361,[1]Table!$A$2:$N539,H$1,FALSE)</f>
        <v>injectievloeistof</v>
      </c>
      <c r="I361" t="str">
        <f>VLOOKUP($A361,[1]Table!$A$2:$N539,I$1,FALSE)</f>
        <v>iv||sc</v>
      </c>
      <c r="J361">
        <f>VLOOKUP($A361,[1]Table!$A$2:$N539,J$1,FALSE)</f>
        <v>25000</v>
      </c>
      <c r="K361" t="str">
        <f>VLOOKUP($A361,[1]Table!$A$2:$N539,K$1,FALSE)</f>
        <v>IE/ml</v>
      </c>
      <c r="L361">
        <f>VLOOKUP($A361,[1]Table!$A$2:$N539,L$1,FALSE)</f>
        <v>25000</v>
      </c>
      <c r="M361" t="str">
        <f>VLOOKUP($A361,[1]Table!$A$2:$N539,M$1,FALSE)</f>
        <v>IE</v>
      </c>
      <c r="N361" t="str">
        <f>VLOOKUP($A361,[1]Table!$A$2:$N539,N$1,FALSE)</f>
        <v>Behandeling veneuze trombose||Hemodialyse</v>
      </c>
      <c r="O361" t="str">
        <f>ConcatenateRange(AZ361:BU361,"||")</f>
        <v/>
      </c>
      <c r="AZ361" t="str">
        <f t="shared" si="132"/>
        <v/>
      </c>
      <c r="BA361" t="str">
        <f t="shared" si="133"/>
        <v/>
      </c>
      <c r="BB361" t="str">
        <f t="shared" si="134"/>
        <v/>
      </c>
      <c r="BC361" t="str">
        <f t="shared" si="135"/>
        <v/>
      </c>
      <c r="BD361" t="str">
        <f t="shared" si="136"/>
        <v/>
      </c>
      <c r="BE361" t="str">
        <f t="shared" si="137"/>
        <v/>
      </c>
      <c r="BF361" t="str">
        <f t="shared" si="138"/>
        <v/>
      </c>
      <c r="BG361" t="str">
        <f t="shared" si="139"/>
        <v/>
      </c>
      <c r="BH361" t="str">
        <f t="shared" si="140"/>
        <v/>
      </c>
      <c r="BI361" t="str">
        <f t="shared" si="141"/>
        <v/>
      </c>
      <c r="BJ361" t="str">
        <f t="shared" si="142"/>
        <v/>
      </c>
      <c r="BK361" t="str">
        <f t="shared" si="143"/>
        <v/>
      </c>
      <c r="BL361" t="str">
        <f t="shared" si="144"/>
        <v/>
      </c>
      <c r="BM361" t="str">
        <f t="shared" si="145"/>
        <v/>
      </c>
      <c r="BN361" t="str">
        <f t="shared" si="146"/>
        <v/>
      </c>
      <c r="BO361" t="str">
        <f t="shared" si="147"/>
        <v/>
      </c>
      <c r="BP361" t="str">
        <f t="shared" si="148"/>
        <v/>
      </c>
      <c r="BQ361" t="str">
        <f t="shared" si="149"/>
        <v/>
      </c>
      <c r="BR361" t="str">
        <f t="shared" si="150"/>
        <v/>
      </c>
      <c r="BS361" t="str">
        <f t="shared" si="151"/>
        <v/>
      </c>
      <c r="BT361" t="str">
        <f t="shared" si="152"/>
        <v/>
      </c>
      <c r="BU361" t="str">
        <f t="shared" si="153"/>
        <v/>
      </c>
    </row>
    <row r="362" spans="1:73">
      <c r="A362" s="1">
        <v>87033</v>
      </c>
      <c r="B362" t="str">
        <f>VLOOKUP($A362,[1]Table!$A$2:$N540,B$1,FALSE)</f>
        <v>B01AB09</v>
      </c>
      <c r="C362" t="str">
        <f>VLOOKUP($A362,[1]Table!$A$2:$N540,C$1,FALSE)</f>
        <v>ANTITHROMBOTICA</v>
      </c>
      <c r="D362" t="str">
        <f>VLOOKUP($A362,[1]Table!$A$2:$N540,D$1,FALSE)</f>
        <v>ANTITHROMBOTICA</v>
      </c>
      <c r="E362" t="str">
        <f>VLOOKUP($A362,[1]Table!$A$2:$N540,E$1,FALSE)</f>
        <v>DANAPAROIDE</v>
      </c>
      <c r="F362" t="str">
        <f>VLOOKUP($A362,[1]Table!$A$2:$N540,F$1,FALSE)</f>
        <v>ORGARAN 750 AXAE/0,6 ML</v>
      </c>
      <c r="G362" t="str">
        <f>VLOOKUP($A362,[1]Table!$A$2:$N540,G$1,FALSE)</f>
        <v>DANAPAROIDE 1250AX/ML INJVL</v>
      </c>
      <c r="H362" t="str">
        <f>VLOOKUP($A362,[1]Table!$A$2:$N540,H$1,FALSE)</f>
        <v>injectievloeistof</v>
      </c>
      <c r="I362" t="str">
        <f>VLOOKUP($A362,[1]Table!$A$2:$N540,I$1,FALSE)</f>
        <v>iv||sc</v>
      </c>
      <c r="J362">
        <f>VLOOKUP($A362,[1]Table!$A$2:$N540,J$1,FALSE)</f>
        <v>1250</v>
      </c>
      <c r="K362" t="str">
        <f>VLOOKUP($A362,[1]Table!$A$2:$N540,K$1,FALSE)</f>
        <v>E/ml</v>
      </c>
      <c r="L362">
        <f>VLOOKUP($A362,[1]Table!$A$2:$N540,L$1,FALSE)</f>
        <v>1250</v>
      </c>
      <c r="M362" t="str">
        <f>VLOOKUP($A362,[1]Table!$A$2:$N540,M$1,FALSE)</f>
        <v>E</v>
      </c>
      <c r="N362" t="str">
        <f>VLOOKUP($A362,[1]Table!$A$2:$N540,N$1,FALSE)</f>
        <v>Behandeling van heparine geinduceerde trombocytopenie HIT) ||Profylaxe van heparine geinduceerde trombocytopenie</v>
      </c>
      <c r="O362" t="str">
        <f>ConcatenateRange(AZ362:BU362,"||")</f>
        <v/>
      </c>
      <c r="AZ362" t="str">
        <f t="shared" ref="AZ362:AZ423" si="154">IF(AA362&lt;&gt;0,AA$2,"")</f>
        <v/>
      </c>
      <c r="BA362" t="str">
        <f t="shared" ref="BA362:BA423" si="155">IF(AB362&lt;&gt;0,AB$2,"")</f>
        <v/>
      </c>
      <c r="BB362" t="str">
        <f t="shared" ref="BB362:BB423" si="156">IF(AC362&lt;&gt;0,AC$2,"")</f>
        <v/>
      </c>
      <c r="BC362" t="str">
        <f t="shared" ref="BC362:BC423" si="157">IF(AD362&lt;&gt;0,AD$2,"")</f>
        <v/>
      </c>
      <c r="BD362" t="str">
        <f t="shared" ref="BD362:BD423" si="158">IF(AE362&lt;&gt;0,AE$2,"")</f>
        <v/>
      </c>
      <c r="BE362" t="str">
        <f t="shared" ref="BE362:BE423" si="159">IF(AF362&lt;&gt;0,AF$2,"")</f>
        <v/>
      </c>
      <c r="BF362" t="str">
        <f t="shared" ref="BF362:BF423" si="160">IF(AG362&lt;&gt;0,AG$2,"")</f>
        <v/>
      </c>
      <c r="BG362" t="str">
        <f t="shared" ref="BG362:BG423" si="161">IF(AH362&lt;&gt;0,AH$2,"")</f>
        <v/>
      </c>
      <c r="BH362" t="str">
        <f t="shared" ref="BH362:BH423" si="162">IF(AI362&lt;&gt;0,AI$2,"")</f>
        <v/>
      </c>
      <c r="BI362" t="str">
        <f t="shared" ref="BI362:BI423" si="163">IF(AJ362&lt;&gt;0,AJ$2,"")</f>
        <v/>
      </c>
      <c r="BJ362" t="str">
        <f t="shared" ref="BJ362:BJ423" si="164">IF(AK362&lt;&gt;0,AK$2,"")</f>
        <v/>
      </c>
      <c r="BK362" t="str">
        <f t="shared" ref="BK362:BK423" si="165">IF(AL362&lt;&gt;0,AL$2,"")</f>
        <v/>
      </c>
      <c r="BL362" t="str">
        <f t="shared" ref="BL362:BL423" si="166">IF(AM362&lt;&gt;0,AM$2,"")</f>
        <v/>
      </c>
      <c r="BM362" t="str">
        <f t="shared" ref="BM362:BM423" si="167">IF(AN362&lt;&gt;0,AN$2,"")</f>
        <v/>
      </c>
      <c r="BN362" t="str">
        <f t="shared" ref="BN362:BN423" si="168">IF(AO362&lt;&gt;0,AO$2,"")</f>
        <v/>
      </c>
      <c r="BO362" t="str">
        <f t="shared" ref="BO362:BO423" si="169">IF(AP362&lt;&gt;0,AP$2,"")</f>
        <v/>
      </c>
      <c r="BP362" t="str">
        <f t="shared" ref="BP362:BP423" si="170">IF(AQ362&lt;&gt;0,AQ$2,"")</f>
        <v/>
      </c>
      <c r="BQ362" t="str">
        <f t="shared" ref="BQ362:BQ423" si="171">IF(AR362&lt;&gt;0,AR$2,"")</f>
        <v/>
      </c>
      <c r="BR362" t="str">
        <f t="shared" ref="BR362:BR423" si="172">IF(AS362&lt;&gt;0,AS$2,"")</f>
        <v/>
      </c>
      <c r="BS362" t="str">
        <f t="shared" ref="BS362:BS423" si="173">IF(AT362&lt;&gt;0,AT$2,"")</f>
        <v/>
      </c>
      <c r="BT362" t="str">
        <f t="shared" ref="BT362:BT423" si="174">IF(AU362&lt;&gt;0,AU$2,"")</f>
        <v/>
      </c>
      <c r="BU362" t="str">
        <f t="shared" ref="BU362:BU423" si="175">IF(AV362&lt;&gt;0,AV$2,"")</f>
        <v/>
      </c>
    </row>
    <row r="363" spans="1:73">
      <c r="A363" s="1">
        <v>10723</v>
      </c>
      <c r="B363" t="str">
        <f>VLOOKUP($A363,[1]Table!$A$2:$N541,B$1,FALSE)</f>
        <v>M03CA01</v>
      </c>
      <c r="C363" t="str">
        <f>VLOOKUP($A363,[1]Table!$A$2:$N541,C$1,FALSE)</f>
        <v>SPIERRELAXANTIA</v>
      </c>
      <c r="D363" t="str">
        <f>VLOOKUP($A363,[1]Table!$A$2:$N541,D$1,FALSE)</f>
        <v>DIRECT WERKENDE SPIERRELAXANTIA</v>
      </c>
      <c r="E363" t="str">
        <f>VLOOKUP($A363,[1]Table!$A$2:$N541,E$1,FALSE)</f>
        <v>DANTROLEEN</v>
      </c>
      <c r="F363" t="str">
        <f>VLOOKUP($A363,[1]Table!$A$2:$N541,F$1,FALSE)</f>
        <v>DANTRIUM 25 MG CAPSULE</v>
      </c>
      <c r="G363" t="str">
        <f>VLOOKUP($A363,[1]Table!$A$2:$N541,G$1,FALSE)</f>
        <v>DANTROLEEN 25MG CAPSULE</v>
      </c>
      <c r="H363" t="str">
        <f>VLOOKUP($A363,[1]Table!$A$2:$N541,H$1,FALSE)</f>
        <v>capsule</v>
      </c>
      <c r="I363" t="str">
        <f>VLOOKUP($A363,[1]Table!$A$2:$N541,I$1,FALSE)</f>
        <v>or</v>
      </c>
      <c r="J363">
        <f>VLOOKUP($A363,[1]Table!$A$2:$N541,J$1,FALSE)</f>
        <v>25</v>
      </c>
      <c r="K363" t="str">
        <f>VLOOKUP($A363,[1]Table!$A$2:$N541,K$1,FALSE)</f>
        <v>mg/stuk</v>
      </c>
      <c r="L363">
        <f>VLOOKUP($A363,[1]Table!$A$2:$N541,L$1,FALSE)</f>
        <v>25</v>
      </c>
      <c r="M363" t="str">
        <f>VLOOKUP($A363,[1]Table!$A$2:$N541,M$1,FALSE)</f>
        <v>mg</v>
      </c>
      <c r="N363" t="str">
        <f>VLOOKUP($A363,[1]Table!$A$2:$N541,N$1,FALSE)</f>
        <v>Spierspasmen||Maligne hypertermie</v>
      </c>
      <c r="O363" t="str">
        <f>ConcatenateRange(AZ363:BU363,"||")</f>
        <v/>
      </c>
      <c r="AZ363" t="str">
        <f t="shared" si="154"/>
        <v/>
      </c>
      <c r="BA363" t="str">
        <f t="shared" si="155"/>
        <v/>
      </c>
      <c r="BB363" t="str">
        <f t="shared" si="156"/>
        <v/>
      </c>
      <c r="BC363" t="str">
        <f t="shared" si="157"/>
        <v/>
      </c>
      <c r="BD363" t="str">
        <f t="shared" si="158"/>
        <v/>
      </c>
      <c r="BE363" t="str">
        <f t="shared" si="159"/>
        <v/>
      </c>
      <c r="BF363" t="str">
        <f t="shared" si="160"/>
        <v/>
      </c>
      <c r="BG363" t="str">
        <f t="shared" si="161"/>
        <v/>
      </c>
      <c r="BH363" t="str">
        <f t="shared" si="162"/>
        <v/>
      </c>
      <c r="BI363" t="str">
        <f t="shared" si="163"/>
        <v/>
      </c>
      <c r="BJ363" t="str">
        <f t="shared" si="164"/>
        <v/>
      </c>
      <c r="BK363" t="str">
        <f t="shared" si="165"/>
        <v/>
      </c>
      <c r="BL363" t="str">
        <f t="shared" si="166"/>
        <v/>
      </c>
      <c r="BM363" t="str">
        <f t="shared" si="167"/>
        <v/>
      </c>
      <c r="BN363" t="str">
        <f t="shared" si="168"/>
        <v/>
      </c>
      <c r="BO363" t="str">
        <f t="shared" si="169"/>
        <v/>
      </c>
      <c r="BP363" t="str">
        <f t="shared" si="170"/>
        <v/>
      </c>
      <c r="BQ363" t="str">
        <f t="shared" si="171"/>
        <v/>
      </c>
      <c r="BR363" t="str">
        <f t="shared" si="172"/>
        <v/>
      </c>
      <c r="BS363" t="str">
        <f t="shared" si="173"/>
        <v/>
      </c>
      <c r="BT363" t="str">
        <f t="shared" si="174"/>
        <v/>
      </c>
      <c r="BU363" t="str">
        <f t="shared" si="175"/>
        <v/>
      </c>
    </row>
    <row r="364" spans="1:73">
      <c r="A364" s="1">
        <v>75779</v>
      </c>
      <c r="B364" t="str">
        <f>VLOOKUP($A364,[1]Table!$A$2:$N542,B$1,FALSE)</f>
        <v>M03CA01</v>
      </c>
      <c r="C364" t="str">
        <f>VLOOKUP($A364,[1]Table!$A$2:$N542,C$1,FALSE)</f>
        <v>SPIERRELAXANTIA</v>
      </c>
      <c r="D364" t="str">
        <f>VLOOKUP($A364,[1]Table!$A$2:$N542,D$1,FALSE)</f>
        <v>DIRECT WERKENDE SPIERRELAXANTIA</v>
      </c>
      <c r="E364" t="str">
        <f>VLOOKUP($A364,[1]Table!$A$2:$N542,E$1,FALSE)</f>
        <v>DANTROLEEN</v>
      </c>
      <c r="F364" t="str">
        <f>VLOOKUP($A364,[1]Table!$A$2:$N542,F$1,FALSE)</f>
        <v>DANTRIUM 20 MG POEDER VOOR INJECTIE</v>
      </c>
      <c r="G364" t="str">
        <f>VLOOKUP($A364,[1]Table!$A$2:$N542,G$1,FALSE)</f>
        <v>DANTROLEEN 20MG PDR V INJVL</v>
      </c>
      <c r="H364" t="str">
        <f>VLOOKUP($A364,[1]Table!$A$2:$N542,H$1,FALSE)</f>
        <v>poeder voor injectievloeistof</v>
      </c>
      <c r="I364" t="str">
        <f>VLOOKUP($A364,[1]Table!$A$2:$N542,I$1,FALSE)</f>
        <v>iv</v>
      </c>
      <c r="J364">
        <f>VLOOKUP($A364,[1]Table!$A$2:$N542,J$1,FALSE)</f>
        <v>20</v>
      </c>
      <c r="K364" t="str">
        <f>VLOOKUP($A364,[1]Table!$A$2:$N542,K$1,FALSE)</f>
        <v>mg/stuk</v>
      </c>
      <c r="L364">
        <f>VLOOKUP($A364,[1]Table!$A$2:$N542,L$1,FALSE)</f>
        <v>20</v>
      </c>
      <c r="M364" t="str">
        <f>VLOOKUP($A364,[1]Table!$A$2:$N542,M$1,FALSE)</f>
        <v>mg</v>
      </c>
      <c r="N364" t="str">
        <f>VLOOKUP($A364,[1]Table!$A$2:$N542,N$1,FALSE)</f>
        <v>Spierspasmen||Maligne hypertermie</v>
      </c>
      <c r="O364" t="str">
        <f>ConcatenateRange(AZ364:BU364,"||")</f>
        <v/>
      </c>
      <c r="AZ364" t="str">
        <f t="shared" si="154"/>
        <v/>
      </c>
      <c r="BA364" t="str">
        <f t="shared" si="155"/>
        <v/>
      </c>
      <c r="BB364" t="str">
        <f t="shared" si="156"/>
        <v/>
      </c>
      <c r="BC364" t="str">
        <f t="shared" si="157"/>
        <v/>
      </c>
      <c r="BD364" t="str">
        <f t="shared" si="158"/>
        <v/>
      </c>
      <c r="BE364" t="str">
        <f t="shared" si="159"/>
        <v/>
      </c>
      <c r="BF364" t="str">
        <f t="shared" si="160"/>
        <v/>
      </c>
      <c r="BG364" t="str">
        <f t="shared" si="161"/>
        <v/>
      </c>
      <c r="BH364" t="str">
        <f t="shared" si="162"/>
        <v/>
      </c>
      <c r="BI364" t="str">
        <f t="shared" si="163"/>
        <v/>
      </c>
      <c r="BJ364" t="str">
        <f t="shared" si="164"/>
        <v/>
      </c>
      <c r="BK364" t="str">
        <f t="shared" si="165"/>
        <v/>
      </c>
      <c r="BL364" t="str">
        <f t="shared" si="166"/>
        <v/>
      </c>
      <c r="BM364" t="str">
        <f t="shared" si="167"/>
        <v/>
      </c>
      <c r="BN364" t="str">
        <f t="shared" si="168"/>
        <v/>
      </c>
      <c r="BO364" t="str">
        <f t="shared" si="169"/>
        <v/>
      </c>
      <c r="BP364" t="str">
        <f t="shared" si="170"/>
        <v/>
      </c>
      <c r="BQ364" t="str">
        <f t="shared" si="171"/>
        <v/>
      </c>
      <c r="BR364" t="str">
        <f t="shared" si="172"/>
        <v/>
      </c>
      <c r="BS364" t="str">
        <f t="shared" si="173"/>
        <v/>
      </c>
      <c r="BT364" t="str">
        <f t="shared" si="174"/>
        <v/>
      </c>
      <c r="BU364" t="str">
        <f t="shared" si="175"/>
        <v/>
      </c>
    </row>
    <row r="365" spans="1:73">
      <c r="A365" s="1">
        <v>23183</v>
      </c>
      <c r="B365" t="str">
        <f>VLOOKUP($A365,[1]Table!$A$2:$N543,B$1,FALSE)</f>
        <v>J04BA02</v>
      </c>
      <c r="C365" t="str">
        <f>VLOOKUP($A365,[1]Table!$A$2:$N543,C$1,FALSE)</f>
        <v>ANTIMYCOBACTERIELE MIDDELEN</v>
      </c>
      <c r="D365" t="str">
        <f>VLOOKUP($A365,[1]Table!$A$2:$N543,D$1,FALSE)</f>
        <v>LEPRAMIDDELEN</v>
      </c>
      <c r="E365" t="str">
        <f>VLOOKUP($A365,[1]Table!$A$2:$N543,E$1,FALSE)</f>
        <v>DAPSON</v>
      </c>
      <c r="F365" t="str">
        <f>VLOOKUP($A365,[1]Table!$A$2:$N543,F$1,FALSE)</f>
        <v>DAPSON 100 MG TABLET</v>
      </c>
      <c r="G365" t="str">
        <f>VLOOKUP($A365,[1]Table!$A$2:$N543,G$1,FALSE)</f>
        <v>DAPSON 100MG TABLET</v>
      </c>
      <c r="H365" t="str">
        <f>VLOOKUP($A365,[1]Table!$A$2:$N543,H$1,FALSE)</f>
        <v>tablet</v>
      </c>
      <c r="I365" t="str">
        <f>VLOOKUP($A365,[1]Table!$A$2:$N543,I$1,FALSE)</f>
        <v>or</v>
      </c>
      <c r="J365">
        <f>VLOOKUP($A365,[1]Table!$A$2:$N543,J$1,FALSE)</f>
        <v>100</v>
      </c>
      <c r="K365" t="str">
        <f>VLOOKUP($A365,[1]Table!$A$2:$N543,K$1,FALSE)</f>
        <v>mg/stuk</v>
      </c>
      <c r="L365">
        <f>VLOOKUP($A365,[1]Table!$A$2:$N543,L$1,FALSE)</f>
        <v>50</v>
      </c>
      <c r="M365" t="str">
        <f>VLOOKUP($A365,[1]Table!$A$2:$N543,M$1,FALSE)</f>
        <v>mg</v>
      </c>
      <c r="N365" t="str">
        <f>VLOOKUP($A365,[1]Table!$A$2:$N543,N$1,FALSE)</f>
        <v>Lepra, dermatitis herpetiformis</v>
      </c>
      <c r="O365" t="str">
        <f>ConcatenateRange(AZ365:BU365,"||")</f>
        <v/>
      </c>
      <c r="AZ365" t="str">
        <f t="shared" si="154"/>
        <v/>
      </c>
      <c r="BA365" t="str">
        <f t="shared" si="155"/>
        <v/>
      </c>
      <c r="BB365" t="str">
        <f t="shared" si="156"/>
        <v/>
      </c>
      <c r="BC365" t="str">
        <f t="shared" si="157"/>
        <v/>
      </c>
      <c r="BD365" t="str">
        <f t="shared" si="158"/>
        <v/>
      </c>
      <c r="BE365" t="str">
        <f t="shared" si="159"/>
        <v/>
      </c>
      <c r="BF365" t="str">
        <f t="shared" si="160"/>
        <v/>
      </c>
      <c r="BG365" t="str">
        <f t="shared" si="161"/>
        <v/>
      </c>
      <c r="BH365" t="str">
        <f t="shared" si="162"/>
        <v/>
      </c>
      <c r="BI365" t="str">
        <f t="shared" si="163"/>
        <v/>
      </c>
      <c r="BJ365" t="str">
        <f t="shared" si="164"/>
        <v/>
      </c>
      <c r="BK365" t="str">
        <f t="shared" si="165"/>
        <v/>
      </c>
      <c r="BL365" t="str">
        <f t="shared" si="166"/>
        <v/>
      </c>
      <c r="BM365" t="str">
        <f t="shared" si="167"/>
        <v/>
      </c>
      <c r="BN365" t="str">
        <f t="shared" si="168"/>
        <v/>
      </c>
      <c r="BO365" t="str">
        <f t="shared" si="169"/>
        <v/>
      </c>
      <c r="BP365" t="str">
        <f t="shared" si="170"/>
        <v/>
      </c>
      <c r="BQ365" t="str">
        <f t="shared" si="171"/>
        <v/>
      </c>
      <c r="BR365" t="str">
        <f t="shared" si="172"/>
        <v/>
      </c>
      <c r="BS365" t="str">
        <f t="shared" si="173"/>
        <v/>
      </c>
      <c r="BT365" t="str">
        <f t="shared" si="174"/>
        <v/>
      </c>
      <c r="BU365" t="str">
        <f t="shared" si="175"/>
        <v/>
      </c>
    </row>
    <row r="366" spans="1:73">
      <c r="A366" s="1">
        <v>132101</v>
      </c>
      <c r="B366" t="str">
        <f>VLOOKUP($A366,[1]Table!$A$2:$N544,B$1,FALSE)</f>
        <v>J01XX09</v>
      </c>
      <c r="C366" t="str">
        <f>VLOOKUP($A366,[1]Table!$A$2:$N544,C$1,FALSE)</f>
        <v>ANTIBACTERIELE MIDDELEN VOOR SYSTEMISCH GEBRUIK</v>
      </c>
      <c r="D366" t="str">
        <f>VLOOKUP($A366,[1]Table!$A$2:$N544,D$1,FALSE)</f>
        <v>OVERIGE ANTIBACTERIELE MIDDELEN</v>
      </c>
      <c r="E366" t="str">
        <f>VLOOKUP($A366,[1]Table!$A$2:$N544,E$1,FALSE)</f>
        <v>DAPTOMYCINE</v>
      </c>
      <c r="F366" t="str">
        <f>VLOOKUP($A366,[1]Table!$A$2:$N544,F$1,FALSE)</f>
        <v>CUBICIN 500 MG POEDER VOOR INFUSIE</v>
      </c>
      <c r="G366" t="str">
        <f>VLOOKUP($A366,[1]Table!$A$2:$N544,G$1,FALSE)</f>
        <v>DAPTOMYCINE 500MG PDR INJ/I</v>
      </c>
      <c r="H366" t="str">
        <f>VLOOKUP($A366,[1]Table!$A$2:$N544,H$1,FALSE)</f>
        <v>poeder voor injectie/infusieoplossing</v>
      </c>
      <c r="I366" t="str">
        <f>VLOOKUP($A366,[1]Table!$A$2:$N544,I$1,FALSE)</f>
        <v>iv</v>
      </c>
      <c r="J366">
        <f>VLOOKUP($A366,[1]Table!$A$2:$N544,J$1,FALSE)</f>
        <v>500</v>
      </c>
      <c r="K366" t="str">
        <f>VLOOKUP($A366,[1]Table!$A$2:$N544,K$1,FALSE)</f>
        <v>mg/stuk</v>
      </c>
      <c r="L366">
        <f>VLOOKUP($A366,[1]Table!$A$2:$N544,L$1,FALSE)</f>
        <v>500</v>
      </c>
      <c r="M366" t="str">
        <f>VLOOKUP($A366,[1]Table!$A$2:$N544,M$1,FALSE)</f>
        <v>mg</v>
      </c>
      <c r="N366" t="str">
        <f>VLOOKUP($A366,[1]Table!$A$2:$N544,N$1,FALSE)</f>
        <v>Infecties van huid en weke delen zonder bacteriëmie</v>
      </c>
      <c r="O366" t="str">
        <f>ConcatenateRange(AZ366:BU366,"||")</f>
        <v/>
      </c>
      <c r="AZ366" t="str">
        <f t="shared" si="154"/>
        <v/>
      </c>
      <c r="BA366" t="str">
        <f t="shared" si="155"/>
        <v/>
      </c>
      <c r="BB366" t="str">
        <f t="shared" si="156"/>
        <v/>
      </c>
      <c r="BC366" t="str">
        <f t="shared" si="157"/>
        <v/>
      </c>
      <c r="BD366" t="str">
        <f t="shared" si="158"/>
        <v/>
      </c>
      <c r="BE366" t="str">
        <f t="shared" si="159"/>
        <v/>
      </c>
      <c r="BF366" t="str">
        <f t="shared" si="160"/>
        <v/>
      </c>
      <c r="BG366" t="str">
        <f t="shared" si="161"/>
        <v/>
      </c>
      <c r="BH366" t="str">
        <f t="shared" si="162"/>
        <v/>
      </c>
      <c r="BI366" t="str">
        <f t="shared" si="163"/>
        <v/>
      </c>
      <c r="BJ366" t="str">
        <f t="shared" si="164"/>
        <v/>
      </c>
      <c r="BK366" t="str">
        <f t="shared" si="165"/>
        <v/>
      </c>
      <c r="BL366" t="str">
        <f t="shared" si="166"/>
        <v/>
      </c>
      <c r="BM366" t="str">
        <f t="shared" si="167"/>
        <v/>
      </c>
      <c r="BN366" t="str">
        <f t="shared" si="168"/>
        <v/>
      </c>
      <c r="BO366" t="str">
        <f t="shared" si="169"/>
        <v/>
      </c>
      <c r="BP366" t="str">
        <f t="shared" si="170"/>
        <v/>
      </c>
      <c r="BQ366" t="str">
        <f t="shared" si="171"/>
        <v/>
      </c>
      <c r="BR366" t="str">
        <f t="shared" si="172"/>
        <v/>
      </c>
      <c r="BS366" t="str">
        <f t="shared" si="173"/>
        <v/>
      </c>
      <c r="BT366" t="str">
        <f t="shared" si="174"/>
        <v/>
      </c>
      <c r="BU366" t="str">
        <f t="shared" si="175"/>
        <v/>
      </c>
    </row>
    <row r="367" spans="1:73">
      <c r="A367" s="1">
        <v>113395</v>
      </c>
      <c r="B367" t="str">
        <f>VLOOKUP($A367,[1]Table!$A$2:$N545,B$1,FALSE)</f>
        <v>B03XA02</v>
      </c>
      <c r="C367" t="str">
        <f>VLOOKUP($A367,[1]Table!$A$2:$N545,C$1,FALSE)</f>
        <v>MIDDELEN BIJ ANEMIE</v>
      </c>
      <c r="D367" t="str">
        <f>VLOOKUP($A367,[1]Table!$A$2:$N545,D$1,FALSE)</f>
        <v>OVERIGE MIDDELEN BIJ ANEMIE</v>
      </c>
      <c r="E367" t="str">
        <f>VLOOKUP($A367,[1]Table!$A$2:$N545,E$1,FALSE)</f>
        <v>DARBEPOETINE</v>
      </c>
      <c r="F367" t="str">
        <f>VLOOKUP($A367,[1]Table!$A$2:$N545,F$1,FALSE)</f>
        <v>ARANESP 10 MICROG IN WEGWERPSPUIT 0.4 ML</v>
      </c>
      <c r="G367" t="str">
        <f>VLOOKUP($A367,[1]Table!$A$2:$N545,G$1,FALSE)</f>
        <v>DARBEPOETINE 25UG/ML INJVLS</v>
      </c>
      <c r="H367" t="str">
        <f>VLOOKUP($A367,[1]Table!$A$2:$N545,H$1,FALSE)</f>
        <v>injectievloeistof</v>
      </c>
      <c r="I367" t="str">
        <f>VLOOKUP($A367,[1]Table!$A$2:$N545,I$1,FALSE)</f>
        <v>iv||sc</v>
      </c>
      <c r="J367">
        <f>VLOOKUP($A367,[1]Table!$A$2:$N545,J$1,FALSE)</f>
        <v>25</v>
      </c>
      <c r="K367" t="str">
        <f>VLOOKUP($A367,[1]Table!$A$2:$N545,K$1,FALSE)</f>
        <v>mcg/ml</v>
      </c>
      <c r="L367">
        <f>VLOOKUP($A367,[1]Table!$A$2:$N545,L$1,FALSE)</f>
        <v>25</v>
      </c>
      <c r="M367" t="str">
        <f>VLOOKUP($A367,[1]Table!$A$2:$N545,M$1,FALSE)</f>
        <v>mcg</v>
      </c>
      <c r="N367" t="str">
        <f>VLOOKUP($A367,[1]Table!$A$2:$N545,N$1,FALSE)</f>
        <v>Anemie bij terminale nierinsufficientie</v>
      </c>
      <c r="O367" t="str">
        <f>ConcatenateRange(AZ367:BU367,"||")</f>
        <v/>
      </c>
      <c r="AZ367" t="str">
        <f t="shared" si="154"/>
        <v/>
      </c>
      <c r="BA367" t="str">
        <f t="shared" si="155"/>
        <v/>
      </c>
      <c r="BB367" t="str">
        <f t="shared" si="156"/>
        <v/>
      </c>
      <c r="BC367" t="str">
        <f t="shared" si="157"/>
        <v/>
      </c>
      <c r="BD367" t="str">
        <f t="shared" si="158"/>
        <v/>
      </c>
      <c r="BE367" t="str">
        <f t="shared" si="159"/>
        <v/>
      </c>
      <c r="BF367" t="str">
        <f t="shared" si="160"/>
        <v/>
      </c>
      <c r="BG367" t="str">
        <f t="shared" si="161"/>
        <v/>
      </c>
      <c r="BH367" t="str">
        <f t="shared" si="162"/>
        <v/>
      </c>
      <c r="BI367" t="str">
        <f t="shared" si="163"/>
        <v/>
      </c>
      <c r="BJ367" t="str">
        <f t="shared" si="164"/>
        <v/>
      </c>
      <c r="BK367" t="str">
        <f t="shared" si="165"/>
        <v/>
      </c>
      <c r="BL367" t="str">
        <f t="shared" si="166"/>
        <v/>
      </c>
      <c r="BM367" t="str">
        <f t="shared" si="167"/>
        <v/>
      </c>
      <c r="BN367" t="str">
        <f t="shared" si="168"/>
        <v/>
      </c>
      <c r="BO367" t="str">
        <f t="shared" si="169"/>
        <v/>
      </c>
      <c r="BP367" t="str">
        <f t="shared" si="170"/>
        <v/>
      </c>
      <c r="BQ367" t="str">
        <f t="shared" si="171"/>
        <v/>
      </c>
      <c r="BR367" t="str">
        <f t="shared" si="172"/>
        <v/>
      </c>
      <c r="BS367" t="str">
        <f t="shared" si="173"/>
        <v/>
      </c>
      <c r="BT367" t="str">
        <f t="shared" si="174"/>
        <v/>
      </c>
      <c r="BU367" t="str">
        <f t="shared" si="175"/>
        <v/>
      </c>
    </row>
    <row r="368" spans="1:73">
      <c r="A368" s="1">
        <v>113409</v>
      </c>
      <c r="B368" t="str">
        <f>VLOOKUP($A368,[1]Table!$A$2:$N546,B$1,FALSE)</f>
        <v>B03XA02</v>
      </c>
      <c r="C368" t="str">
        <f>VLOOKUP($A368,[1]Table!$A$2:$N546,C$1,FALSE)</f>
        <v>MIDDELEN BIJ ANEMIE</v>
      </c>
      <c r="D368" t="str">
        <f>VLOOKUP($A368,[1]Table!$A$2:$N546,D$1,FALSE)</f>
        <v>OVERIGE MIDDELEN BIJ ANEMIE</v>
      </c>
      <c r="E368" t="str">
        <f>VLOOKUP($A368,[1]Table!$A$2:$N546,E$1,FALSE)</f>
        <v>DARBEPOETINE</v>
      </c>
      <c r="F368" t="str">
        <f>VLOOKUP($A368,[1]Table!$A$2:$N546,F$1,FALSE)</f>
        <v>ARANESP 20 MICROG IN WEGWERPSPUIT 0.5 ML</v>
      </c>
      <c r="G368" t="str">
        <f>VLOOKUP($A368,[1]Table!$A$2:$N546,G$1,FALSE)</f>
        <v>DARBEPOETINE 40UG/ML INJVLS</v>
      </c>
      <c r="H368" t="str">
        <f>VLOOKUP($A368,[1]Table!$A$2:$N546,H$1,FALSE)</f>
        <v>injectievloeistof</v>
      </c>
      <c r="I368" t="str">
        <f>VLOOKUP($A368,[1]Table!$A$2:$N546,I$1,FALSE)</f>
        <v>iv||sc</v>
      </c>
      <c r="J368">
        <f>VLOOKUP($A368,[1]Table!$A$2:$N546,J$1,FALSE)</f>
        <v>40</v>
      </c>
      <c r="K368" t="str">
        <f>VLOOKUP($A368,[1]Table!$A$2:$N546,K$1,FALSE)</f>
        <v>mcg/ml</v>
      </c>
      <c r="L368">
        <f>VLOOKUP($A368,[1]Table!$A$2:$N546,L$1,FALSE)</f>
        <v>40</v>
      </c>
      <c r="M368" t="str">
        <f>VLOOKUP($A368,[1]Table!$A$2:$N546,M$1,FALSE)</f>
        <v>mcg</v>
      </c>
      <c r="N368" t="str">
        <f>VLOOKUP($A368,[1]Table!$A$2:$N546,N$1,FALSE)</f>
        <v>Anemie bij terminale nierinsufficientie</v>
      </c>
      <c r="O368" t="str">
        <f>ConcatenateRange(AZ368:BU368,"||")</f>
        <v/>
      </c>
      <c r="AZ368" t="str">
        <f t="shared" si="154"/>
        <v/>
      </c>
      <c r="BA368" t="str">
        <f t="shared" si="155"/>
        <v/>
      </c>
      <c r="BB368" t="str">
        <f t="shared" si="156"/>
        <v/>
      </c>
      <c r="BC368" t="str">
        <f t="shared" si="157"/>
        <v/>
      </c>
      <c r="BD368" t="str">
        <f t="shared" si="158"/>
        <v/>
      </c>
      <c r="BE368" t="str">
        <f t="shared" si="159"/>
        <v/>
      </c>
      <c r="BF368" t="str">
        <f t="shared" si="160"/>
        <v/>
      </c>
      <c r="BG368" t="str">
        <f t="shared" si="161"/>
        <v/>
      </c>
      <c r="BH368" t="str">
        <f t="shared" si="162"/>
        <v/>
      </c>
      <c r="BI368" t="str">
        <f t="shared" si="163"/>
        <v/>
      </c>
      <c r="BJ368" t="str">
        <f t="shared" si="164"/>
        <v/>
      </c>
      <c r="BK368" t="str">
        <f t="shared" si="165"/>
        <v/>
      </c>
      <c r="BL368" t="str">
        <f t="shared" si="166"/>
        <v/>
      </c>
      <c r="BM368" t="str">
        <f t="shared" si="167"/>
        <v/>
      </c>
      <c r="BN368" t="str">
        <f t="shared" si="168"/>
        <v/>
      </c>
      <c r="BO368" t="str">
        <f t="shared" si="169"/>
        <v/>
      </c>
      <c r="BP368" t="str">
        <f t="shared" si="170"/>
        <v/>
      </c>
      <c r="BQ368" t="str">
        <f t="shared" si="171"/>
        <v/>
      </c>
      <c r="BR368" t="str">
        <f t="shared" si="172"/>
        <v/>
      </c>
      <c r="BS368" t="str">
        <f t="shared" si="173"/>
        <v/>
      </c>
      <c r="BT368" t="str">
        <f t="shared" si="174"/>
        <v/>
      </c>
      <c r="BU368" t="str">
        <f t="shared" si="175"/>
        <v/>
      </c>
    </row>
    <row r="369" spans="1:73">
      <c r="A369" s="1">
        <v>113417</v>
      </c>
      <c r="B369" t="str">
        <f>VLOOKUP($A369,[1]Table!$A$2:$N547,B$1,FALSE)</f>
        <v>B03XA02</v>
      </c>
      <c r="C369" t="str">
        <f>VLOOKUP($A369,[1]Table!$A$2:$N547,C$1,FALSE)</f>
        <v>MIDDELEN BIJ ANEMIE</v>
      </c>
      <c r="D369" t="str">
        <f>VLOOKUP($A369,[1]Table!$A$2:$N547,D$1,FALSE)</f>
        <v>OVERIGE MIDDELEN BIJ ANEMIE</v>
      </c>
      <c r="E369" t="str">
        <f>VLOOKUP($A369,[1]Table!$A$2:$N547,E$1,FALSE)</f>
        <v>DARBEPOETINE</v>
      </c>
      <c r="F369" t="str">
        <f>VLOOKUP($A369,[1]Table!$A$2:$N547,F$1,FALSE)</f>
        <v>ARANESP 30 MICROG IN WEGWERPSPUIT 0.3 ML</v>
      </c>
      <c r="G369" t="str">
        <f>VLOOKUP($A369,[1]Table!$A$2:$N547,G$1,FALSE)</f>
        <v>DARBEPOETINE 100UG/ML INJVL</v>
      </c>
      <c r="H369" t="str">
        <f>VLOOKUP($A369,[1]Table!$A$2:$N547,H$1,FALSE)</f>
        <v>injectievloeistof</v>
      </c>
      <c r="I369" t="str">
        <f>VLOOKUP($A369,[1]Table!$A$2:$N547,I$1,FALSE)</f>
        <v>iv||sc</v>
      </c>
      <c r="J369">
        <f>VLOOKUP($A369,[1]Table!$A$2:$N547,J$1,FALSE)</f>
        <v>100</v>
      </c>
      <c r="K369" t="str">
        <f>VLOOKUP($A369,[1]Table!$A$2:$N547,K$1,FALSE)</f>
        <v>mcg/ml</v>
      </c>
      <c r="L369">
        <f>VLOOKUP($A369,[1]Table!$A$2:$N547,L$1,FALSE)</f>
        <v>100</v>
      </c>
      <c r="M369" t="str">
        <f>VLOOKUP($A369,[1]Table!$A$2:$N547,M$1,FALSE)</f>
        <v>mcg</v>
      </c>
      <c r="N369" t="str">
        <f>VLOOKUP($A369,[1]Table!$A$2:$N547,N$1,FALSE)</f>
        <v>Anemie bij terminale nierinsufficientie</v>
      </c>
      <c r="O369" t="str">
        <f>ConcatenateRange(AZ369:BU369,"||")</f>
        <v/>
      </c>
      <c r="AZ369" t="str">
        <f t="shared" si="154"/>
        <v/>
      </c>
      <c r="BA369" t="str">
        <f t="shared" si="155"/>
        <v/>
      </c>
      <c r="BB369" t="str">
        <f t="shared" si="156"/>
        <v/>
      </c>
      <c r="BC369" t="str">
        <f t="shared" si="157"/>
        <v/>
      </c>
      <c r="BD369" t="str">
        <f t="shared" si="158"/>
        <v/>
      </c>
      <c r="BE369" t="str">
        <f t="shared" si="159"/>
        <v/>
      </c>
      <c r="BF369" t="str">
        <f t="shared" si="160"/>
        <v/>
      </c>
      <c r="BG369" t="str">
        <f t="shared" si="161"/>
        <v/>
      </c>
      <c r="BH369" t="str">
        <f t="shared" si="162"/>
        <v/>
      </c>
      <c r="BI369" t="str">
        <f t="shared" si="163"/>
        <v/>
      </c>
      <c r="BJ369" t="str">
        <f t="shared" si="164"/>
        <v/>
      </c>
      <c r="BK369" t="str">
        <f t="shared" si="165"/>
        <v/>
      </c>
      <c r="BL369" t="str">
        <f t="shared" si="166"/>
        <v/>
      </c>
      <c r="BM369" t="str">
        <f t="shared" si="167"/>
        <v/>
      </c>
      <c r="BN369" t="str">
        <f t="shared" si="168"/>
        <v/>
      </c>
      <c r="BO369" t="str">
        <f t="shared" si="169"/>
        <v/>
      </c>
      <c r="BP369" t="str">
        <f t="shared" si="170"/>
        <v/>
      </c>
      <c r="BQ369" t="str">
        <f t="shared" si="171"/>
        <v/>
      </c>
      <c r="BR369" t="str">
        <f t="shared" si="172"/>
        <v/>
      </c>
      <c r="BS369" t="str">
        <f t="shared" si="173"/>
        <v/>
      </c>
      <c r="BT369" t="str">
        <f t="shared" si="174"/>
        <v/>
      </c>
      <c r="BU369" t="str">
        <f t="shared" si="175"/>
        <v/>
      </c>
    </row>
    <row r="370" spans="1:73">
      <c r="A370" s="1">
        <v>113425</v>
      </c>
      <c r="B370" t="str">
        <f>VLOOKUP($A370,[1]Table!$A$2:$N547,B$1,FALSE)</f>
        <v>B03XA02</v>
      </c>
      <c r="C370" t="str">
        <f>VLOOKUP($A370,[1]Table!$A$2:$N547,C$1,FALSE)</f>
        <v>MIDDELEN BIJ ANEMIE</v>
      </c>
      <c r="D370" t="str">
        <f>VLOOKUP($A370,[1]Table!$A$2:$N547,D$1,FALSE)</f>
        <v>OVERIGE MIDDELEN BIJ ANEMIE</v>
      </c>
      <c r="E370" t="str">
        <f>VLOOKUP($A370,[1]Table!$A$2:$N547,E$1,FALSE)</f>
        <v>DARBEPOETINE</v>
      </c>
      <c r="F370" t="str">
        <f>VLOOKUP($A370,[1]Table!$A$2:$N547,F$1,FALSE)</f>
        <v>ARANESP 100 MICROG IN WEGWERPSPUIT 0.5ML</v>
      </c>
      <c r="G370" t="str">
        <f>VLOOKUP($A370,[1]Table!$A$2:$N547,G$1,FALSE)</f>
        <v>DARBEPOETINE 200UG/ML INJVL</v>
      </c>
      <c r="H370" t="str">
        <f>VLOOKUP($A370,[1]Table!$A$2:$N547,H$1,FALSE)</f>
        <v>injectievloeistof</v>
      </c>
      <c r="I370" t="str">
        <f>VLOOKUP($A370,[1]Table!$A$2:$N547,I$1,FALSE)</f>
        <v>iv||sc</v>
      </c>
      <c r="J370">
        <f>VLOOKUP($A370,[1]Table!$A$2:$N547,J$1,FALSE)</f>
        <v>200</v>
      </c>
      <c r="K370" t="str">
        <f>VLOOKUP($A370,[1]Table!$A$2:$N547,K$1,FALSE)</f>
        <v>mcg/ml</v>
      </c>
      <c r="L370">
        <f>VLOOKUP($A370,[1]Table!$A$2:$N547,L$1,FALSE)</f>
        <v>200</v>
      </c>
      <c r="M370" t="str">
        <f>VLOOKUP($A370,[1]Table!$A$2:$N547,M$1,FALSE)</f>
        <v>mcg</v>
      </c>
      <c r="N370" t="str">
        <f>VLOOKUP($A370,[1]Table!$A$2:$N547,N$1,FALSE)</f>
        <v>Anemie bij terminale nierinsufficientie</v>
      </c>
      <c r="O370" t="str">
        <f>ConcatenateRange(AZ370:BU370,"||")</f>
        <v/>
      </c>
      <c r="AZ370" t="str">
        <f t="shared" si="154"/>
        <v/>
      </c>
      <c r="BA370" t="str">
        <f t="shared" si="155"/>
        <v/>
      </c>
      <c r="BB370" t="str">
        <f t="shared" si="156"/>
        <v/>
      </c>
      <c r="BC370" t="str">
        <f t="shared" si="157"/>
        <v/>
      </c>
      <c r="BD370" t="str">
        <f t="shared" si="158"/>
        <v/>
      </c>
      <c r="BE370" t="str">
        <f t="shared" si="159"/>
        <v/>
      </c>
      <c r="BF370" t="str">
        <f t="shared" si="160"/>
        <v/>
      </c>
      <c r="BG370" t="str">
        <f t="shared" si="161"/>
        <v/>
      </c>
      <c r="BH370" t="str">
        <f t="shared" si="162"/>
        <v/>
      </c>
      <c r="BI370" t="str">
        <f t="shared" si="163"/>
        <v/>
      </c>
      <c r="BJ370" t="str">
        <f t="shared" si="164"/>
        <v/>
      </c>
      <c r="BK370" t="str">
        <f t="shared" si="165"/>
        <v/>
      </c>
      <c r="BL370" t="str">
        <f t="shared" si="166"/>
        <v/>
      </c>
      <c r="BM370" t="str">
        <f t="shared" si="167"/>
        <v/>
      </c>
      <c r="BN370" t="str">
        <f t="shared" si="168"/>
        <v/>
      </c>
      <c r="BO370" t="str">
        <f t="shared" si="169"/>
        <v/>
      </c>
      <c r="BP370" t="str">
        <f t="shared" si="170"/>
        <v/>
      </c>
      <c r="BQ370" t="str">
        <f t="shared" si="171"/>
        <v/>
      </c>
      <c r="BR370" t="str">
        <f t="shared" si="172"/>
        <v/>
      </c>
      <c r="BS370" t="str">
        <f t="shared" si="173"/>
        <v/>
      </c>
      <c r="BT370" t="str">
        <f t="shared" si="174"/>
        <v/>
      </c>
      <c r="BU370" t="str">
        <f t="shared" si="175"/>
        <v/>
      </c>
    </row>
    <row r="371" spans="1:73">
      <c r="A371" s="1">
        <v>113433</v>
      </c>
      <c r="B371" t="str">
        <f>VLOOKUP($A371,[1]Table!$A$2:$N548,B$1,FALSE)</f>
        <v>B03XA02</v>
      </c>
      <c r="C371" t="str">
        <f>VLOOKUP($A371,[1]Table!$A$2:$N548,C$1,FALSE)</f>
        <v>MIDDELEN BIJ ANEMIE</v>
      </c>
      <c r="D371" t="str">
        <f>VLOOKUP($A371,[1]Table!$A$2:$N548,D$1,FALSE)</f>
        <v>OVERIGE MIDDELEN BIJ ANEMIE</v>
      </c>
      <c r="E371" t="str">
        <f>VLOOKUP($A371,[1]Table!$A$2:$N548,E$1,FALSE)</f>
        <v>DARBEPOETINE</v>
      </c>
      <c r="F371" t="str">
        <f>VLOOKUP($A371,[1]Table!$A$2:$N548,F$1,FALSE)</f>
        <v>ARANESP 150 MICROG IN WEGWERPSPUIT 0.3ML</v>
      </c>
      <c r="G371" t="str">
        <f>VLOOKUP($A371,[1]Table!$A$2:$N548,G$1,FALSE)</f>
        <v>DARBEPOETINE 500UG/ML INJVL</v>
      </c>
      <c r="H371" t="str">
        <f>VLOOKUP($A371,[1]Table!$A$2:$N548,H$1,FALSE)</f>
        <v>injectievloeistof</v>
      </c>
      <c r="I371" t="str">
        <f>VLOOKUP($A371,[1]Table!$A$2:$N548,I$1,FALSE)</f>
        <v>iv||sc</v>
      </c>
      <c r="J371">
        <f>VLOOKUP($A371,[1]Table!$A$2:$N548,J$1,FALSE)</f>
        <v>500</v>
      </c>
      <c r="K371" t="str">
        <f>VLOOKUP($A371,[1]Table!$A$2:$N548,K$1,FALSE)</f>
        <v>mcg/ml</v>
      </c>
      <c r="L371">
        <f>VLOOKUP($A371,[1]Table!$A$2:$N548,L$1,FALSE)</f>
        <v>500</v>
      </c>
      <c r="M371" t="str">
        <f>VLOOKUP($A371,[1]Table!$A$2:$N548,M$1,FALSE)</f>
        <v>mcg</v>
      </c>
      <c r="N371" t="str">
        <f>VLOOKUP($A371,[1]Table!$A$2:$N548,N$1,FALSE)</f>
        <v>Anemie bij terminale nierinsufficientie</v>
      </c>
      <c r="O371" t="str">
        <f>ConcatenateRange(AZ371:BU371,"||")</f>
        <v/>
      </c>
      <c r="AZ371" t="str">
        <f t="shared" si="154"/>
        <v/>
      </c>
      <c r="BA371" t="str">
        <f t="shared" si="155"/>
        <v/>
      </c>
      <c r="BB371" t="str">
        <f t="shared" si="156"/>
        <v/>
      </c>
      <c r="BC371" t="str">
        <f t="shared" si="157"/>
        <v/>
      </c>
      <c r="BD371" t="str">
        <f t="shared" si="158"/>
        <v/>
      </c>
      <c r="BE371" t="str">
        <f t="shared" si="159"/>
        <v/>
      </c>
      <c r="BF371" t="str">
        <f t="shared" si="160"/>
        <v/>
      </c>
      <c r="BG371" t="str">
        <f t="shared" si="161"/>
        <v/>
      </c>
      <c r="BH371" t="str">
        <f t="shared" si="162"/>
        <v/>
      </c>
      <c r="BI371" t="str">
        <f t="shared" si="163"/>
        <v/>
      </c>
      <c r="BJ371" t="str">
        <f t="shared" si="164"/>
        <v/>
      </c>
      <c r="BK371" t="str">
        <f t="shared" si="165"/>
        <v/>
      </c>
      <c r="BL371" t="str">
        <f t="shared" si="166"/>
        <v/>
      </c>
      <c r="BM371" t="str">
        <f t="shared" si="167"/>
        <v/>
      </c>
      <c r="BN371" t="str">
        <f t="shared" si="168"/>
        <v/>
      </c>
      <c r="BO371" t="str">
        <f t="shared" si="169"/>
        <v/>
      </c>
      <c r="BP371" t="str">
        <f t="shared" si="170"/>
        <v/>
      </c>
      <c r="BQ371" t="str">
        <f t="shared" si="171"/>
        <v/>
      </c>
      <c r="BR371" t="str">
        <f t="shared" si="172"/>
        <v/>
      </c>
      <c r="BS371" t="str">
        <f t="shared" si="173"/>
        <v/>
      </c>
      <c r="BT371" t="str">
        <f t="shared" si="174"/>
        <v/>
      </c>
      <c r="BU371" t="str">
        <f t="shared" si="175"/>
        <v/>
      </c>
    </row>
    <row r="372" spans="1:73">
      <c r="A372" s="1">
        <v>140821</v>
      </c>
      <c r="B372" t="str">
        <f>VLOOKUP($A372,[1]Table!$A$2:$N549,B$1,FALSE)</f>
        <v>J05AE10</v>
      </c>
      <c r="C372" t="str">
        <f>VLOOKUP($A372,[1]Table!$A$2:$N549,C$1,FALSE)</f>
        <v>ANTIVIRALE MIDDELEN VOOR SYSTEMISCH GEBRUIK</v>
      </c>
      <c r="D372" t="str">
        <f>VLOOKUP($A372,[1]Table!$A$2:$N549,D$1,FALSE)</f>
        <v>DIRECT WERKENDE ANTIVIRALE MIDDELEN</v>
      </c>
      <c r="E372" t="str">
        <f>VLOOKUP($A372,[1]Table!$A$2:$N549,E$1,FALSE)</f>
        <v>DARUNAVIR</v>
      </c>
      <c r="F372" t="str">
        <f>VLOOKUP($A372,[1]Table!$A$2:$N549,F$1,FALSE)</f>
        <v>PREZISTA 100 MG/ML SUSPENSIE 200ML</v>
      </c>
      <c r="G372" t="str">
        <f>VLOOKUP($A372,[1]Table!$A$2:$N549,G$1,FALSE)</f>
        <v>DARUNAVIR 100MG/ML SUSP ORA</v>
      </c>
      <c r="H372" t="str">
        <f>VLOOKUP($A372,[1]Table!$A$2:$N549,H$1,FALSE)</f>
        <v>suspensie voor oraal gebruik</v>
      </c>
      <c r="I372" t="str">
        <f>VLOOKUP($A372,[1]Table!$A$2:$N549,I$1,FALSE)</f>
        <v>or</v>
      </c>
      <c r="J372">
        <f>VLOOKUP($A372,[1]Table!$A$2:$N549,J$1,FALSE)</f>
        <v>100</v>
      </c>
      <c r="K372" t="str">
        <f>VLOOKUP($A372,[1]Table!$A$2:$N549,K$1,FALSE)</f>
        <v>mg/ml</v>
      </c>
      <c r="L372">
        <f>VLOOKUP($A372,[1]Table!$A$2:$N549,L$1,FALSE)</f>
        <v>100</v>
      </c>
      <c r="M372" t="str">
        <f>VLOOKUP($A372,[1]Table!$A$2:$N549,M$1,FALSE)</f>
        <v>mg</v>
      </c>
      <c r="N372" t="str">
        <f>VLOOKUP($A372,[1]Table!$A$2:$N549,N$1,FALSE)</f>
        <v>HIV (ART naieve en voorbehandelde patienten)</v>
      </c>
      <c r="O372" t="str">
        <f>ConcatenateRange(AZ372:BU372,"||")</f>
        <v/>
      </c>
      <c r="AZ372" t="str">
        <f t="shared" si="154"/>
        <v/>
      </c>
      <c r="BA372" t="str">
        <f t="shared" si="155"/>
        <v/>
      </c>
      <c r="BB372" t="str">
        <f t="shared" si="156"/>
        <v/>
      </c>
      <c r="BC372" t="str">
        <f t="shared" si="157"/>
        <v/>
      </c>
      <c r="BD372" t="str">
        <f t="shared" si="158"/>
        <v/>
      </c>
      <c r="BE372" t="str">
        <f t="shared" si="159"/>
        <v/>
      </c>
      <c r="BF372" t="str">
        <f t="shared" si="160"/>
        <v/>
      </c>
      <c r="BG372" t="str">
        <f t="shared" si="161"/>
        <v/>
      </c>
      <c r="BH372" t="str">
        <f t="shared" si="162"/>
        <v/>
      </c>
      <c r="BI372" t="str">
        <f t="shared" si="163"/>
        <v/>
      </c>
      <c r="BJ372" t="str">
        <f t="shared" si="164"/>
        <v/>
      </c>
      <c r="BK372" t="str">
        <f t="shared" si="165"/>
        <v/>
      </c>
      <c r="BL372" t="str">
        <f t="shared" si="166"/>
        <v/>
      </c>
      <c r="BM372" t="str">
        <f t="shared" si="167"/>
        <v/>
      </c>
      <c r="BN372" t="str">
        <f t="shared" si="168"/>
        <v/>
      </c>
      <c r="BO372" t="str">
        <f t="shared" si="169"/>
        <v/>
      </c>
      <c r="BP372" t="str">
        <f t="shared" si="170"/>
        <v/>
      </c>
      <c r="BQ372" t="str">
        <f t="shared" si="171"/>
        <v/>
      </c>
      <c r="BR372" t="str">
        <f t="shared" si="172"/>
        <v/>
      </c>
      <c r="BS372" t="str">
        <f t="shared" si="173"/>
        <v/>
      </c>
      <c r="BT372" t="str">
        <f t="shared" si="174"/>
        <v/>
      </c>
      <c r="BU372" t="str">
        <f t="shared" si="175"/>
        <v/>
      </c>
    </row>
    <row r="373" spans="1:73">
      <c r="A373" s="1">
        <v>130915</v>
      </c>
      <c r="B373" t="str">
        <f>VLOOKUP($A373,[1]Table!$A$2:$N550,B$1,FALSE)</f>
        <v>J05AE10</v>
      </c>
      <c r="C373" t="str">
        <f>VLOOKUP($A373,[1]Table!$A$2:$N550,C$1,FALSE)</f>
        <v>ANTIVIRALE MIDDELEN VOOR SYSTEMISCH GEBRUIK</v>
      </c>
      <c r="D373" t="str">
        <f>VLOOKUP($A373,[1]Table!$A$2:$N550,D$1,FALSE)</f>
        <v>DIRECT WERKENDE ANTIVIRALE MIDDELEN</v>
      </c>
      <c r="E373" t="str">
        <f>VLOOKUP($A373,[1]Table!$A$2:$N550,E$1,FALSE)</f>
        <v>DARUNAVIR</v>
      </c>
      <c r="F373" t="str">
        <f>VLOOKUP($A373,[1]Table!$A$2:$N550,F$1,FALSE)</f>
        <v>PREZISTA 600 MG TABLET FILMOMHULD</v>
      </c>
      <c r="G373" t="str">
        <f>VLOOKUP($A373,[1]Table!$A$2:$N550,G$1,FALSE)</f>
        <v>DARUNAVIR 600MG TABLET</v>
      </c>
      <c r="H373" t="str">
        <f>VLOOKUP($A373,[1]Table!$A$2:$N550,H$1,FALSE)</f>
        <v>tablet</v>
      </c>
      <c r="I373" t="str">
        <f>VLOOKUP($A373,[1]Table!$A$2:$N550,I$1,FALSE)</f>
        <v>or</v>
      </c>
      <c r="J373">
        <f>VLOOKUP($A373,[1]Table!$A$2:$N550,J$1,FALSE)</f>
        <v>600</v>
      </c>
      <c r="K373" t="str">
        <f>VLOOKUP($A373,[1]Table!$A$2:$N550,K$1,FALSE)</f>
        <v>mg/stuk</v>
      </c>
      <c r="L373">
        <f>VLOOKUP($A373,[1]Table!$A$2:$N550,L$1,FALSE)</f>
        <v>600</v>
      </c>
      <c r="M373" t="str">
        <f>VLOOKUP($A373,[1]Table!$A$2:$N550,M$1,FALSE)</f>
        <v>mg</v>
      </c>
      <c r="N373" t="str">
        <f>VLOOKUP($A373,[1]Table!$A$2:$N550,N$1,FALSE)</f>
        <v>HIV (ART naieve en voorbehandelde patienten)</v>
      </c>
      <c r="O373" t="str">
        <f>ConcatenateRange(AZ373:BU373,"||")</f>
        <v/>
      </c>
      <c r="AZ373" t="str">
        <f t="shared" si="154"/>
        <v/>
      </c>
      <c r="BA373" t="str">
        <f t="shared" si="155"/>
        <v/>
      </c>
      <c r="BB373" t="str">
        <f t="shared" si="156"/>
        <v/>
      </c>
      <c r="BC373" t="str">
        <f t="shared" si="157"/>
        <v/>
      </c>
      <c r="BD373" t="str">
        <f t="shared" si="158"/>
        <v/>
      </c>
      <c r="BE373" t="str">
        <f t="shared" si="159"/>
        <v/>
      </c>
      <c r="BF373" t="str">
        <f t="shared" si="160"/>
        <v/>
      </c>
      <c r="BG373" t="str">
        <f t="shared" si="161"/>
        <v/>
      </c>
      <c r="BH373" t="str">
        <f t="shared" si="162"/>
        <v/>
      </c>
      <c r="BI373" t="str">
        <f t="shared" si="163"/>
        <v/>
      </c>
      <c r="BJ373" t="str">
        <f t="shared" si="164"/>
        <v/>
      </c>
      <c r="BK373" t="str">
        <f t="shared" si="165"/>
        <v/>
      </c>
      <c r="BL373" t="str">
        <f t="shared" si="166"/>
        <v/>
      </c>
      <c r="BM373" t="str">
        <f t="shared" si="167"/>
        <v/>
      </c>
      <c r="BN373" t="str">
        <f t="shared" si="168"/>
        <v/>
      </c>
      <c r="BO373" t="str">
        <f t="shared" si="169"/>
        <v/>
      </c>
      <c r="BP373" t="str">
        <f t="shared" si="170"/>
        <v/>
      </c>
      <c r="BQ373" t="str">
        <f t="shared" si="171"/>
        <v/>
      </c>
      <c r="BR373" t="str">
        <f t="shared" si="172"/>
        <v/>
      </c>
      <c r="BS373" t="str">
        <f t="shared" si="173"/>
        <v/>
      </c>
      <c r="BT373" t="str">
        <f t="shared" si="174"/>
        <v/>
      </c>
      <c r="BU373" t="str">
        <f t="shared" si="175"/>
        <v/>
      </c>
    </row>
    <row r="374" spans="1:73">
      <c r="A374" s="1">
        <v>141453</v>
      </c>
      <c r="B374" t="str">
        <f>VLOOKUP($A374,[1]Table!$A$2:$N551,B$1,FALSE)</f>
        <v>J05AE10</v>
      </c>
      <c r="C374" t="str">
        <f>VLOOKUP($A374,[1]Table!$A$2:$N551,C$1,FALSE)</f>
        <v>ANTIVIRALE MIDDELEN VOOR SYSTEMISCH GEBRUIK</v>
      </c>
      <c r="D374" t="str">
        <f>VLOOKUP($A374,[1]Table!$A$2:$N551,D$1,FALSE)</f>
        <v>DIRECT WERKENDE ANTIVIRALE MIDDELEN</v>
      </c>
      <c r="E374" t="str">
        <f>VLOOKUP($A374,[1]Table!$A$2:$N551,E$1,FALSE)</f>
        <v>DARUNAVIR</v>
      </c>
      <c r="F374" t="str">
        <f>VLOOKUP($A374,[1]Table!$A$2:$N551,F$1,FALSE)</f>
        <v>PREZISTA 800 MG TABLET FILMOMHULD</v>
      </c>
      <c r="G374" t="str">
        <f>VLOOKUP($A374,[1]Table!$A$2:$N551,G$1,FALSE)</f>
        <v>DARUNAVIR 800MG TABLET</v>
      </c>
      <c r="H374" t="str">
        <f>VLOOKUP($A374,[1]Table!$A$2:$N551,H$1,FALSE)</f>
        <v>tablet</v>
      </c>
      <c r="I374" t="str">
        <f>VLOOKUP($A374,[1]Table!$A$2:$N551,I$1,FALSE)</f>
        <v>or</v>
      </c>
      <c r="J374">
        <f>VLOOKUP($A374,[1]Table!$A$2:$N551,J$1,FALSE)</f>
        <v>800</v>
      </c>
      <c r="K374" t="str">
        <f>VLOOKUP($A374,[1]Table!$A$2:$N551,K$1,FALSE)</f>
        <v>mg/stuk</v>
      </c>
      <c r="L374">
        <f>VLOOKUP($A374,[1]Table!$A$2:$N551,L$1,FALSE)</f>
        <v>800</v>
      </c>
      <c r="M374" t="str">
        <f>VLOOKUP($A374,[1]Table!$A$2:$N551,M$1,FALSE)</f>
        <v>mg</v>
      </c>
      <c r="N374" t="str">
        <f>VLOOKUP($A374,[1]Table!$A$2:$N551,N$1,FALSE)</f>
        <v>HIV (ART naieve en voorbehandelde patienten)</v>
      </c>
      <c r="O374" t="str">
        <f>ConcatenateRange(AZ374:BU374,"||")</f>
        <v/>
      </c>
      <c r="AZ374" t="str">
        <f t="shared" si="154"/>
        <v/>
      </c>
      <c r="BA374" t="str">
        <f t="shared" si="155"/>
        <v/>
      </c>
      <c r="BB374" t="str">
        <f t="shared" si="156"/>
        <v/>
      </c>
      <c r="BC374" t="str">
        <f t="shared" si="157"/>
        <v/>
      </c>
      <c r="BD374" t="str">
        <f t="shared" si="158"/>
        <v/>
      </c>
      <c r="BE374" t="str">
        <f t="shared" si="159"/>
        <v/>
      </c>
      <c r="BF374" t="str">
        <f t="shared" si="160"/>
        <v/>
      </c>
      <c r="BG374" t="str">
        <f t="shared" si="161"/>
        <v/>
      </c>
      <c r="BH374" t="str">
        <f t="shared" si="162"/>
        <v/>
      </c>
      <c r="BI374" t="str">
        <f t="shared" si="163"/>
        <v/>
      </c>
      <c r="BJ374" t="str">
        <f t="shared" si="164"/>
        <v/>
      </c>
      <c r="BK374" t="str">
        <f t="shared" si="165"/>
        <v/>
      </c>
      <c r="BL374" t="str">
        <f t="shared" si="166"/>
        <v/>
      </c>
      <c r="BM374" t="str">
        <f t="shared" si="167"/>
        <v/>
      </c>
      <c r="BN374" t="str">
        <f t="shared" si="168"/>
        <v/>
      </c>
      <c r="BO374" t="str">
        <f t="shared" si="169"/>
        <v/>
      </c>
      <c r="BP374" t="str">
        <f t="shared" si="170"/>
        <v/>
      </c>
      <c r="BQ374" t="str">
        <f t="shared" si="171"/>
        <v/>
      </c>
      <c r="BR374" t="str">
        <f t="shared" si="172"/>
        <v/>
      </c>
      <c r="BS374" t="str">
        <f t="shared" si="173"/>
        <v/>
      </c>
      <c r="BT374" t="str">
        <f t="shared" si="174"/>
        <v/>
      </c>
      <c r="BU374" t="str">
        <f t="shared" si="175"/>
        <v/>
      </c>
    </row>
    <row r="375" spans="1:73">
      <c r="A375" s="1">
        <v>126365</v>
      </c>
      <c r="B375" t="str">
        <f>VLOOKUP($A375,[1]Table!$A$2:$N552,B$1,FALSE)</f>
        <v>L01XE06</v>
      </c>
      <c r="C375" t="str">
        <f>VLOOKUP($A375,[1]Table!$A$2:$N552,C$1,FALSE)</f>
        <v>ONCOLYTICA</v>
      </c>
      <c r="D375" t="str">
        <f>VLOOKUP($A375,[1]Table!$A$2:$N552,D$1,FALSE)</f>
        <v>OVERIGE ONCOLYTICA</v>
      </c>
      <c r="E375" t="str">
        <f>VLOOKUP($A375,[1]Table!$A$2:$N552,E$1,FALSE)</f>
        <v>DASATINIB</v>
      </c>
      <c r="F375" t="str">
        <f>VLOOKUP($A375,[1]Table!$A$2:$N552,F$1,FALSE)</f>
        <v>SPRYCEL 20 MG TABLET FILMOMHULD</v>
      </c>
      <c r="G375" t="str">
        <f>VLOOKUP($A375,[1]Table!$A$2:$N552,G$1,FALSE)</f>
        <v>DASATINIB 20MG TABLET</v>
      </c>
      <c r="H375" t="str">
        <f>VLOOKUP($A375,[1]Table!$A$2:$N552,H$1,FALSE)</f>
        <v>tablet</v>
      </c>
      <c r="I375" t="str">
        <f>VLOOKUP($A375,[1]Table!$A$2:$N552,I$1,FALSE)</f>
        <v>or</v>
      </c>
      <c r="J375">
        <f>VLOOKUP($A375,[1]Table!$A$2:$N552,J$1,FALSE)</f>
        <v>20</v>
      </c>
      <c r="K375" t="str">
        <f>VLOOKUP($A375,[1]Table!$A$2:$N552,K$1,FALSE)</f>
        <v>mg/stuk</v>
      </c>
      <c r="L375">
        <f>VLOOKUP($A375,[1]Table!$A$2:$N552,L$1,FALSE)</f>
        <v>20</v>
      </c>
      <c r="M375" t="str">
        <f>VLOOKUP($A375,[1]Table!$A$2:$N552,M$1,FALSE)</f>
        <v>mg</v>
      </c>
      <c r="N375" t="str">
        <f>VLOOKUP($A375,[1]Table!$A$2:$N552,N$1,FALSE)</f>
        <v>Resistente/intolerante CML in chronische fase||Resistente/intolerante/recidiverende CML in acceleratie of blastaire fase, resistente/intolerante/recidiverende Ph+ ALL</v>
      </c>
      <c r="O375" t="str">
        <f>ConcatenateRange(AZ375:BU375,"||")</f>
        <v/>
      </c>
      <c r="AZ375" t="str">
        <f t="shared" si="154"/>
        <v/>
      </c>
      <c r="BA375" t="str">
        <f t="shared" si="155"/>
        <v/>
      </c>
      <c r="BB375" t="str">
        <f t="shared" si="156"/>
        <v/>
      </c>
      <c r="BC375" t="str">
        <f t="shared" si="157"/>
        <v/>
      </c>
      <c r="BD375" t="str">
        <f t="shared" si="158"/>
        <v/>
      </c>
      <c r="BE375" t="str">
        <f t="shared" si="159"/>
        <v/>
      </c>
      <c r="BF375" t="str">
        <f t="shared" si="160"/>
        <v/>
      </c>
      <c r="BG375" t="str">
        <f t="shared" si="161"/>
        <v/>
      </c>
      <c r="BH375" t="str">
        <f t="shared" si="162"/>
        <v/>
      </c>
      <c r="BI375" t="str">
        <f t="shared" si="163"/>
        <v/>
      </c>
      <c r="BJ375" t="str">
        <f t="shared" si="164"/>
        <v/>
      </c>
      <c r="BK375" t="str">
        <f t="shared" si="165"/>
        <v/>
      </c>
      <c r="BL375" t="str">
        <f t="shared" si="166"/>
        <v/>
      </c>
      <c r="BM375" t="str">
        <f t="shared" si="167"/>
        <v/>
      </c>
      <c r="BN375" t="str">
        <f t="shared" si="168"/>
        <v/>
      </c>
      <c r="BO375" t="str">
        <f t="shared" si="169"/>
        <v/>
      </c>
      <c r="BP375" t="str">
        <f t="shared" si="170"/>
        <v/>
      </c>
      <c r="BQ375" t="str">
        <f t="shared" si="171"/>
        <v/>
      </c>
      <c r="BR375" t="str">
        <f t="shared" si="172"/>
        <v/>
      </c>
      <c r="BS375" t="str">
        <f t="shared" si="173"/>
        <v/>
      </c>
      <c r="BT375" t="str">
        <f t="shared" si="174"/>
        <v/>
      </c>
      <c r="BU375" t="str">
        <f t="shared" si="175"/>
        <v/>
      </c>
    </row>
    <row r="376" spans="1:73">
      <c r="A376" s="1">
        <v>126381</v>
      </c>
      <c r="B376" t="str">
        <f>VLOOKUP($A376,[1]Table!$A$2:$N553,B$1,FALSE)</f>
        <v>L01XE06</v>
      </c>
      <c r="C376" t="str">
        <f>VLOOKUP($A376,[1]Table!$A$2:$N553,C$1,FALSE)</f>
        <v>ONCOLYTICA</v>
      </c>
      <c r="D376" t="str">
        <f>VLOOKUP($A376,[1]Table!$A$2:$N553,D$1,FALSE)</f>
        <v>OVERIGE ONCOLYTICA</v>
      </c>
      <c r="E376" t="str">
        <f>VLOOKUP($A376,[1]Table!$A$2:$N553,E$1,FALSE)</f>
        <v>DASATINIB</v>
      </c>
      <c r="F376" t="str">
        <f>VLOOKUP($A376,[1]Table!$A$2:$N553,F$1,FALSE)</f>
        <v>SPRYCEL 50 MG TABLET FILMOMHULD</v>
      </c>
      <c r="G376" t="str">
        <f>VLOOKUP($A376,[1]Table!$A$2:$N553,G$1,FALSE)</f>
        <v>DASATINIB 50MG TABLET</v>
      </c>
      <c r="H376" t="str">
        <f>VLOOKUP($A376,[1]Table!$A$2:$N553,H$1,FALSE)</f>
        <v>tablet</v>
      </c>
      <c r="I376" t="str">
        <f>VLOOKUP($A376,[1]Table!$A$2:$N553,I$1,FALSE)</f>
        <v>or</v>
      </c>
      <c r="J376">
        <f>VLOOKUP($A376,[1]Table!$A$2:$N553,J$1,FALSE)</f>
        <v>50</v>
      </c>
      <c r="K376" t="str">
        <f>VLOOKUP($A376,[1]Table!$A$2:$N553,K$1,FALSE)</f>
        <v>mg/stuk</v>
      </c>
      <c r="L376">
        <f>VLOOKUP($A376,[1]Table!$A$2:$N553,L$1,FALSE)</f>
        <v>50</v>
      </c>
      <c r="M376" t="str">
        <f>VLOOKUP($A376,[1]Table!$A$2:$N553,M$1,FALSE)</f>
        <v>mg</v>
      </c>
      <c r="N376" t="str">
        <f>VLOOKUP($A376,[1]Table!$A$2:$N553,N$1,FALSE)</f>
        <v>Resistente/intolerante CML in chronische fase||Resistente/intolerante/recidiverende CML in acceleratie of blastaire fase, resistente/intolerante/recidiverende Ph+ ALL</v>
      </c>
      <c r="O376" t="str">
        <f>ConcatenateRange(AZ376:BU376,"||")</f>
        <v/>
      </c>
      <c r="AZ376" t="str">
        <f t="shared" si="154"/>
        <v/>
      </c>
      <c r="BA376" t="str">
        <f t="shared" si="155"/>
        <v/>
      </c>
      <c r="BB376" t="str">
        <f t="shared" si="156"/>
        <v/>
      </c>
      <c r="BC376" t="str">
        <f t="shared" si="157"/>
        <v/>
      </c>
      <c r="BD376" t="str">
        <f t="shared" si="158"/>
        <v/>
      </c>
      <c r="BE376" t="str">
        <f t="shared" si="159"/>
        <v/>
      </c>
      <c r="BF376" t="str">
        <f t="shared" si="160"/>
        <v/>
      </c>
      <c r="BG376" t="str">
        <f t="shared" si="161"/>
        <v/>
      </c>
      <c r="BH376" t="str">
        <f t="shared" si="162"/>
        <v/>
      </c>
      <c r="BI376" t="str">
        <f t="shared" si="163"/>
        <v/>
      </c>
      <c r="BJ376" t="str">
        <f t="shared" si="164"/>
        <v/>
      </c>
      <c r="BK376" t="str">
        <f t="shared" si="165"/>
        <v/>
      </c>
      <c r="BL376" t="str">
        <f t="shared" si="166"/>
        <v/>
      </c>
      <c r="BM376" t="str">
        <f t="shared" si="167"/>
        <v/>
      </c>
      <c r="BN376" t="str">
        <f t="shared" si="168"/>
        <v/>
      </c>
      <c r="BO376" t="str">
        <f t="shared" si="169"/>
        <v/>
      </c>
      <c r="BP376" t="str">
        <f t="shared" si="170"/>
        <v/>
      </c>
      <c r="BQ376" t="str">
        <f t="shared" si="171"/>
        <v/>
      </c>
      <c r="BR376" t="str">
        <f t="shared" si="172"/>
        <v/>
      </c>
      <c r="BS376" t="str">
        <f t="shared" si="173"/>
        <v/>
      </c>
      <c r="BT376" t="str">
        <f t="shared" si="174"/>
        <v/>
      </c>
      <c r="BU376" t="str">
        <f t="shared" si="175"/>
        <v/>
      </c>
    </row>
    <row r="377" spans="1:73">
      <c r="A377" s="1">
        <v>126403</v>
      </c>
      <c r="B377" t="str">
        <f>VLOOKUP($A377,[1]Table!$A$2:$N554,B$1,FALSE)</f>
        <v>L01XE06</v>
      </c>
      <c r="C377" t="str">
        <f>VLOOKUP($A377,[1]Table!$A$2:$N554,C$1,FALSE)</f>
        <v>ONCOLYTICA</v>
      </c>
      <c r="D377" t="str">
        <f>VLOOKUP($A377,[1]Table!$A$2:$N554,D$1,FALSE)</f>
        <v>OVERIGE ONCOLYTICA</v>
      </c>
      <c r="E377" t="str">
        <f>VLOOKUP($A377,[1]Table!$A$2:$N554,E$1,FALSE)</f>
        <v>DASATINIB</v>
      </c>
      <c r="F377" t="str">
        <f>VLOOKUP($A377,[1]Table!$A$2:$N554,F$1,FALSE)</f>
        <v>SPRYCEL 70 MG TABLET FILMOMHULD</v>
      </c>
      <c r="G377" t="str">
        <f>VLOOKUP($A377,[1]Table!$A$2:$N554,G$1,FALSE)</f>
        <v>DASATINIB 70MG TABLET</v>
      </c>
      <c r="H377" t="str">
        <f>VLOOKUP($A377,[1]Table!$A$2:$N554,H$1,FALSE)</f>
        <v>tablet</v>
      </c>
      <c r="I377" t="str">
        <f>VLOOKUP($A377,[1]Table!$A$2:$N554,I$1,FALSE)</f>
        <v>or</v>
      </c>
      <c r="J377">
        <f>VLOOKUP($A377,[1]Table!$A$2:$N554,J$1,FALSE)</f>
        <v>70</v>
      </c>
      <c r="K377" t="str">
        <f>VLOOKUP($A377,[1]Table!$A$2:$N554,K$1,FALSE)</f>
        <v>mg/stuk</v>
      </c>
      <c r="L377">
        <f>VLOOKUP($A377,[1]Table!$A$2:$N554,L$1,FALSE)</f>
        <v>70</v>
      </c>
      <c r="M377" t="str">
        <f>VLOOKUP($A377,[1]Table!$A$2:$N554,M$1,FALSE)</f>
        <v>mg</v>
      </c>
      <c r="N377" t="str">
        <f>VLOOKUP($A377,[1]Table!$A$2:$N554,N$1,FALSE)</f>
        <v>Resistente/intolerante CML in chronische fase||Resistente/intolerante/recidiverende CML in acceleratie of blastaire fase, resistente/intolerante/recidiverende Ph+ ALL</v>
      </c>
      <c r="O377" t="str">
        <f>ConcatenateRange(AZ377:BU377,"||")</f>
        <v/>
      </c>
      <c r="AZ377" t="str">
        <f t="shared" si="154"/>
        <v/>
      </c>
      <c r="BA377" t="str">
        <f t="shared" si="155"/>
        <v/>
      </c>
      <c r="BB377" t="str">
        <f t="shared" si="156"/>
        <v/>
      </c>
      <c r="BC377" t="str">
        <f t="shared" si="157"/>
        <v/>
      </c>
      <c r="BD377" t="str">
        <f t="shared" si="158"/>
        <v/>
      </c>
      <c r="BE377" t="str">
        <f t="shared" si="159"/>
        <v/>
      </c>
      <c r="BF377" t="str">
        <f t="shared" si="160"/>
        <v/>
      </c>
      <c r="BG377" t="str">
        <f t="shared" si="161"/>
        <v/>
      </c>
      <c r="BH377" t="str">
        <f t="shared" si="162"/>
        <v/>
      </c>
      <c r="BI377" t="str">
        <f t="shared" si="163"/>
        <v/>
      </c>
      <c r="BJ377" t="str">
        <f t="shared" si="164"/>
        <v/>
      </c>
      <c r="BK377" t="str">
        <f t="shared" si="165"/>
        <v/>
      </c>
      <c r="BL377" t="str">
        <f t="shared" si="166"/>
        <v/>
      </c>
      <c r="BM377" t="str">
        <f t="shared" si="167"/>
        <v/>
      </c>
      <c r="BN377" t="str">
        <f t="shared" si="168"/>
        <v/>
      </c>
      <c r="BO377" t="str">
        <f t="shared" si="169"/>
        <v/>
      </c>
      <c r="BP377" t="str">
        <f t="shared" si="170"/>
        <v/>
      </c>
      <c r="BQ377" t="str">
        <f t="shared" si="171"/>
        <v/>
      </c>
      <c r="BR377" t="str">
        <f t="shared" si="172"/>
        <v/>
      </c>
      <c r="BS377" t="str">
        <f t="shared" si="173"/>
        <v/>
      </c>
      <c r="BT377" t="str">
        <f t="shared" si="174"/>
        <v/>
      </c>
      <c r="BU377" t="str">
        <f t="shared" si="175"/>
        <v/>
      </c>
    </row>
    <row r="378" spans="1:73">
      <c r="A378" s="1">
        <v>130605</v>
      </c>
      <c r="B378" t="str">
        <f>VLOOKUP($A378,[1]Table!$A$2:$N555,B$1,FALSE)</f>
        <v>L01XE06</v>
      </c>
      <c r="C378" t="str">
        <f>VLOOKUP($A378,[1]Table!$A$2:$N555,C$1,FALSE)</f>
        <v>ONCOLYTICA</v>
      </c>
      <c r="D378" t="str">
        <f>VLOOKUP($A378,[1]Table!$A$2:$N555,D$1,FALSE)</f>
        <v>OVERIGE ONCOLYTICA</v>
      </c>
      <c r="E378" t="str">
        <f>VLOOKUP($A378,[1]Table!$A$2:$N555,E$1,FALSE)</f>
        <v>DASATINIB</v>
      </c>
      <c r="F378" t="str">
        <f>VLOOKUP($A378,[1]Table!$A$2:$N555,F$1,FALSE)</f>
        <v>SPRYCEL 100 MG TABLET FILMOMHULD</v>
      </c>
      <c r="G378" t="str">
        <f>VLOOKUP($A378,[1]Table!$A$2:$N555,G$1,FALSE)</f>
        <v>DASATINIB 100MG TABLET</v>
      </c>
      <c r="H378" t="str">
        <f>VLOOKUP($A378,[1]Table!$A$2:$N555,H$1,FALSE)</f>
        <v>tablet</v>
      </c>
      <c r="I378" t="str">
        <f>VLOOKUP($A378,[1]Table!$A$2:$N555,I$1,FALSE)</f>
        <v>or</v>
      </c>
      <c r="J378">
        <f>VLOOKUP($A378,[1]Table!$A$2:$N555,J$1,FALSE)</f>
        <v>100</v>
      </c>
      <c r="K378" t="str">
        <f>VLOOKUP($A378,[1]Table!$A$2:$N555,K$1,FALSE)</f>
        <v>mg/stuk</v>
      </c>
      <c r="L378">
        <f>VLOOKUP($A378,[1]Table!$A$2:$N555,L$1,FALSE)</f>
        <v>100</v>
      </c>
      <c r="M378" t="str">
        <f>VLOOKUP($A378,[1]Table!$A$2:$N555,M$1,FALSE)</f>
        <v>mg</v>
      </c>
      <c r="N378" t="str">
        <f>VLOOKUP($A378,[1]Table!$A$2:$N555,N$1,FALSE)</f>
        <v>Resistente/intolerante CML in chronische fase||Resistente/intolerante/recidiverende CML in acceleratie of blastaire fase, resistente/intolerante/recidiverende Ph+ ALL</v>
      </c>
      <c r="O378" t="str">
        <f>ConcatenateRange(AZ378:BU378,"||")</f>
        <v/>
      </c>
      <c r="AZ378" t="str">
        <f t="shared" si="154"/>
        <v/>
      </c>
      <c r="BA378" t="str">
        <f t="shared" si="155"/>
        <v/>
      </c>
      <c r="BB378" t="str">
        <f t="shared" si="156"/>
        <v/>
      </c>
      <c r="BC378" t="str">
        <f t="shared" si="157"/>
        <v/>
      </c>
      <c r="BD378" t="str">
        <f t="shared" si="158"/>
        <v/>
      </c>
      <c r="BE378" t="str">
        <f t="shared" si="159"/>
        <v/>
      </c>
      <c r="BF378" t="str">
        <f t="shared" si="160"/>
        <v/>
      </c>
      <c r="BG378" t="str">
        <f t="shared" si="161"/>
        <v/>
      </c>
      <c r="BH378" t="str">
        <f t="shared" si="162"/>
        <v/>
      </c>
      <c r="BI378" t="str">
        <f t="shared" si="163"/>
        <v/>
      </c>
      <c r="BJ378" t="str">
        <f t="shared" si="164"/>
        <v/>
      </c>
      <c r="BK378" t="str">
        <f t="shared" si="165"/>
        <v/>
      </c>
      <c r="BL378" t="str">
        <f t="shared" si="166"/>
        <v/>
      </c>
      <c r="BM378" t="str">
        <f t="shared" si="167"/>
        <v/>
      </c>
      <c r="BN378" t="str">
        <f t="shared" si="168"/>
        <v/>
      </c>
      <c r="BO378" t="str">
        <f t="shared" si="169"/>
        <v/>
      </c>
      <c r="BP378" t="str">
        <f t="shared" si="170"/>
        <v/>
      </c>
      <c r="BQ378" t="str">
        <f t="shared" si="171"/>
        <v/>
      </c>
      <c r="BR378" t="str">
        <f t="shared" si="172"/>
        <v/>
      </c>
      <c r="BS378" t="str">
        <f t="shared" si="173"/>
        <v/>
      </c>
      <c r="BT378" t="str">
        <f t="shared" si="174"/>
        <v/>
      </c>
      <c r="BU378" t="str">
        <f t="shared" si="175"/>
        <v/>
      </c>
    </row>
    <row r="379" spans="1:73">
      <c r="A379" s="1">
        <v>60348</v>
      </c>
      <c r="B379" t="str">
        <f>VLOOKUP($A379,[1]Table!$A$2:$N556,B$1,FALSE)</f>
        <v>L01DB02</v>
      </c>
      <c r="C379" t="str">
        <f>VLOOKUP($A379,[1]Table!$A$2:$N556,C$1,FALSE)</f>
        <v>ONCOLYTICA</v>
      </c>
      <c r="D379" t="str">
        <f>VLOOKUP($A379,[1]Table!$A$2:$N556,D$1,FALSE)</f>
        <v>CYTOTOXISCHE ANTIBIOTICA  EN VERWANTE VERBINDINGEN</v>
      </c>
      <c r="E379" t="str">
        <f>VLOOKUP($A379,[1]Table!$A$2:$N556,E$1,FALSE)</f>
        <v>DAUNORUBICINE</v>
      </c>
      <c r="F379" t="str">
        <f>VLOOKUP($A379,[1]Table!$A$2:$N556,F$1,FALSE)</f>
        <v>CERUBIDINE 20MG INJPDR+SOLV</v>
      </c>
      <c r="G379" t="str">
        <f>VLOOKUP($A379,[1]Table!$A$2:$N556,G$1,FALSE)</f>
        <v>DAUNORUBICINE 20MG INFPDR</v>
      </c>
      <c r="H379" t="str">
        <f>VLOOKUP($A379,[1]Table!$A$2:$N556,H$1,FALSE)</f>
        <v>poeder voor oplossing voor infusie</v>
      </c>
      <c r="I379" t="str">
        <f>VLOOKUP($A379,[1]Table!$A$2:$N556,I$1,FALSE)</f>
        <v>iv</v>
      </c>
      <c r="J379">
        <f>VLOOKUP($A379,[1]Table!$A$2:$N556,J$1,FALSE)</f>
        <v>20</v>
      </c>
      <c r="K379" t="str">
        <f>VLOOKUP($A379,[1]Table!$A$2:$N556,K$1,FALSE)</f>
        <v>mg/stuk</v>
      </c>
      <c r="L379">
        <f>VLOOKUP($A379,[1]Table!$A$2:$N556,L$1,FALSE)</f>
        <v>20</v>
      </c>
      <c r="M379" t="str">
        <f>VLOOKUP($A379,[1]Table!$A$2:$N556,M$1,FALSE)</f>
        <v>mg</v>
      </c>
      <c r="N379" t="str">
        <f>VLOOKUP($A379,[1]Table!$A$2:$N556,N$1,FALSE)</f>
        <v>Oncologische aandoeningen</v>
      </c>
      <c r="O379" t="str">
        <f>ConcatenateRange(AZ379:BU379,"||")</f>
        <v/>
      </c>
      <c r="AZ379" t="str">
        <f t="shared" si="154"/>
        <v/>
      </c>
      <c r="BA379" t="str">
        <f t="shared" si="155"/>
        <v/>
      </c>
      <c r="BB379" t="str">
        <f t="shared" si="156"/>
        <v/>
      </c>
      <c r="BC379" t="str">
        <f t="shared" si="157"/>
        <v/>
      </c>
      <c r="BD379" t="str">
        <f t="shared" si="158"/>
        <v/>
      </c>
      <c r="BE379" t="str">
        <f t="shared" si="159"/>
        <v/>
      </c>
      <c r="BF379" t="str">
        <f t="shared" si="160"/>
        <v/>
      </c>
      <c r="BG379" t="str">
        <f t="shared" si="161"/>
        <v/>
      </c>
      <c r="BH379" t="str">
        <f t="shared" si="162"/>
        <v/>
      </c>
      <c r="BI379" t="str">
        <f t="shared" si="163"/>
        <v/>
      </c>
      <c r="BJ379" t="str">
        <f t="shared" si="164"/>
        <v/>
      </c>
      <c r="BK379" t="str">
        <f t="shared" si="165"/>
        <v/>
      </c>
      <c r="BL379" t="str">
        <f t="shared" si="166"/>
        <v/>
      </c>
      <c r="BM379" t="str">
        <f t="shared" si="167"/>
        <v/>
      </c>
      <c r="BN379" t="str">
        <f t="shared" si="168"/>
        <v/>
      </c>
      <c r="BO379" t="str">
        <f t="shared" si="169"/>
        <v/>
      </c>
      <c r="BP379" t="str">
        <f t="shared" si="170"/>
        <v/>
      </c>
      <c r="BQ379" t="str">
        <f t="shared" si="171"/>
        <v/>
      </c>
      <c r="BR379" t="str">
        <f t="shared" si="172"/>
        <v/>
      </c>
      <c r="BS379" t="str">
        <f t="shared" si="173"/>
        <v/>
      </c>
      <c r="BT379" t="str">
        <f t="shared" si="174"/>
        <v/>
      </c>
      <c r="BU379" t="str">
        <f t="shared" si="175"/>
        <v/>
      </c>
    </row>
    <row r="380" spans="1:73">
      <c r="A380" s="13">
        <v>166480</v>
      </c>
      <c r="B380" t="str">
        <f>VLOOKUP($A380,[1]Table!$A$2:$N1709,B$1,FALSE)</f>
        <v>V03AC03</v>
      </c>
      <c r="C380" t="str">
        <f>VLOOKUP($A380,[1]Table!$A$2:$N1709,C$1,FALSE)</f>
        <v>ALLE OVERIGE THERAPEUTISCHE MIDDELEN</v>
      </c>
      <c r="D380" t="str">
        <f>VLOOKUP($A380,[1]Table!$A$2:$N1709,D$1,FALSE)</f>
        <v>ALLE OVERIGE THERAPEUTISCHE MIDDELEN</v>
      </c>
      <c r="E380" t="str">
        <f>VLOOKUP($A380,[1]Table!$A$2:$N1709,E$1,FALSE)</f>
        <v>DEFERASIROX</v>
      </c>
      <c r="F380" t="str">
        <f>VLOOKUP($A380,[1]Table!$A$2:$N1709,F$1,FALSE)</f>
        <v>EXJADE 180 MG TABLET FILMOMHULD</v>
      </c>
      <c r="G380" t="str">
        <f>VLOOKUP($A380,[1]Table!$A$2:$N1709,G$1,FALSE)</f>
        <v>DEFERASIROX 180MG TABLET</v>
      </c>
      <c r="H380" t="str">
        <f>VLOOKUP($A380,[1]Table!$A$2:$N1709,H$1,FALSE)</f>
        <v>tablet</v>
      </c>
      <c r="I380" t="str">
        <f>VLOOKUP($A380,[1]Table!$A$2:$N1709,I$1,FALSE)</f>
        <v>or</v>
      </c>
      <c r="J380">
        <f>VLOOKUP($A380,[1]Table!$A$2:$N1709,J$1,FALSE)</f>
        <v>180</v>
      </c>
      <c r="K380" t="str">
        <f>VLOOKUP($A380,[1]Table!$A$2:$N1709,K$1,FALSE)</f>
        <v>mg/stuk</v>
      </c>
      <c r="L380">
        <f>VLOOKUP($A380,[1]Table!$A$2:$N1709,L$1,FALSE)</f>
        <v>180</v>
      </c>
      <c r="M380" t="str">
        <f>VLOOKUP($A380,[1]Table!$A$2:$N1709,M$1,FALSE)</f>
        <v>mg</v>
      </c>
      <c r="N380" t="str">
        <f>VLOOKUP($A380,[1]Table!$A$2:$N1709,N$1,FALSE)</f>
        <v>Transfusiegerelateerde ijzerstapeling||Niet-transfusie afhankelijke thalassemiesyndromen</v>
      </c>
      <c r="AZ380" t="str">
        <f t="shared" si="154"/>
        <v/>
      </c>
      <c r="BA380" t="str">
        <f t="shared" si="155"/>
        <v/>
      </c>
      <c r="BB380" t="str">
        <f t="shared" si="156"/>
        <v/>
      </c>
      <c r="BC380" t="str">
        <f t="shared" si="157"/>
        <v/>
      </c>
      <c r="BD380" t="str">
        <f t="shared" si="158"/>
        <v/>
      </c>
      <c r="BE380" t="str">
        <f t="shared" si="159"/>
        <v/>
      </c>
      <c r="BF380" t="str">
        <f t="shared" si="160"/>
        <v/>
      </c>
      <c r="BG380" t="str">
        <f t="shared" si="161"/>
        <v/>
      </c>
      <c r="BH380" t="str">
        <f t="shared" si="162"/>
        <v/>
      </c>
      <c r="BI380" t="str">
        <f t="shared" si="163"/>
        <v/>
      </c>
      <c r="BJ380" t="str">
        <f t="shared" si="164"/>
        <v/>
      </c>
      <c r="BK380" t="str">
        <f t="shared" si="165"/>
        <v/>
      </c>
      <c r="BL380" t="str">
        <f t="shared" si="166"/>
        <v/>
      </c>
      <c r="BM380" t="str">
        <f t="shared" si="167"/>
        <v/>
      </c>
      <c r="BN380" t="str">
        <f t="shared" si="168"/>
        <v/>
      </c>
      <c r="BO380" t="str">
        <f t="shared" si="169"/>
        <v/>
      </c>
      <c r="BP380" t="str">
        <f t="shared" si="170"/>
        <v/>
      </c>
      <c r="BQ380" t="str">
        <f t="shared" si="171"/>
        <v/>
      </c>
      <c r="BR380" t="str">
        <f t="shared" si="172"/>
        <v/>
      </c>
      <c r="BS380" t="str">
        <f t="shared" si="173"/>
        <v/>
      </c>
      <c r="BT380" t="str">
        <f t="shared" si="174"/>
        <v/>
      </c>
      <c r="BU380" t="str">
        <f t="shared" si="175"/>
        <v/>
      </c>
    </row>
    <row r="381" spans="1:73">
      <c r="A381" s="16">
        <v>166499</v>
      </c>
      <c r="B381" t="str">
        <f>VLOOKUP($A381,[1]Table!$A$2:$N1725,B$1,FALSE)</f>
        <v>V03AC03</v>
      </c>
      <c r="C381" t="str">
        <f>VLOOKUP($A381,[1]Table!$A$2:$N1725,C$1,FALSE)</f>
        <v>ALLE OVERIGE THERAPEUTISCHE MIDDELEN</v>
      </c>
      <c r="D381" t="str">
        <f>VLOOKUP($A381,[1]Table!$A$2:$N1725,D$1,FALSE)</f>
        <v>ALLE OVERIGE THERAPEUTISCHE MIDDELEN</v>
      </c>
      <c r="E381" t="str">
        <f>VLOOKUP($A381,[1]Table!$A$2:$N1725,E$1,FALSE)</f>
        <v>DEFERASIROX</v>
      </c>
      <c r="F381" t="str">
        <f>VLOOKUP($A381,[1]Table!$A$2:$N1725,F$1,FALSE)</f>
        <v>EXJADE 360MG TABLET FILMOMHULD</v>
      </c>
      <c r="G381" t="str">
        <f>VLOOKUP($A381,[1]Table!$A$2:$N1725,G$1,FALSE)</f>
        <v>DEFERASIROX 360MG TABLET</v>
      </c>
      <c r="H381" t="str">
        <f>VLOOKUP($A381,[1]Table!$A$2:$N1725,H$1,FALSE)</f>
        <v>tablet</v>
      </c>
      <c r="I381" t="str">
        <f>VLOOKUP($A381,[1]Table!$A$2:$N1725,I$1,FALSE)</f>
        <v>or</v>
      </c>
      <c r="J381">
        <f>VLOOKUP($A381,[1]Table!$A$2:$N1725,J$1,FALSE)</f>
        <v>360</v>
      </c>
      <c r="K381" t="str">
        <f>VLOOKUP($A381,[1]Table!$A$2:$N1725,K$1,FALSE)</f>
        <v>mg/stuk</v>
      </c>
      <c r="L381">
        <f>VLOOKUP($A381,[1]Table!$A$2:$N1725,L$1,FALSE)</f>
        <v>360</v>
      </c>
      <c r="M381" t="str">
        <f>VLOOKUP($A381,[1]Table!$A$2:$N1725,M$1,FALSE)</f>
        <v>mg</v>
      </c>
      <c r="N381" t="str">
        <f>VLOOKUP($A381,[1]Table!$A$2:$N1725,N$1,FALSE)</f>
        <v>Transfusiegerelateerde ijzerstapeling||Niet-transfusie afhankelijke thalassemiesyndromen</v>
      </c>
      <c r="AZ381" t="str">
        <f t="shared" si="154"/>
        <v/>
      </c>
      <c r="BA381" t="str">
        <f t="shared" si="155"/>
        <v/>
      </c>
      <c r="BB381" t="str">
        <f t="shared" si="156"/>
        <v/>
      </c>
      <c r="BC381" t="str">
        <f t="shared" si="157"/>
        <v/>
      </c>
      <c r="BD381" t="str">
        <f t="shared" si="158"/>
        <v/>
      </c>
      <c r="BE381" t="str">
        <f t="shared" si="159"/>
        <v/>
      </c>
      <c r="BF381" t="str">
        <f t="shared" si="160"/>
        <v/>
      </c>
      <c r="BG381" t="str">
        <f t="shared" si="161"/>
        <v/>
      </c>
      <c r="BH381" t="str">
        <f t="shared" si="162"/>
        <v/>
      </c>
      <c r="BI381" t="str">
        <f t="shared" si="163"/>
        <v/>
      </c>
      <c r="BJ381" t="str">
        <f t="shared" si="164"/>
        <v/>
      </c>
      <c r="BK381" t="str">
        <f t="shared" si="165"/>
        <v/>
      </c>
      <c r="BL381" t="str">
        <f t="shared" si="166"/>
        <v/>
      </c>
      <c r="BM381" t="str">
        <f t="shared" si="167"/>
        <v/>
      </c>
      <c r="BN381" t="str">
        <f t="shared" si="168"/>
        <v/>
      </c>
      <c r="BO381" t="str">
        <f t="shared" si="169"/>
        <v/>
      </c>
      <c r="BP381" t="str">
        <f t="shared" si="170"/>
        <v/>
      </c>
      <c r="BQ381" t="str">
        <f t="shared" si="171"/>
        <v/>
      </c>
      <c r="BR381" t="str">
        <f t="shared" si="172"/>
        <v/>
      </c>
      <c r="BS381" t="str">
        <f t="shared" si="173"/>
        <v/>
      </c>
      <c r="BT381" t="str">
        <f t="shared" si="174"/>
        <v/>
      </c>
      <c r="BU381" t="str">
        <f t="shared" si="175"/>
        <v/>
      </c>
    </row>
    <row r="382" spans="1:73">
      <c r="A382" s="1">
        <v>124079</v>
      </c>
      <c r="B382" t="str">
        <f>VLOOKUP($A382,[1]Table!$A$2:$N558,B$1,FALSE)</f>
        <v>V03AC02</v>
      </c>
      <c r="C382" t="str">
        <f>VLOOKUP($A382,[1]Table!$A$2:$N558,C$1,FALSE)</f>
        <v>ALLE OVERIGE THERAPEUTISCHE MIDDELEN</v>
      </c>
      <c r="D382" t="str">
        <f>VLOOKUP($A382,[1]Table!$A$2:$N558,D$1,FALSE)</f>
        <v>ALLE OVERIGE THERAPEUTISCHE MIDDELEN</v>
      </c>
      <c r="E382" t="str">
        <f>VLOOKUP($A382,[1]Table!$A$2:$N558,E$1,FALSE)</f>
        <v>DEFERIPRON</v>
      </c>
      <c r="F382" t="str">
        <f>VLOOKUP($A382,[1]Table!$A$2:$N558,F$1,FALSE)</f>
        <v>FERRIPROX 500 MG TABLET</v>
      </c>
      <c r="G382" t="str">
        <f>VLOOKUP($A382,[1]Table!$A$2:$N558,G$1,FALSE)</f>
        <v>DEFERIPRON 500MG TABLET</v>
      </c>
      <c r="H382" t="str">
        <f>VLOOKUP($A382,[1]Table!$A$2:$N558,H$1,FALSE)</f>
        <v>tablet</v>
      </c>
      <c r="I382" t="str">
        <f>VLOOKUP($A382,[1]Table!$A$2:$N558,I$1,FALSE)</f>
        <v>or</v>
      </c>
      <c r="J382">
        <f>VLOOKUP($A382,[1]Table!$A$2:$N558,J$1,FALSE)</f>
        <v>500</v>
      </c>
      <c r="K382" t="str">
        <f>VLOOKUP($A382,[1]Table!$A$2:$N558,K$1,FALSE)</f>
        <v>mg/stuk</v>
      </c>
      <c r="L382">
        <f>VLOOKUP($A382,[1]Table!$A$2:$N558,L$1,FALSE)</f>
        <v>500</v>
      </c>
      <c r="M382" t="str">
        <f>VLOOKUP($A382,[1]Table!$A$2:$N558,M$1,FALSE)</f>
        <v>mg</v>
      </c>
      <c r="N382" t="str">
        <f>VLOOKUP($A382,[1]Table!$A$2:$N558,N$1,FALSE)</f>
        <v>IJzerstapeling</v>
      </c>
      <c r="O382" t="str">
        <f>ConcatenateRange(AZ382:BU382,"||")</f>
        <v/>
      </c>
      <c r="AZ382" t="str">
        <f t="shared" si="154"/>
        <v/>
      </c>
      <c r="BA382" t="str">
        <f t="shared" si="155"/>
        <v/>
      </c>
      <c r="BB382" t="str">
        <f t="shared" si="156"/>
        <v/>
      </c>
      <c r="BC382" t="str">
        <f t="shared" si="157"/>
        <v/>
      </c>
      <c r="BD382" t="str">
        <f t="shared" si="158"/>
        <v/>
      </c>
      <c r="BE382" t="str">
        <f t="shared" si="159"/>
        <v/>
      </c>
      <c r="BF382" t="str">
        <f t="shared" si="160"/>
        <v/>
      </c>
      <c r="BG382" t="str">
        <f t="shared" si="161"/>
        <v/>
      </c>
      <c r="BH382" t="str">
        <f t="shared" si="162"/>
        <v/>
      </c>
      <c r="BI382" t="str">
        <f t="shared" si="163"/>
        <v/>
      </c>
      <c r="BJ382" t="str">
        <f t="shared" si="164"/>
        <v/>
      </c>
      <c r="BK382" t="str">
        <f t="shared" si="165"/>
        <v/>
      </c>
      <c r="BL382" t="str">
        <f t="shared" si="166"/>
        <v/>
      </c>
      <c r="BM382" t="str">
        <f t="shared" si="167"/>
        <v/>
      </c>
      <c r="BN382" t="str">
        <f t="shared" si="168"/>
        <v/>
      </c>
      <c r="BO382" t="str">
        <f t="shared" si="169"/>
        <v/>
      </c>
      <c r="BP382" t="str">
        <f t="shared" si="170"/>
        <v/>
      </c>
      <c r="BQ382" t="str">
        <f t="shared" si="171"/>
        <v/>
      </c>
      <c r="BR382" t="str">
        <f t="shared" si="172"/>
        <v/>
      </c>
      <c r="BS382" t="str">
        <f t="shared" si="173"/>
        <v/>
      </c>
      <c r="BT382" t="str">
        <f t="shared" si="174"/>
        <v/>
      </c>
      <c r="BU382" t="str">
        <f t="shared" si="175"/>
        <v/>
      </c>
    </row>
    <row r="383" spans="1:73">
      <c r="A383" s="1">
        <v>105627</v>
      </c>
      <c r="B383" t="str">
        <f>VLOOKUP($A383,[1]Table!$A$2:$N559,B$1,FALSE)</f>
        <v>V03AC01</v>
      </c>
      <c r="C383" t="str">
        <f>VLOOKUP($A383,[1]Table!$A$2:$N559,C$1,FALSE)</f>
        <v>ALLE OVERIGE THERAPEUTISCHE MIDDELEN</v>
      </c>
      <c r="D383" t="str">
        <f>VLOOKUP($A383,[1]Table!$A$2:$N559,D$1,FALSE)</f>
        <v>ALLE OVERIGE THERAPEUTISCHE MIDDELEN</v>
      </c>
      <c r="E383" t="str">
        <f>VLOOKUP($A383,[1]Table!$A$2:$N559,E$1,FALSE)</f>
        <v>DEFEROXAMINE</v>
      </c>
      <c r="F383" t="str">
        <f>VLOOKUP($A383,[1]Table!$A$2:$N559,F$1,FALSE)</f>
        <v>DESFERAL 500 MG INJPDR</v>
      </c>
      <c r="G383" t="str">
        <f>VLOOKUP($A383,[1]Table!$A$2:$N559,G$1,FALSE)</f>
        <v>DEFEROXAMINE 500MG INJPDR</v>
      </c>
      <c r="H383" t="str">
        <f>VLOOKUP($A383,[1]Table!$A$2:$N559,H$1,FALSE)</f>
        <v>poeder voor injectievloeistof</v>
      </c>
      <c r="I383" t="str">
        <f>VLOOKUP($A383,[1]Table!$A$2:$N559,I$1,FALSE)</f>
        <v>im||iv||sc</v>
      </c>
      <c r="J383">
        <f>VLOOKUP($A383,[1]Table!$A$2:$N559,J$1,FALSE)</f>
        <v>500</v>
      </c>
      <c r="K383" t="str">
        <f>VLOOKUP($A383,[1]Table!$A$2:$N559,K$1,FALSE)</f>
        <v>mg/stuk</v>
      </c>
      <c r="L383">
        <f>VLOOKUP($A383,[1]Table!$A$2:$N559,L$1,FALSE)</f>
        <v>500</v>
      </c>
      <c r="M383" t="str">
        <f>VLOOKUP($A383,[1]Table!$A$2:$N559,M$1,FALSE)</f>
        <v>mg</v>
      </c>
      <c r="N383" t="str">
        <f>VLOOKUP($A383,[1]Table!$A$2:$N559,N$1,FALSE)</f>
        <v xml:space="preserve">Acute ijzerintoxicatie||Chelatietherapie bij beta-thalassemie major </v>
      </c>
      <c r="O383" t="str">
        <f>ConcatenateRange(AZ383:BU383,"||")</f>
        <v/>
      </c>
      <c r="AZ383" t="str">
        <f t="shared" si="154"/>
        <v/>
      </c>
      <c r="BA383" t="str">
        <f t="shared" si="155"/>
        <v/>
      </c>
      <c r="BB383" t="str">
        <f t="shared" si="156"/>
        <v/>
      </c>
      <c r="BC383" t="str">
        <f t="shared" si="157"/>
        <v/>
      </c>
      <c r="BD383" t="str">
        <f t="shared" si="158"/>
        <v/>
      </c>
      <c r="BE383" t="str">
        <f t="shared" si="159"/>
        <v/>
      </c>
      <c r="BF383" t="str">
        <f t="shared" si="160"/>
        <v/>
      </c>
      <c r="BG383" t="str">
        <f t="shared" si="161"/>
        <v/>
      </c>
      <c r="BH383" t="str">
        <f t="shared" si="162"/>
        <v/>
      </c>
      <c r="BI383" t="str">
        <f t="shared" si="163"/>
        <v/>
      </c>
      <c r="BJ383" t="str">
        <f t="shared" si="164"/>
        <v/>
      </c>
      <c r="BK383" t="str">
        <f t="shared" si="165"/>
        <v/>
      </c>
      <c r="BL383" t="str">
        <f t="shared" si="166"/>
        <v/>
      </c>
      <c r="BM383" t="str">
        <f t="shared" si="167"/>
        <v/>
      </c>
      <c r="BN383" t="str">
        <f t="shared" si="168"/>
        <v/>
      </c>
      <c r="BO383" t="str">
        <f t="shared" si="169"/>
        <v/>
      </c>
      <c r="BP383" t="str">
        <f t="shared" si="170"/>
        <v/>
      </c>
      <c r="BQ383" t="str">
        <f t="shared" si="171"/>
        <v/>
      </c>
      <c r="BR383" t="str">
        <f t="shared" si="172"/>
        <v/>
      </c>
      <c r="BS383" t="str">
        <f t="shared" si="173"/>
        <v/>
      </c>
      <c r="BT383" t="str">
        <f t="shared" si="174"/>
        <v/>
      </c>
      <c r="BU383" t="str">
        <f t="shared" si="175"/>
        <v/>
      </c>
    </row>
    <row r="384" spans="1:73">
      <c r="A384" s="1">
        <v>129674</v>
      </c>
      <c r="B384" t="str">
        <f>VLOOKUP($A384,[1]Table!$A$2:$N560,B$1,FALSE)</f>
        <v>R06AX27</v>
      </c>
      <c r="C384" t="str">
        <f>VLOOKUP($A384,[1]Table!$A$2:$N560,C$1,FALSE)</f>
        <v>ANTIHISTAMINICA VOOR SYSTEMISCH GEBRUIK</v>
      </c>
      <c r="D384" t="str">
        <f>VLOOKUP($A384,[1]Table!$A$2:$N560,D$1,FALSE)</f>
        <v>ANTIHISTAMINICA VOOR SYSTEMISCH GEBRUIK</v>
      </c>
      <c r="E384" t="str">
        <f>VLOOKUP($A384,[1]Table!$A$2:$N560,E$1,FALSE)</f>
        <v>DESLORATADINE</v>
      </c>
      <c r="F384" t="str">
        <f>VLOOKUP($A384,[1]Table!$A$2:$N560,F$1,FALSE)</f>
        <v>AERIUS DRANK 0,5MG/ML 150ML</v>
      </c>
      <c r="G384" t="str">
        <f>VLOOKUP($A384,[1]Table!$A$2:$N560,G$1,FALSE)</f>
        <v>DESLORATADINE 0,5MG/ML DRAN</v>
      </c>
      <c r="H384" t="str">
        <f>VLOOKUP($A384,[1]Table!$A$2:$N560,H$1,FALSE)</f>
        <v>drank</v>
      </c>
      <c r="I384" t="str">
        <f>VLOOKUP($A384,[1]Table!$A$2:$N560,I$1,FALSE)</f>
        <v>or</v>
      </c>
      <c r="J384">
        <f>VLOOKUP($A384,[1]Table!$A$2:$N560,J$1,FALSE)</f>
        <v>0.5</v>
      </c>
      <c r="K384" t="str">
        <f>VLOOKUP($A384,[1]Table!$A$2:$N560,K$1,FALSE)</f>
        <v>mg/ml</v>
      </c>
      <c r="L384">
        <f>VLOOKUP($A384,[1]Table!$A$2:$N560,L$1,FALSE)</f>
        <v>0.5</v>
      </c>
      <c r="M384" t="str">
        <f>VLOOKUP($A384,[1]Table!$A$2:$N560,M$1,FALSE)</f>
        <v>mg</v>
      </c>
      <c r="N384" t="str">
        <f>VLOOKUP($A384,[1]Table!$A$2:$N560,N$1,FALSE)</f>
        <v>Allergische rhinitis en chronische urticaria</v>
      </c>
      <c r="O384" t="str">
        <f>ConcatenateRange(AZ384:BU384,"||")</f>
        <v/>
      </c>
      <c r="AZ384" t="str">
        <f t="shared" si="154"/>
        <v/>
      </c>
      <c r="BA384" t="str">
        <f t="shared" si="155"/>
        <v/>
      </c>
      <c r="BB384" t="str">
        <f t="shared" si="156"/>
        <v/>
      </c>
      <c r="BC384" t="str">
        <f t="shared" si="157"/>
        <v/>
      </c>
      <c r="BD384" t="str">
        <f t="shared" si="158"/>
        <v/>
      </c>
      <c r="BE384" t="str">
        <f t="shared" si="159"/>
        <v/>
      </c>
      <c r="BF384" t="str">
        <f t="shared" si="160"/>
        <v/>
      </c>
      <c r="BG384" t="str">
        <f t="shared" si="161"/>
        <v/>
      </c>
      <c r="BH384" t="str">
        <f t="shared" si="162"/>
        <v/>
      </c>
      <c r="BI384" t="str">
        <f t="shared" si="163"/>
        <v/>
      </c>
      <c r="BJ384" t="str">
        <f t="shared" si="164"/>
        <v/>
      </c>
      <c r="BK384" t="str">
        <f t="shared" si="165"/>
        <v/>
      </c>
      <c r="BL384" t="str">
        <f t="shared" si="166"/>
        <v/>
      </c>
      <c r="BM384" t="str">
        <f t="shared" si="167"/>
        <v/>
      </c>
      <c r="BN384" t="str">
        <f t="shared" si="168"/>
        <v/>
      </c>
      <c r="BO384" t="str">
        <f t="shared" si="169"/>
        <v/>
      </c>
      <c r="BP384" t="str">
        <f t="shared" si="170"/>
        <v/>
      </c>
      <c r="BQ384" t="str">
        <f t="shared" si="171"/>
        <v/>
      </c>
      <c r="BR384" t="str">
        <f t="shared" si="172"/>
        <v/>
      </c>
      <c r="BS384" t="str">
        <f t="shared" si="173"/>
        <v/>
      </c>
      <c r="BT384" t="str">
        <f t="shared" si="174"/>
        <v/>
      </c>
      <c r="BU384" t="str">
        <f t="shared" si="175"/>
        <v/>
      </c>
    </row>
    <row r="385" spans="1:73">
      <c r="A385" s="1">
        <v>113026</v>
      </c>
      <c r="B385" t="str">
        <f>VLOOKUP($A385,[1]Table!$A$2:$N561,B$1,FALSE)</f>
        <v>R06AX27</v>
      </c>
      <c r="C385" t="str">
        <f>VLOOKUP($A385,[1]Table!$A$2:$N561,C$1,FALSE)</f>
        <v>ANTIHISTAMINICA VOOR SYSTEMISCH GEBRUIK</v>
      </c>
      <c r="D385" t="str">
        <f>VLOOKUP($A385,[1]Table!$A$2:$N561,D$1,FALSE)</f>
        <v>ANTIHISTAMINICA VOOR SYSTEMISCH GEBRUIK</v>
      </c>
      <c r="E385" t="str">
        <f>VLOOKUP($A385,[1]Table!$A$2:$N561,E$1,FALSE)</f>
        <v>DESLORATADINE</v>
      </c>
      <c r="F385" t="str">
        <f>VLOOKUP($A385,[1]Table!$A$2:$N561,F$1,FALSE)</f>
        <v>AERIUS 5 MG TABLET FILMOMHULD</v>
      </c>
      <c r="G385" t="str">
        <f>VLOOKUP($A385,[1]Table!$A$2:$N561,G$1,FALSE)</f>
        <v>DESLORATADINE 5MG TABLET</v>
      </c>
      <c r="H385" t="str">
        <f>VLOOKUP($A385,[1]Table!$A$2:$N561,H$1,FALSE)</f>
        <v>tablet</v>
      </c>
      <c r="I385" t="str">
        <f>VLOOKUP($A385,[1]Table!$A$2:$N561,I$1,FALSE)</f>
        <v>or</v>
      </c>
      <c r="J385">
        <f>VLOOKUP($A385,[1]Table!$A$2:$N561,J$1,FALSE)</f>
        <v>5</v>
      </c>
      <c r="K385" t="str">
        <f>VLOOKUP($A385,[1]Table!$A$2:$N561,K$1,FALSE)</f>
        <v>mg/stuk</v>
      </c>
      <c r="L385">
        <f>VLOOKUP($A385,[1]Table!$A$2:$N561,L$1,FALSE)</f>
        <v>5</v>
      </c>
      <c r="M385" t="str">
        <f>VLOOKUP($A385,[1]Table!$A$2:$N561,M$1,FALSE)</f>
        <v>mg</v>
      </c>
      <c r="N385" t="str">
        <f>VLOOKUP($A385,[1]Table!$A$2:$N561,N$1,FALSE)</f>
        <v>Allergische rhinitis en chronische urticaria</v>
      </c>
      <c r="O385" t="str">
        <f>ConcatenateRange(AZ385:BU385,"||")</f>
        <v/>
      </c>
      <c r="AZ385" t="str">
        <f t="shared" si="154"/>
        <v/>
      </c>
      <c r="BA385" t="str">
        <f t="shared" si="155"/>
        <v/>
      </c>
      <c r="BB385" t="str">
        <f t="shared" si="156"/>
        <v/>
      </c>
      <c r="BC385" t="str">
        <f t="shared" si="157"/>
        <v/>
      </c>
      <c r="BD385" t="str">
        <f t="shared" si="158"/>
        <v/>
      </c>
      <c r="BE385" t="str">
        <f t="shared" si="159"/>
        <v/>
      </c>
      <c r="BF385" t="str">
        <f t="shared" si="160"/>
        <v/>
      </c>
      <c r="BG385" t="str">
        <f t="shared" si="161"/>
        <v/>
      </c>
      <c r="BH385" t="str">
        <f t="shared" si="162"/>
        <v/>
      </c>
      <c r="BI385" t="str">
        <f t="shared" si="163"/>
        <v/>
      </c>
      <c r="BJ385" t="str">
        <f t="shared" si="164"/>
        <v/>
      </c>
      <c r="BK385" t="str">
        <f t="shared" si="165"/>
        <v/>
      </c>
      <c r="BL385" t="str">
        <f t="shared" si="166"/>
        <v/>
      </c>
      <c r="BM385" t="str">
        <f t="shared" si="167"/>
        <v/>
      </c>
      <c r="BN385" t="str">
        <f t="shared" si="168"/>
        <v/>
      </c>
      <c r="BO385" t="str">
        <f t="shared" si="169"/>
        <v/>
      </c>
      <c r="BP385" t="str">
        <f t="shared" si="170"/>
        <v/>
      </c>
      <c r="BQ385" t="str">
        <f t="shared" si="171"/>
        <v/>
      </c>
      <c r="BR385" t="str">
        <f t="shared" si="172"/>
        <v/>
      </c>
      <c r="BS385" t="str">
        <f t="shared" si="173"/>
        <v/>
      </c>
      <c r="BT385" t="str">
        <f t="shared" si="174"/>
        <v/>
      </c>
      <c r="BU385" t="str">
        <f t="shared" si="175"/>
        <v/>
      </c>
    </row>
    <row r="386" spans="1:73">
      <c r="A386" s="1">
        <v>40916</v>
      </c>
      <c r="B386" t="str">
        <f>VLOOKUP($A386,[1]Table!$A$2:$N562,B$1,FALSE)</f>
        <v>H01BA02</v>
      </c>
      <c r="C386" t="str">
        <f>VLOOKUP($A386,[1]Table!$A$2:$N562,C$1,FALSE)</f>
        <v>HYPOFYSE- EN HYPOTHALAMUSHORMONEN EN VERWANTE VERBINDINGEN</v>
      </c>
      <c r="D386" t="str">
        <f>VLOOKUP($A386,[1]Table!$A$2:$N562,D$1,FALSE)</f>
        <v>NEUROHYPOFYSEHORMONEN</v>
      </c>
      <c r="E386" t="str">
        <f>VLOOKUP($A386,[1]Table!$A$2:$N562,E$1,FALSE)</f>
        <v>DESMOPRESSINE</v>
      </c>
      <c r="F386" t="str">
        <f>VLOOKUP($A386,[1]Table!$A$2:$N562,F$1,FALSE)</f>
        <v>MINRIN  4 MICROG/ML AMPUL 1 ML</v>
      </c>
      <c r="G386" t="str">
        <f>VLOOKUP($A386,[1]Table!$A$2:$N562,G$1,FALSE)</f>
        <v>DESMOPRESSINE 4UG/ML INJVLS</v>
      </c>
      <c r="H386" t="str">
        <f>VLOOKUP($A386,[1]Table!$A$2:$N562,H$1,FALSE)</f>
        <v>injectievloeistof</v>
      </c>
      <c r="I386" t="str">
        <f>VLOOKUP($A386,[1]Table!$A$2:$N562,I$1,FALSE)</f>
        <v>im||iv</v>
      </c>
      <c r="J386">
        <f>VLOOKUP($A386,[1]Table!$A$2:$N562,J$1,FALSE)</f>
        <v>4</v>
      </c>
      <c r="K386" t="str">
        <f>VLOOKUP($A386,[1]Table!$A$2:$N562,K$1,FALSE)</f>
        <v>mcg/ml</v>
      </c>
      <c r="L386">
        <f>VLOOKUP($A386,[1]Table!$A$2:$N562,L$1,FALSE)</f>
        <v>4</v>
      </c>
      <c r="M386" t="str">
        <f>VLOOKUP($A386,[1]Table!$A$2:$N562,M$1,FALSE)</f>
        <v>mcg</v>
      </c>
      <c r="N386" t="str">
        <f>VLOOKUP($A386,[1]Table!$A$2:$N562,N$1,FALSE)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>ConcatenateRange(AZ386:BU386,"||")</f>
        <v/>
      </c>
      <c r="AZ386" t="str">
        <f t="shared" si="154"/>
        <v/>
      </c>
      <c r="BA386" t="str">
        <f t="shared" si="155"/>
        <v/>
      </c>
      <c r="BB386" t="str">
        <f t="shared" si="156"/>
        <v/>
      </c>
      <c r="BC386" t="str">
        <f t="shared" si="157"/>
        <v/>
      </c>
      <c r="BD386" t="str">
        <f t="shared" si="158"/>
        <v/>
      </c>
      <c r="BE386" t="str">
        <f t="shared" si="159"/>
        <v/>
      </c>
      <c r="BF386" t="str">
        <f t="shared" si="160"/>
        <v/>
      </c>
      <c r="BG386" t="str">
        <f t="shared" si="161"/>
        <v/>
      </c>
      <c r="BH386" t="str">
        <f t="shared" si="162"/>
        <v/>
      </c>
      <c r="BI386" t="str">
        <f t="shared" si="163"/>
        <v/>
      </c>
      <c r="BJ386" t="str">
        <f t="shared" si="164"/>
        <v/>
      </c>
      <c r="BK386" t="str">
        <f t="shared" si="165"/>
        <v/>
      </c>
      <c r="BL386" t="str">
        <f t="shared" si="166"/>
        <v/>
      </c>
      <c r="BM386" t="str">
        <f t="shared" si="167"/>
        <v/>
      </c>
      <c r="BN386" t="str">
        <f t="shared" si="168"/>
        <v/>
      </c>
      <c r="BO386" t="str">
        <f t="shared" si="169"/>
        <v/>
      </c>
      <c r="BP386" t="str">
        <f t="shared" si="170"/>
        <v/>
      </c>
      <c r="BQ386" t="str">
        <f t="shared" si="171"/>
        <v/>
      </c>
      <c r="BR386" t="str">
        <f t="shared" si="172"/>
        <v/>
      </c>
      <c r="BS386" t="str">
        <f t="shared" si="173"/>
        <v/>
      </c>
      <c r="BT386" t="str">
        <f t="shared" si="174"/>
        <v/>
      </c>
      <c r="BU386" t="str">
        <f t="shared" si="175"/>
        <v/>
      </c>
    </row>
    <row r="387" spans="1:73">
      <c r="A387" s="1">
        <v>104884</v>
      </c>
      <c r="B387" t="str">
        <f>VLOOKUP($A387,[1]Table!$A$2:$N563,B$1,FALSE)</f>
        <v>H01BA02</v>
      </c>
      <c r="C387" t="str">
        <f>VLOOKUP($A387,[1]Table!$A$2:$N563,C$1,FALSE)</f>
        <v>HYPOFYSE- EN HYPOTHALAMUSHORMONEN EN VERWANTE VERBINDINGEN</v>
      </c>
      <c r="D387" t="str">
        <f>VLOOKUP($A387,[1]Table!$A$2:$N563,D$1,FALSE)</f>
        <v>NEUROHYPOFYSEHORMONEN</v>
      </c>
      <c r="E387" t="str">
        <f>VLOOKUP($A387,[1]Table!$A$2:$N563,E$1,FALSE)</f>
        <v>DESMOPRESSINE</v>
      </c>
      <c r="F387" t="str">
        <f>VLOOKUP($A387,[1]Table!$A$2:$N563,F$1,FALSE)</f>
        <v>OCTOSTIM 15 MICROG/ML AMPUL 2ML</v>
      </c>
      <c r="G387" t="str">
        <f>VLOOKUP($A387,[1]Table!$A$2:$N563,G$1,FALSE)</f>
        <v>DESMOPRESSINE 15UG/ML INJVL</v>
      </c>
      <c r="H387" t="str">
        <f>VLOOKUP($A387,[1]Table!$A$2:$N563,H$1,FALSE)</f>
        <v>injectievloeistof</v>
      </c>
      <c r="I387" t="str">
        <f>VLOOKUP($A387,[1]Table!$A$2:$N563,I$1,FALSE)</f>
        <v>iv||sc</v>
      </c>
      <c r="J387">
        <f>VLOOKUP($A387,[1]Table!$A$2:$N563,J$1,FALSE)</f>
        <v>15</v>
      </c>
      <c r="K387" t="str">
        <f>VLOOKUP($A387,[1]Table!$A$2:$N563,K$1,FALSE)</f>
        <v>mcg/ml</v>
      </c>
      <c r="L387">
        <f>VLOOKUP($A387,[1]Table!$A$2:$N563,L$1,FALSE)</f>
        <v>15</v>
      </c>
      <c r="M387" t="str">
        <f>VLOOKUP($A387,[1]Table!$A$2:$N563,M$1,FALSE)</f>
        <v>mcg</v>
      </c>
      <c r="N387" t="str">
        <f>VLOOKUP($A387,[1]Table!$A$2:$N563,N$1,FALSE)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>ConcatenateRange(AZ387:BU387,"||")</f>
        <v/>
      </c>
      <c r="AZ387" t="str">
        <f t="shared" si="154"/>
        <v/>
      </c>
      <c r="BA387" t="str">
        <f t="shared" si="155"/>
        <v/>
      </c>
      <c r="BB387" t="str">
        <f t="shared" si="156"/>
        <v/>
      </c>
      <c r="BC387" t="str">
        <f t="shared" si="157"/>
        <v/>
      </c>
      <c r="BD387" t="str">
        <f t="shared" si="158"/>
        <v/>
      </c>
      <c r="BE387" t="str">
        <f t="shared" si="159"/>
        <v/>
      </c>
      <c r="BF387" t="str">
        <f t="shared" si="160"/>
        <v/>
      </c>
      <c r="BG387" t="str">
        <f t="shared" si="161"/>
        <v/>
      </c>
      <c r="BH387" t="str">
        <f t="shared" si="162"/>
        <v/>
      </c>
      <c r="BI387" t="str">
        <f t="shared" si="163"/>
        <v/>
      </c>
      <c r="BJ387" t="str">
        <f t="shared" si="164"/>
        <v/>
      </c>
      <c r="BK387" t="str">
        <f t="shared" si="165"/>
        <v/>
      </c>
      <c r="BL387" t="str">
        <f t="shared" si="166"/>
        <v/>
      </c>
      <c r="BM387" t="str">
        <f t="shared" si="167"/>
        <v/>
      </c>
      <c r="BN387" t="str">
        <f t="shared" si="168"/>
        <v/>
      </c>
      <c r="BO387" t="str">
        <f t="shared" si="169"/>
        <v/>
      </c>
      <c r="BP387" t="str">
        <f t="shared" si="170"/>
        <v/>
      </c>
      <c r="BQ387" t="str">
        <f t="shared" si="171"/>
        <v/>
      </c>
      <c r="BR387" t="str">
        <f t="shared" si="172"/>
        <v/>
      </c>
      <c r="BS387" t="str">
        <f t="shared" si="173"/>
        <v/>
      </c>
      <c r="BT387" t="str">
        <f t="shared" si="174"/>
        <v/>
      </c>
      <c r="BU387" t="str">
        <f t="shared" si="175"/>
        <v/>
      </c>
    </row>
    <row r="388" spans="1:73">
      <c r="A388" s="1">
        <v>123803</v>
      </c>
      <c r="B388" t="str">
        <f>VLOOKUP($A388,[1]Table!$A$2:$N564,B$1,FALSE)</f>
        <v>H01BA02</v>
      </c>
      <c r="C388" t="str">
        <f>VLOOKUP($A388,[1]Table!$A$2:$N564,C$1,FALSE)</f>
        <v>HYPOFYSE- EN HYPOTHALAMUSHORMONEN EN VERWANTE VERBINDINGEN</v>
      </c>
      <c r="D388" t="str">
        <f>VLOOKUP($A388,[1]Table!$A$2:$N564,D$1,FALSE)</f>
        <v>NEUROHYPOFYSEHORMONEN</v>
      </c>
      <c r="E388" t="str">
        <f>VLOOKUP($A388,[1]Table!$A$2:$N564,E$1,FALSE)</f>
        <v>DESMOPRESSINE</v>
      </c>
      <c r="F388" t="str">
        <f>VLOOKUP($A388,[1]Table!$A$2:$N564,F$1,FALSE)</f>
        <v>MINRIN MELT LYOPHILISAAT 60 MICROG SMELTTABLET</v>
      </c>
      <c r="G388" t="str">
        <f>VLOOKUP($A388,[1]Table!$A$2:$N564,G$1,FALSE)</f>
        <v>DESMOPRESSINE 60UG LYOPHILI</v>
      </c>
      <c r="H388" t="str">
        <f>VLOOKUP($A388,[1]Table!$A$2:$N564,H$1,FALSE)</f>
        <v>lyophilisaat voor oraal gebruik</v>
      </c>
      <c r="I388" t="str">
        <f>VLOOKUP($A388,[1]Table!$A$2:$N564,I$1,FALSE)</f>
        <v>subling</v>
      </c>
      <c r="J388">
        <f>VLOOKUP($A388,[1]Table!$A$2:$N564,J$1,FALSE)</f>
        <v>60</v>
      </c>
      <c r="K388" t="str">
        <f>VLOOKUP($A388,[1]Table!$A$2:$N564,K$1,FALSE)</f>
        <v>mcg/stuk</v>
      </c>
      <c r="L388">
        <f>VLOOKUP($A388,[1]Table!$A$2:$N564,L$1,FALSE)</f>
        <v>60</v>
      </c>
      <c r="M388" t="str">
        <f>VLOOKUP($A388,[1]Table!$A$2:$N564,M$1,FALSE)</f>
        <v>mcg</v>
      </c>
      <c r="N388" t="str">
        <f>VLOOKUP($A388,[1]Table!$A$2:$N564,N$1,FALSE)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>ConcatenateRange(AZ388:BU388,"||")</f>
        <v/>
      </c>
      <c r="AZ388" t="str">
        <f t="shared" si="154"/>
        <v/>
      </c>
      <c r="BA388" t="str">
        <f t="shared" si="155"/>
        <v/>
      </c>
      <c r="BB388" t="str">
        <f t="shared" si="156"/>
        <v/>
      </c>
      <c r="BC388" t="str">
        <f t="shared" si="157"/>
        <v/>
      </c>
      <c r="BD388" t="str">
        <f t="shared" si="158"/>
        <v/>
      </c>
      <c r="BE388" t="str">
        <f t="shared" si="159"/>
        <v/>
      </c>
      <c r="BF388" t="str">
        <f t="shared" si="160"/>
        <v/>
      </c>
      <c r="BG388" t="str">
        <f t="shared" si="161"/>
        <v/>
      </c>
      <c r="BH388" t="str">
        <f t="shared" si="162"/>
        <v/>
      </c>
      <c r="BI388" t="str">
        <f t="shared" si="163"/>
        <v/>
      </c>
      <c r="BJ388" t="str">
        <f t="shared" si="164"/>
        <v/>
      </c>
      <c r="BK388" t="str">
        <f t="shared" si="165"/>
        <v/>
      </c>
      <c r="BL388" t="str">
        <f t="shared" si="166"/>
        <v/>
      </c>
      <c r="BM388" t="str">
        <f t="shared" si="167"/>
        <v/>
      </c>
      <c r="BN388" t="str">
        <f t="shared" si="168"/>
        <v/>
      </c>
      <c r="BO388" t="str">
        <f t="shared" si="169"/>
        <v/>
      </c>
      <c r="BP388" t="str">
        <f t="shared" si="170"/>
        <v/>
      </c>
      <c r="BQ388" t="str">
        <f t="shared" si="171"/>
        <v/>
      </c>
      <c r="BR388" t="str">
        <f t="shared" si="172"/>
        <v/>
      </c>
      <c r="BS388" t="str">
        <f t="shared" si="173"/>
        <v/>
      </c>
      <c r="BT388" t="str">
        <f t="shared" si="174"/>
        <v/>
      </c>
      <c r="BU388" t="str">
        <f t="shared" si="175"/>
        <v/>
      </c>
    </row>
    <row r="389" spans="1:73">
      <c r="A389" s="1">
        <v>10251</v>
      </c>
      <c r="B389" t="str">
        <f>VLOOKUP($A389,[1]Table!$A$2:$N565,B$1,FALSE)</f>
        <v>H01BA02</v>
      </c>
      <c r="C389" t="str">
        <f>VLOOKUP($A389,[1]Table!$A$2:$N565,C$1,FALSE)</f>
        <v>HYPOFYSE- EN HYPOTHALAMUSHORMONEN EN VERWANTE VERBINDINGEN</v>
      </c>
      <c r="D389" t="str">
        <f>VLOOKUP($A389,[1]Table!$A$2:$N565,D$1,FALSE)</f>
        <v>NEUROHYPOFYSEHORMONEN</v>
      </c>
      <c r="E389" t="str">
        <f>VLOOKUP($A389,[1]Table!$A$2:$N565,E$1,FALSE)</f>
        <v>DESMOPRESSINE</v>
      </c>
      <c r="F389" t="str">
        <f>VLOOKUP($A389,[1]Table!$A$2:$N565,F$1,FALSE)</f>
        <v>MINRIN 0.1 MG/ML NEUSDRUPPELS 2.5ML</v>
      </c>
      <c r="G389" t="str">
        <f>VLOOKUP($A389,[1]Table!$A$2:$N565,G$1,FALSE)</f>
        <v>DESMOPRESS 0,1MG/ML NEUSDRP</v>
      </c>
      <c r="H389" t="str">
        <f>VLOOKUP($A389,[1]Table!$A$2:$N565,H$1,FALSE)</f>
        <v>neusdruppels</v>
      </c>
      <c r="I389" t="str">
        <f>VLOOKUP($A389,[1]Table!$A$2:$N565,I$1,FALSE)</f>
        <v>nasaal</v>
      </c>
      <c r="J389">
        <f>VLOOKUP($A389,[1]Table!$A$2:$N565,J$1,FALSE)</f>
        <v>0.1</v>
      </c>
      <c r="K389" t="str">
        <f>VLOOKUP($A389,[1]Table!$A$2:$N565,K$1,FALSE)</f>
        <v>mg/ml</v>
      </c>
      <c r="L389">
        <f>VLOOKUP($A389,[1]Table!$A$2:$N565,L$1,FALSE)</f>
        <v>0.1</v>
      </c>
      <c r="M389" t="str">
        <f>VLOOKUP($A389,[1]Table!$A$2:$N565,M$1,FALSE)</f>
        <v>mg</v>
      </c>
      <c r="N389" t="str">
        <f>VLOOKUP($A389,[1]Table!$A$2:$N565,N$1,FALSE)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>ConcatenateRange(AZ389:BU389,"||")</f>
        <v/>
      </c>
      <c r="AZ389" t="str">
        <f t="shared" si="154"/>
        <v/>
      </c>
      <c r="BA389" t="str">
        <f t="shared" si="155"/>
        <v/>
      </c>
      <c r="BB389" t="str">
        <f t="shared" si="156"/>
        <v/>
      </c>
      <c r="BC389" t="str">
        <f t="shared" si="157"/>
        <v/>
      </c>
      <c r="BD389" t="str">
        <f t="shared" si="158"/>
        <v/>
      </c>
      <c r="BE389" t="str">
        <f t="shared" si="159"/>
        <v/>
      </c>
      <c r="BF389" t="str">
        <f t="shared" si="160"/>
        <v/>
      </c>
      <c r="BG389" t="str">
        <f t="shared" si="161"/>
        <v/>
      </c>
      <c r="BH389" t="str">
        <f t="shared" si="162"/>
        <v/>
      </c>
      <c r="BI389" t="str">
        <f t="shared" si="163"/>
        <v/>
      </c>
      <c r="BJ389" t="str">
        <f t="shared" si="164"/>
        <v/>
      </c>
      <c r="BK389" t="str">
        <f t="shared" si="165"/>
        <v/>
      </c>
      <c r="BL389" t="str">
        <f t="shared" si="166"/>
        <v/>
      </c>
      <c r="BM389" t="str">
        <f t="shared" si="167"/>
        <v/>
      </c>
      <c r="BN389" t="str">
        <f t="shared" si="168"/>
        <v/>
      </c>
      <c r="BO389" t="str">
        <f t="shared" si="169"/>
        <v/>
      </c>
      <c r="BP389" t="str">
        <f t="shared" si="170"/>
        <v/>
      </c>
      <c r="BQ389" t="str">
        <f t="shared" si="171"/>
        <v/>
      </c>
      <c r="BR389" t="str">
        <f t="shared" si="172"/>
        <v/>
      </c>
      <c r="BS389" t="str">
        <f t="shared" si="173"/>
        <v/>
      </c>
      <c r="BT389" t="str">
        <f t="shared" si="174"/>
        <v/>
      </c>
      <c r="BU389" t="str">
        <f t="shared" si="175"/>
        <v/>
      </c>
    </row>
    <row r="390" spans="1:73">
      <c r="A390" s="1">
        <v>103829</v>
      </c>
      <c r="B390" t="str">
        <f>VLOOKUP($A390,[1]Table!$A$2:$N566,B$1,FALSE)</f>
        <v>H01BA02</v>
      </c>
      <c r="C390" t="str">
        <f>VLOOKUP($A390,[1]Table!$A$2:$N566,C$1,FALSE)</f>
        <v>HYPOFYSE- EN HYPOTHALAMUSHORMONEN EN VERWANTE VERBINDINGEN</v>
      </c>
      <c r="D390" t="str">
        <f>VLOOKUP($A390,[1]Table!$A$2:$N566,D$1,FALSE)</f>
        <v>NEUROHYPOFYSEHORMONEN</v>
      </c>
      <c r="E390" t="str">
        <f>VLOOKUP($A390,[1]Table!$A$2:$N566,E$1,FALSE)</f>
        <v>DESMOPRESSINE</v>
      </c>
      <c r="F390" t="str">
        <f>VLOOKUP($A390,[1]Table!$A$2:$N566,F$1,FALSE)</f>
        <v>MINRIN 2.5 MICROG/DOSIS NEUSSPRAY</v>
      </c>
      <c r="G390" t="str">
        <f>VLOOKUP($A390,[1]Table!$A$2:$N566,G$1,FALSE)</f>
        <v>DESMOPRESS 2,5UG/DO NEUSSPR</v>
      </c>
      <c r="H390" t="str">
        <f>VLOOKUP($A390,[1]Table!$A$2:$N566,H$1,FALSE)</f>
        <v>neusspray</v>
      </c>
      <c r="I390" t="str">
        <f>VLOOKUP($A390,[1]Table!$A$2:$N566,I$1,FALSE)</f>
        <v>nasaal</v>
      </c>
      <c r="J390">
        <f>VLOOKUP($A390,[1]Table!$A$2:$N566,J$1,FALSE)</f>
        <v>2.5</v>
      </c>
      <c r="K390" t="str">
        <f>VLOOKUP($A390,[1]Table!$A$2:$N566,K$1,FALSE)</f>
        <v>mcg/dose</v>
      </c>
      <c r="L390">
        <f>VLOOKUP($A390,[1]Table!$A$2:$N566,L$1,FALSE)</f>
        <v>2.5</v>
      </c>
      <c r="M390" t="str">
        <f>VLOOKUP($A390,[1]Table!$A$2:$N566,M$1,FALSE)</f>
        <v>mcg</v>
      </c>
      <c r="N390" t="str">
        <f>VLOOKUP($A390,[1]Table!$A$2:$N566,N$1,FALSE)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>ConcatenateRange(AZ390:BU390,"||")</f>
        <v/>
      </c>
      <c r="AZ390" t="str">
        <f t="shared" si="154"/>
        <v/>
      </c>
      <c r="BA390" t="str">
        <f t="shared" si="155"/>
        <v/>
      </c>
      <c r="BB390" t="str">
        <f t="shared" si="156"/>
        <v/>
      </c>
      <c r="BC390" t="str">
        <f t="shared" si="157"/>
        <v/>
      </c>
      <c r="BD390" t="str">
        <f t="shared" si="158"/>
        <v/>
      </c>
      <c r="BE390" t="str">
        <f t="shared" si="159"/>
        <v/>
      </c>
      <c r="BF390" t="str">
        <f t="shared" si="160"/>
        <v/>
      </c>
      <c r="BG390" t="str">
        <f t="shared" si="161"/>
        <v/>
      </c>
      <c r="BH390" t="str">
        <f t="shared" si="162"/>
        <v/>
      </c>
      <c r="BI390" t="str">
        <f t="shared" si="163"/>
        <v/>
      </c>
      <c r="BJ390" t="str">
        <f t="shared" si="164"/>
        <v/>
      </c>
      <c r="BK390" t="str">
        <f t="shared" si="165"/>
        <v/>
      </c>
      <c r="BL390" t="str">
        <f t="shared" si="166"/>
        <v/>
      </c>
      <c r="BM390" t="str">
        <f t="shared" si="167"/>
        <v/>
      </c>
      <c r="BN390" t="str">
        <f t="shared" si="168"/>
        <v/>
      </c>
      <c r="BO390" t="str">
        <f t="shared" si="169"/>
        <v/>
      </c>
      <c r="BP390" t="str">
        <f t="shared" si="170"/>
        <v/>
      </c>
      <c r="BQ390" t="str">
        <f t="shared" si="171"/>
        <v/>
      </c>
      <c r="BR390" t="str">
        <f t="shared" si="172"/>
        <v/>
      </c>
      <c r="BS390" t="str">
        <f t="shared" si="173"/>
        <v/>
      </c>
      <c r="BT390" t="str">
        <f t="shared" si="174"/>
        <v/>
      </c>
      <c r="BU390" t="str">
        <f t="shared" si="175"/>
        <v/>
      </c>
    </row>
    <row r="391" spans="1:73">
      <c r="A391" s="1">
        <v>81256</v>
      </c>
      <c r="B391" t="str">
        <f>VLOOKUP($A391,[1]Table!$A$2:$N567,B$1,FALSE)</f>
        <v>H01BA02</v>
      </c>
      <c r="C391" t="str">
        <f>VLOOKUP($A391,[1]Table!$A$2:$N567,C$1,FALSE)</f>
        <v>HYPOFYSE- EN HYPOTHALAMUSHORMONEN EN VERWANTE VERBINDINGEN</v>
      </c>
      <c r="D391" t="str">
        <f>VLOOKUP($A391,[1]Table!$A$2:$N567,D$1,FALSE)</f>
        <v>NEUROHYPOFYSEHORMONEN</v>
      </c>
      <c r="E391" t="str">
        <f>VLOOKUP($A391,[1]Table!$A$2:$N567,E$1,FALSE)</f>
        <v>DESMOPRESSINE</v>
      </c>
      <c r="F391" t="str">
        <f>VLOOKUP($A391,[1]Table!$A$2:$N567,F$1,FALSE)</f>
        <v>MINRIN 0.1 MG/ML NEUSSPRAY 50 DOSIS</v>
      </c>
      <c r="G391" t="str">
        <f>VLOOKUP($A391,[1]Table!$A$2:$N567,G$1,FALSE)</f>
        <v>DESMOPRES 10UG/DO NEUSSPRAY</v>
      </c>
      <c r="H391" t="str">
        <f>VLOOKUP($A391,[1]Table!$A$2:$N567,H$1,FALSE)</f>
        <v>neusspray</v>
      </c>
      <c r="I391" t="str">
        <f>VLOOKUP($A391,[1]Table!$A$2:$N567,I$1,FALSE)</f>
        <v>nasaal</v>
      </c>
      <c r="J391">
        <f>VLOOKUP($A391,[1]Table!$A$2:$N567,J$1,FALSE)</f>
        <v>10</v>
      </c>
      <c r="K391" t="str">
        <f>VLOOKUP($A391,[1]Table!$A$2:$N567,K$1,FALSE)</f>
        <v>mcg/dose</v>
      </c>
      <c r="L391">
        <f>VLOOKUP($A391,[1]Table!$A$2:$N567,L$1,FALSE)</f>
        <v>10</v>
      </c>
      <c r="M391" t="str">
        <f>VLOOKUP($A391,[1]Table!$A$2:$N567,M$1,FALSE)</f>
        <v>mcg</v>
      </c>
      <c r="N391" t="str">
        <f>VLOOKUP($A391,[1]Table!$A$2:$N567,N$1,FALSE)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1" t="str">
        <f>ConcatenateRange(AZ391:BU391,"||")</f>
        <v/>
      </c>
      <c r="AZ391" t="str">
        <f t="shared" si="154"/>
        <v/>
      </c>
      <c r="BA391" t="str">
        <f t="shared" si="155"/>
        <v/>
      </c>
      <c r="BB391" t="str">
        <f t="shared" si="156"/>
        <v/>
      </c>
      <c r="BC391" t="str">
        <f t="shared" si="157"/>
        <v/>
      </c>
      <c r="BD391" t="str">
        <f t="shared" si="158"/>
        <v/>
      </c>
      <c r="BE391" t="str">
        <f t="shared" si="159"/>
        <v/>
      </c>
      <c r="BF391" t="str">
        <f t="shared" si="160"/>
        <v/>
      </c>
      <c r="BG391" t="str">
        <f t="shared" si="161"/>
        <v/>
      </c>
      <c r="BH391" t="str">
        <f t="shared" si="162"/>
        <v/>
      </c>
      <c r="BI391" t="str">
        <f t="shared" si="163"/>
        <v/>
      </c>
      <c r="BJ391" t="str">
        <f t="shared" si="164"/>
        <v/>
      </c>
      <c r="BK391" t="str">
        <f t="shared" si="165"/>
        <v/>
      </c>
      <c r="BL391" t="str">
        <f t="shared" si="166"/>
        <v/>
      </c>
      <c r="BM391" t="str">
        <f t="shared" si="167"/>
        <v/>
      </c>
      <c r="BN391" t="str">
        <f t="shared" si="168"/>
        <v/>
      </c>
      <c r="BO391" t="str">
        <f t="shared" si="169"/>
        <v/>
      </c>
      <c r="BP391" t="str">
        <f t="shared" si="170"/>
        <v/>
      </c>
      <c r="BQ391" t="str">
        <f t="shared" si="171"/>
        <v/>
      </c>
      <c r="BR391" t="str">
        <f t="shared" si="172"/>
        <v/>
      </c>
      <c r="BS391" t="str">
        <f t="shared" si="173"/>
        <v/>
      </c>
      <c r="BT391" t="str">
        <f t="shared" si="174"/>
        <v/>
      </c>
      <c r="BU391" t="str">
        <f t="shared" si="175"/>
        <v/>
      </c>
    </row>
    <row r="392" spans="1:73">
      <c r="A392" s="1">
        <v>94242</v>
      </c>
      <c r="B392" t="str">
        <f>VLOOKUP($A392,[1]Table!$A$2:$N568,B$1,FALSE)</f>
        <v>H01BA02</v>
      </c>
      <c r="C392" t="str">
        <f>VLOOKUP($A392,[1]Table!$A$2:$N568,C$1,FALSE)</f>
        <v>HYPOFYSE- EN HYPOTHALAMUSHORMONEN EN VERWANTE VERBINDINGEN</v>
      </c>
      <c r="D392" t="str">
        <f>VLOOKUP($A392,[1]Table!$A$2:$N568,D$1,FALSE)</f>
        <v>NEUROHYPOFYSEHORMONEN</v>
      </c>
      <c r="E392" t="str">
        <f>VLOOKUP($A392,[1]Table!$A$2:$N568,E$1,FALSE)</f>
        <v>DESMOPRESSINE</v>
      </c>
      <c r="F392" t="str">
        <f>VLOOKUP($A392,[1]Table!$A$2:$N568,F$1,FALSE)</f>
        <v>OCTOSTIM 150 MICROG/DOSIS NEUSSPRAY 25 DOSES</v>
      </c>
      <c r="G392" t="str">
        <f>VLOOKUP($A392,[1]Table!$A$2:$N568,G$1,FALSE)</f>
        <v>DESMOPRES 150UG/DO NEUSSPRA</v>
      </c>
      <c r="H392" t="str">
        <f>VLOOKUP($A392,[1]Table!$A$2:$N568,H$1,FALSE)</f>
        <v>neusspray</v>
      </c>
      <c r="I392" t="str">
        <f>VLOOKUP($A392,[1]Table!$A$2:$N568,I$1,FALSE)</f>
        <v>nasaal</v>
      </c>
      <c r="J392">
        <f>VLOOKUP($A392,[1]Table!$A$2:$N568,J$1,FALSE)</f>
        <v>150</v>
      </c>
      <c r="K392" t="str">
        <f>VLOOKUP($A392,[1]Table!$A$2:$N568,K$1,FALSE)</f>
        <v>mcg/dose</v>
      </c>
      <c r="L392">
        <f>VLOOKUP($A392,[1]Table!$A$2:$N568,L$1,FALSE)</f>
        <v>150</v>
      </c>
      <c r="M392" t="str">
        <f>VLOOKUP($A392,[1]Table!$A$2:$N568,M$1,FALSE)</f>
        <v>mcg</v>
      </c>
      <c r="N392" t="str">
        <f>VLOOKUP($A392,[1]Table!$A$2:$N568,N$1,FALSE)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2" t="str">
        <f>ConcatenateRange(AZ392:BU392,"||")</f>
        <v/>
      </c>
      <c r="AZ392" t="str">
        <f t="shared" si="154"/>
        <v/>
      </c>
      <c r="BA392" t="str">
        <f t="shared" si="155"/>
        <v/>
      </c>
      <c r="BB392" t="str">
        <f t="shared" si="156"/>
        <v/>
      </c>
      <c r="BC392" t="str">
        <f t="shared" si="157"/>
        <v/>
      </c>
      <c r="BD392" t="str">
        <f t="shared" si="158"/>
        <v/>
      </c>
      <c r="BE392" t="str">
        <f t="shared" si="159"/>
        <v/>
      </c>
      <c r="BF392" t="str">
        <f t="shared" si="160"/>
        <v/>
      </c>
      <c r="BG392" t="str">
        <f t="shared" si="161"/>
        <v/>
      </c>
      <c r="BH392" t="str">
        <f t="shared" si="162"/>
        <v/>
      </c>
      <c r="BI392" t="str">
        <f t="shared" si="163"/>
        <v/>
      </c>
      <c r="BJ392" t="str">
        <f t="shared" si="164"/>
        <v/>
      </c>
      <c r="BK392" t="str">
        <f t="shared" si="165"/>
        <v/>
      </c>
      <c r="BL392" t="str">
        <f t="shared" si="166"/>
        <v/>
      </c>
      <c r="BM392" t="str">
        <f t="shared" si="167"/>
        <v/>
      </c>
      <c r="BN392" t="str">
        <f t="shared" si="168"/>
        <v/>
      </c>
      <c r="BO392" t="str">
        <f t="shared" si="169"/>
        <v/>
      </c>
      <c r="BP392" t="str">
        <f t="shared" si="170"/>
        <v/>
      </c>
      <c r="BQ392" t="str">
        <f t="shared" si="171"/>
        <v/>
      </c>
      <c r="BR392" t="str">
        <f t="shared" si="172"/>
        <v/>
      </c>
      <c r="BS392" t="str">
        <f t="shared" si="173"/>
        <v/>
      </c>
      <c r="BT392" t="str">
        <f t="shared" si="174"/>
        <v/>
      </c>
      <c r="BU392" t="str">
        <f t="shared" si="175"/>
        <v/>
      </c>
    </row>
    <row r="393" spans="1:73">
      <c r="A393" s="1">
        <v>74098</v>
      </c>
      <c r="B393" t="str">
        <f>VLOOKUP($A393,[1]Table!$A$2:$N569,B$1,FALSE)</f>
        <v>H01BA02</v>
      </c>
      <c r="C393" t="str">
        <f>VLOOKUP($A393,[1]Table!$A$2:$N569,C$1,FALSE)</f>
        <v>HYPOFYSE- EN HYPOTHALAMUSHORMONEN EN VERWANTE VERBINDINGEN</v>
      </c>
      <c r="D393" t="str">
        <f>VLOOKUP($A393,[1]Table!$A$2:$N569,D$1,FALSE)</f>
        <v>NEUROHYPOFYSEHORMONEN</v>
      </c>
      <c r="E393" t="str">
        <f>VLOOKUP($A393,[1]Table!$A$2:$N569,E$1,FALSE)</f>
        <v>DESMOPRESSINE</v>
      </c>
      <c r="F393" t="str">
        <f>VLOOKUP($A393,[1]Table!$A$2:$N569,F$1,FALSE)</f>
        <v>DESMOPRESSINE  0,1 MG TABLET</v>
      </c>
      <c r="G393" t="str">
        <f>VLOOKUP($A393,[1]Table!$A$2:$N569,G$1,FALSE)</f>
        <v>DESMOPRESSINE 0,1MG TABLET</v>
      </c>
      <c r="H393" t="str">
        <f>VLOOKUP($A393,[1]Table!$A$2:$N569,H$1,FALSE)</f>
        <v>tablet</v>
      </c>
      <c r="I393" t="str">
        <f>VLOOKUP($A393,[1]Table!$A$2:$N569,I$1,FALSE)</f>
        <v>or</v>
      </c>
      <c r="J393">
        <f>VLOOKUP($A393,[1]Table!$A$2:$N569,J$1,FALSE)</f>
        <v>0.1</v>
      </c>
      <c r="K393" t="str">
        <f>VLOOKUP($A393,[1]Table!$A$2:$N569,K$1,FALSE)</f>
        <v>mg/stuk</v>
      </c>
      <c r="L393">
        <f>VLOOKUP($A393,[1]Table!$A$2:$N569,L$1,FALSE)</f>
        <v>0.05</v>
      </c>
      <c r="M393" t="str">
        <f>VLOOKUP($A393,[1]Table!$A$2:$N569,M$1,FALSE)</f>
        <v>mg</v>
      </c>
      <c r="N393" t="str">
        <f>VLOOKUP($A393,[1]Table!$A$2:$N569,N$1,FALSE)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3" t="str">
        <f>ConcatenateRange(AZ393:BU393,"||")</f>
        <v/>
      </c>
      <c r="AZ393" t="str">
        <f t="shared" si="154"/>
        <v/>
      </c>
      <c r="BA393" t="str">
        <f t="shared" si="155"/>
        <v/>
      </c>
      <c r="BB393" t="str">
        <f t="shared" si="156"/>
        <v/>
      </c>
      <c r="BC393" t="str">
        <f t="shared" si="157"/>
        <v/>
      </c>
      <c r="BD393" t="str">
        <f t="shared" si="158"/>
        <v/>
      </c>
      <c r="BE393" t="str">
        <f t="shared" si="159"/>
        <v/>
      </c>
      <c r="BF393" t="str">
        <f t="shared" si="160"/>
        <v/>
      </c>
      <c r="BG393" t="str">
        <f t="shared" si="161"/>
        <v/>
      </c>
      <c r="BH393" t="str">
        <f t="shared" si="162"/>
        <v/>
      </c>
      <c r="BI393" t="str">
        <f t="shared" si="163"/>
        <v/>
      </c>
      <c r="BJ393" t="str">
        <f t="shared" si="164"/>
        <v/>
      </c>
      <c r="BK393" t="str">
        <f t="shared" si="165"/>
        <v/>
      </c>
      <c r="BL393" t="str">
        <f t="shared" si="166"/>
        <v/>
      </c>
      <c r="BM393" t="str">
        <f t="shared" si="167"/>
        <v/>
      </c>
      <c r="BN393" t="str">
        <f t="shared" si="168"/>
        <v/>
      </c>
      <c r="BO393" t="str">
        <f t="shared" si="169"/>
        <v/>
      </c>
      <c r="BP393" t="str">
        <f t="shared" si="170"/>
        <v/>
      </c>
      <c r="BQ393" t="str">
        <f t="shared" si="171"/>
        <v/>
      </c>
      <c r="BR393" t="str">
        <f t="shared" si="172"/>
        <v/>
      </c>
      <c r="BS393" t="str">
        <f t="shared" si="173"/>
        <v/>
      </c>
      <c r="BT393" t="str">
        <f t="shared" si="174"/>
        <v/>
      </c>
      <c r="BU393" t="str">
        <f t="shared" si="175"/>
        <v/>
      </c>
    </row>
    <row r="394" spans="1:73">
      <c r="A394" s="1">
        <v>74101</v>
      </c>
      <c r="B394" t="str">
        <f>VLOOKUP($A394,[1]Table!$A$2:$N570,B$1,FALSE)</f>
        <v>H01BA02</v>
      </c>
      <c r="C394" t="str">
        <f>VLOOKUP($A394,[1]Table!$A$2:$N570,C$1,FALSE)</f>
        <v>HYPOFYSE- EN HYPOTHALAMUSHORMONEN EN VERWANTE VERBINDINGEN</v>
      </c>
      <c r="D394" t="str">
        <f>VLOOKUP($A394,[1]Table!$A$2:$N570,D$1,FALSE)</f>
        <v>NEUROHYPOFYSEHORMONEN</v>
      </c>
      <c r="E394" t="str">
        <f>VLOOKUP($A394,[1]Table!$A$2:$N570,E$1,FALSE)</f>
        <v>DESMOPRESSINE</v>
      </c>
      <c r="F394" t="str">
        <f>VLOOKUP($A394,[1]Table!$A$2:$N570,F$1,FALSE)</f>
        <v>DESMOPRESSINE 0,2 MG TABLET</v>
      </c>
      <c r="G394" t="str">
        <f>VLOOKUP($A394,[1]Table!$A$2:$N570,G$1,FALSE)</f>
        <v>DESMOPRESSINE 0,2MG TABLET</v>
      </c>
      <c r="H394" t="str">
        <f>VLOOKUP($A394,[1]Table!$A$2:$N570,H$1,FALSE)</f>
        <v>tablet</v>
      </c>
      <c r="I394" t="str">
        <f>VLOOKUP($A394,[1]Table!$A$2:$N570,I$1,FALSE)</f>
        <v>or</v>
      </c>
      <c r="J394">
        <f>VLOOKUP($A394,[1]Table!$A$2:$N570,J$1,FALSE)</f>
        <v>0.2</v>
      </c>
      <c r="K394" t="str">
        <f>VLOOKUP($A394,[1]Table!$A$2:$N570,K$1,FALSE)</f>
        <v>mg/stuk</v>
      </c>
      <c r="L394">
        <f>VLOOKUP($A394,[1]Table!$A$2:$N570,L$1,FALSE)</f>
        <v>0.2</v>
      </c>
      <c r="M394" t="str">
        <f>VLOOKUP($A394,[1]Table!$A$2:$N570,M$1,FALSE)</f>
        <v>mg</v>
      </c>
      <c r="N394" t="str">
        <f>VLOOKUP($A394,[1]Table!$A$2:$N570,N$1,FALSE)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4" t="str">
        <f>ConcatenateRange(AZ394:BU394,"||")</f>
        <v/>
      </c>
      <c r="AZ394" t="str">
        <f t="shared" si="154"/>
        <v/>
      </c>
      <c r="BA394" t="str">
        <f t="shared" si="155"/>
        <v/>
      </c>
      <c r="BB394" t="str">
        <f t="shared" si="156"/>
        <v/>
      </c>
      <c r="BC394" t="str">
        <f t="shared" si="157"/>
        <v/>
      </c>
      <c r="BD394" t="str">
        <f t="shared" si="158"/>
        <v/>
      </c>
      <c r="BE394" t="str">
        <f t="shared" si="159"/>
        <v/>
      </c>
      <c r="BF394" t="str">
        <f t="shared" si="160"/>
        <v/>
      </c>
      <c r="BG394" t="str">
        <f t="shared" si="161"/>
        <v/>
      </c>
      <c r="BH394" t="str">
        <f t="shared" si="162"/>
        <v/>
      </c>
      <c r="BI394" t="str">
        <f t="shared" si="163"/>
        <v/>
      </c>
      <c r="BJ394" t="str">
        <f t="shared" si="164"/>
        <v/>
      </c>
      <c r="BK394" t="str">
        <f t="shared" si="165"/>
        <v/>
      </c>
      <c r="BL394" t="str">
        <f t="shared" si="166"/>
        <v/>
      </c>
      <c r="BM394" t="str">
        <f t="shared" si="167"/>
        <v/>
      </c>
      <c r="BN394" t="str">
        <f t="shared" si="168"/>
        <v/>
      </c>
      <c r="BO394" t="str">
        <f t="shared" si="169"/>
        <v/>
      </c>
      <c r="BP394" t="str">
        <f t="shared" si="170"/>
        <v/>
      </c>
      <c r="BQ394" t="str">
        <f t="shared" si="171"/>
        <v/>
      </c>
      <c r="BR394" t="str">
        <f t="shared" si="172"/>
        <v/>
      </c>
      <c r="BS394" t="str">
        <f t="shared" si="173"/>
        <v/>
      </c>
      <c r="BT394" t="str">
        <f t="shared" si="174"/>
        <v/>
      </c>
      <c r="BU394" t="str">
        <f t="shared" si="175"/>
        <v/>
      </c>
    </row>
    <row r="395" spans="1:73">
      <c r="A395" s="1">
        <v>10898</v>
      </c>
      <c r="B395" t="str">
        <f>VLOOKUP($A395,[1]Table!$A$2:$N571,B$1,FALSE)</f>
        <v>D07AC03</v>
      </c>
      <c r="C395" t="str">
        <f>VLOOKUP($A395,[1]Table!$A$2:$N571,C$1,FALSE)</f>
        <v>DERMATOLOGISCHE CORTICOSTEROIDEN</v>
      </c>
      <c r="D395" t="str">
        <f>VLOOKUP($A395,[1]Table!$A$2:$N571,D$1,FALSE)</f>
        <v>ENKELVOUDIGE CORTICOSTEROIDEN</v>
      </c>
      <c r="E395" t="str">
        <f>VLOOKUP($A395,[1]Table!$A$2:$N571,E$1,FALSE)</f>
        <v>DESOXIMETASON</v>
      </c>
      <c r="F395" t="str">
        <f>VLOOKUP($A395,[1]Table!$A$2:$N571,F$1,FALSE)</f>
        <v>IBARIL CREME 2,5MG/G 100 GRAM</v>
      </c>
      <c r="G395" t="str">
        <f>VLOOKUP($A395,[1]Table!$A$2:$N571,G$1,FALSE)</f>
        <v>DESOXIMETASON 2,5MG/G CREME</v>
      </c>
      <c r="H395" t="str">
        <f>VLOOKUP($A395,[1]Table!$A$2:$N571,H$1,FALSE)</f>
        <v>creme</v>
      </c>
      <c r="I395" t="str">
        <f>VLOOKUP($A395,[1]Table!$A$2:$N571,I$1,FALSE)</f>
        <v>cutaan</v>
      </c>
      <c r="J395">
        <f>VLOOKUP($A395,[1]Table!$A$2:$N571,J$1,FALSE)</f>
        <v>2.5</v>
      </c>
      <c r="K395" t="str">
        <f>VLOOKUP($A395,[1]Table!$A$2:$N571,K$1,FALSE)</f>
        <v>mg/gr</v>
      </c>
      <c r="L395">
        <f>VLOOKUP($A395,[1]Table!$A$2:$N571,L$1,FALSE)</f>
        <v>2.5</v>
      </c>
      <c r="M395" t="str">
        <f>VLOOKUP($A395,[1]Table!$A$2:$N571,M$1,FALSE)</f>
        <v>mg</v>
      </c>
      <c r="N395" t="str">
        <f>VLOOKUP($A395,[1]Table!$A$2:$N571,N$1,FALSE)</f>
        <v>Constitutioneel eczeem</v>
      </c>
      <c r="O395" t="str">
        <f>ConcatenateRange(AZ395:BU395,"||")</f>
        <v/>
      </c>
      <c r="AZ395" t="str">
        <f t="shared" si="154"/>
        <v/>
      </c>
      <c r="BA395" t="str">
        <f t="shared" si="155"/>
        <v/>
      </c>
      <c r="BB395" t="str">
        <f t="shared" si="156"/>
        <v/>
      </c>
      <c r="BC395" t="str">
        <f t="shared" si="157"/>
        <v/>
      </c>
      <c r="BD395" t="str">
        <f t="shared" si="158"/>
        <v/>
      </c>
      <c r="BE395" t="str">
        <f t="shared" si="159"/>
        <v/>
      </c>
      <c r="BF395" t="str">
        <f t="shared" si="160"/>
        <v/>
      </c>
      <c r="BG395" t="str">
        <f t="shared" si="161"/>
        <v/>
      </c>
      <c r="BH395" t="str">
        <f t="shared" si="162"/>
        <v/>
      </c>
      <c r="BI395" t="str">
        <f t="shared" si="163"/>
        <v/>
      </c>
      <c r="BJ395" t="str">
        <f t="shared" si="164"/>
        <v/>
      </c>
      <c r="BK395" t="str">
        <f t="shared" si="165"/>
        <v/>
      </c>
      <c r="BL395" t="str">
        <f t="shared" si="166"/>
        <v/>
      </c>
      <c r="BM395" t="str">
        <f t="shared" si="167"/>
        <v/>
      </c>
      <c r="BN395" t="str">
        <f t="shared" si="168"/>
        <v/>
      </c>
      <c r="BO395" t="str">
        <f t="shared" si="169"/>
        <v/>
      </c>
      <c r="BP395" t="str">
        <f t="shared" si="170"/>
        <v/>
      </c>
      <c r="BQ395" t="str">
        <f t="shared" si="171"/>
        <v/>
      </c>
      <c r="BR395" t="str">
        <f t="shared" si="172"/>
        <v/>
      </c>
      <c r="BS395" t="str">
        <f t="shared" si="173"/>
        <v/>
      </c>
      <c r="BT395" t="str">
        <f t="shared" si="174"/>
        <v/>
      </c>
      <c r="BU395" t="str">
        <f t="shared" si="175"/>
        <v/>
      </c>
    </row>
    <row r="396" spans="1:73">
      <c r="A396" s="1">
        <v>120235</v>
      </c>
      <c r="B396" t="str">
        <f>VLOOKUP($A396,[1]Table!$A$2:$N572,B$1,FALSE)</f>
        <v>D07AC03</v>
      </c>
      <c r="C396" t="str">
        <f>VLOOKUP($A396,[1]Table!$A$2:$N572,C$1,FALSE)</f>
        <v>DERMATOLOGISCHE CORTICOSTEROIDEN</v>
      </c>
      <c r="D396" t="str">
        <f>VLOOKUP($A396,[1]Table!$A$2:$N572,D$1,FALSE)</f>
        <v>ENKELVOUDIGE CORTICOSTEROIDEN</v>
      </c>
      <c r="E396" t="str">
        <f>VLOOKUP($A396,[1]Table!$A$2:$N572,E$1,FALSE)</f>
        <v>DESOXIMETASON</v>
      </c>
      <c r="F396" t="str">
        <f>VLOOKUP($A396,[1]Table!$A$2:$N572,F$1,FALSE)</f>
        <v>TOPICORTE O/W 2,5MG/G EMULSIE 120G</v>
      </c>
      <c r="G396" t="str">
        <f>VLOOKUP($A396,[1]Table!$A$2:$N572,G$1,FALSE)</f>
        <v>DESOXIMETASON 2,5MG/G EMULS</v>
      </c>
      <c r="H396" t="str">
        <f>VLOOKUP($A396,[1]Table!$A$2:$N572,H$1,FALSE)</f>
        <v>emulsie voor cutaan gebruik</v>
      </c>
      <c r="I396" t="str">
        <f>VLOOKUP($A396,[1]Table!$A$2:$N572,I$1,FALSE)</f>
        <v>cutaan</v>
      </c>
      <c r="J396">
        <f>VLOOKUP($A396,[1]Table!$A$2:$N572,J$1,FALSE)</f>
        <v>2.5</v>
      </c>
      <c r="K396" t="str">
        <f>VLOOKUP($A396,[1]Table!$A$2:$N572,K$1,FALSE)</f>
        <v>mg/gr</v>
      </c>
      <c r="L396">
        <f>VLOOKUP($A396,[1]Table!$A$2:$N572,L$1,FALSE)</f>
        <v>2.5</v>
      </c>
      <c r="M396" t="str">
        <f>VLOOKUP($A396,[1]Table!$A$2:$N572,M$1,FALSE)</f>
        <v>mg</v>
      </c>
      <c r="N396" t="str">
        <f>VLOOKUP($A396,[1]Table!$A$2:$N572,N$1,FALSE)</f>
        <v>Constitutioneel eczeem</v>
      </c>
      <c r="O396" t="str">
        <f>ConcatenateRange(AZ396:BU396,"||")</f>
        <v/>
      </c>
      <c r="AZ396" t="str">
        <f t="shared" si="154"/>
        <v/>
      </c>
      <c r="BA396" t="str">
        <f t="shared" si="155"/>
        <v/>
      </c>
      <c r="BB396" t="str">
        <f t="shared" si="156"/>
        <v/>
      </c>
      <c r="BC396" t="str">
        <f t="shared" si="157"/>
        <v/>
      </c>
      <c r="BD396" t="str">
        <f t="shared" si="158"/>
        <v/>
      </c>
      <c r="BE396" t="str">
        <f t="shared" si="159"/>
        <v/>
      </c>
      <c r="BF396" t="str">
        <f t="shared" si="160"/>
        <v/>
      </c>
      <c r="BG396" t="str">
        <f t="shared" si="161"/>
        <v/>
      </c>
      <c r="BH396" t="str">
        <f t="shared" si="162"/>
        <v/>
      </c>
      <c r="BI396" t="str">
        <f t="shared" si="163"/>
        <v/>
      </c>
      <c r="BJ396" t="str">
        <f t="shared" si="164"/>
        <v/>
      </c>
      <c r="BK396" t="str">
        <f t="shared" si="165"/>
        <v/>
      </c>
      <c r="BL396" t="str">
        <f t="shared" si="166"/>
        <v/>
      </c>
      <c r="BM396" t="str">
        <f t="shared" si="167"/>
        <v/>
      </c>
      <c r="BN396" t="str">
        <f t="shared" si="168"/>
        <v/>
      </c>
      <c r="BO396" t="str">
        <f t="shared" si="169"/>
        <v/>
      </c>
      <c r="BP396" t="str">
        <f t="shared" si="170"/>
        <v/>
      </c>
      <c r="BQ396" t="str">
        <f t="shared" si="171"/>
        <v/>
      </c>
      <c r="BR396" t="str">
        <f t="shared" si="172"/>
        <v/>
      </c>
      <c r="BS396" t="str">
        <f t="shared" si="173"/>
        <v/>
      </c>
      <c r="BT396" t="str">
        <f t="shared" si="174"/>
        <v/>
      </c>
      <c r="BU396" t="str">
        <f t="shared" si="175"/>
        <v/>
      </c>
    </row>
    <row r="397" spans="1:73">
      <c r="A397" s="1">
        <v>124915</v>
      </c>
      <c r="B397" t="str">
        <f>VLOOKUP($A397,[1]Table!$A$2:$N573,B$1,FALSE)</f>
        <v>H02AB02</v>
      </c>
      <c r="C397" t="str">
        <f>VLOOKUP($A397,[1]Table!$A$2:$N573,C$1,FALSE)</f>
        <v>CORTICOSTEROIDEN VOOR SYSTEMISCH GEBRUIK</v>
      </c>
      <c r="D397" t="str">
        <f>VLOOKUP($A397,[1]Table!$A$2:$N573,D$1,FALSE)</f>
        <v>CORTICOSTEROIDEN VOOR SYSTEMISCH GEBRUIK</v>
      </c>
      <c r="E397" t="str">
        <f>VLOOKUP($A397,[1]Table!$A$2:$N573,E$1,FALSE)</f>
        <v>DEXAMETHASON</v>
      </c>
      <c r="F397" t="str">
        <f>VLOOKUP($A397,[1]Table!$A$2:$N573,F$1,FALSE)</f>
        <v>DEXAMETHASON 1MG/ML DRANK 100 ML</v>
      </c>
      <c r="G397" t="str">
        <f>VLOOKUP($A397,[1]Table!$A$2:$N573,G$1,FALSE)</f>
        <v>DEXAMETHASON 1MG/ML DRANK</v>
      </c>
      <c r="H397" t="str">
        <f>VLOOKUP($A397,[1]Table!$A$2:$N573,H$1,FALSE)</f>
        <v>drank</v>
      </c>
      <c r="I397" t="str">
        <f>VLOOKUP($A397,[1]Table!$A$2:$N573,I$1,FALSE)</f>
        <v>or</v>
      </c>
      <c r="J397">
        <f>VLOOKUP($A397,[1]Table!$A$2:$N573,J$1,FALSE)</f>
        <v>1</v>
      </c>
      <c r="K397" t="str">
        <f>VLOOKUP($A397,[1]Table!$A$2:$N573,K$1,FALSE)</f>
        <v>mg/ml</v>
      </c>
      <c r="L397">
        <f>VLOOKUP($A397,[1]Table!$A$2:$N573,L$1,FALSE)</f>
        <v>1</v>
      </c>
      <c r="M397" t="str">
        <f>VLOOKUP($A397,[1]Table!$A$2:$N573,M$1,FALSE)</f>
        <v>mg</v>
      </c>
      <c r="N397" t="str">
        <f>VLOOKUP($A397,[1]Table!$A$2:$N573,N$1,FALSE)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7" t="str">
        <f>ConcatenateRange(AZ397:BU397,"||")</f>
        <v/>
      </c>
      <c r="AZ397" t="str">
        <f t="shared" si="154"/>
        <v/>
      </c>
      <c r="BA397" t="str">
        <f t="shared" si="155"/>
        <v/>
      </c>
      <c r="BB397" t="str">
        <f t="shared" si="156"/>
        <v/>
      </c>
      <c r="BC397" t="str">
        <f t="shared" si="157"/>
        <v/>
      </c>
      <c r="BD397" t="str">
        <f t="shared" si="158"/>
        <v/>
      </c>
      <c r="BE397" t="str">
        <f t="shared" si="159"/>
        <v/>
      </c>
      <c r="BF397" t="str">
        <f t="shared" si="160"/>
        <v/>
      </c>
      <c r="BG397" t="str">
        <f t="shared" si="161"/>
        <v/>
      </c>
      <c r="BH397" t="str">
        <f t="shared" si="162"/>
        <v/>
      </c>
      <c r="BI397" t="str">
        <f t="shared" si="163"/>
        <v/>
      </c>
      <c r="BJ397" t="str">
        <f t="shared" si="164"/>
        <v/>
      </c>
      <c r="BK397" t="str">
        <f t="shared" si="165"/>
        <v/>
      </c>
      <c r="BL397" t="str">
        <f t="shared" si="166"/>
        <v/>
      </c>
      <c r="BM397" t="str">
        <f t="shared" si="167"/>
        <v/>
      </c>
      <c r="BN397" t="str">
        <f t="shared" si="168"/>
        <v/>
      </c>
      <c r="BO397" t="str">
        <f t="shared" si="169"/>
        <v/>
      </c>
      <c r="BP397" t="str">
        <f t="shared" si="170"/>
        <v/>
      </c>
      <c r="BQ397" t="str">
        <f t="shared" si="171"/>
        <v/>
      </c>
      <c r="BR397" t="str">
        <f t="shared" si="172"/>
        <v/>
      </c>
      <c r="BS397" t="str">
        <f t="shared" si="173"/>
        <v/>
      </c>
      <c r="BT397" t="str">
        <f t="shared" si="174"/>
        <v/>
      </c>
      <c r="BU397" t="str">
        <f t="shared" si="175"/>
        <v/>
      </c>
    </row>
    <row r="398" spans="1:73">
      <c r="A398" s="1">
        <v>136328</v>
      </c>
      <c r="B398" t="str">
        <f>VLOOKUP($A398,[1]Table!$A$2:$N574,B$1,FALSE)</f>
        <v>S01BA01</v>
      </c>
      <c r="C398" t="str">
        <f>VLOOKUP($A398,[1]Table!$A$2:$N574,C$1,FALSE)</f>
        <v>MIDDELEN VOOR OOGHEELKUNDIG GEBRUIK</v>
      </c>
      <c r="D398" t="str">
        <f>VLOOKUP($A398,[1]Table!$A$2:$N574,D$1,FALSE)</f>
        <v>ANTI-INFLAMMATOIRE MIDDELEN</v>
      </c>
      <c r="E398" t="str">
        <f>VLOOKUP($A398,[1]Table!$A$2:$N574,E$1,FALSE)</f>
        <v>DEXAMETHASON</v>
      </c>
      <c r="F398" t="str">
        <f>VLOOKUP($A398,[1]Table!$A$2:$N574,F$1,FALSE)</f>
        <v>OZURDEX 700 MICROG IMPLANTAAT IN APPLICATOR</v>
      </c>
      <c r="G398" t="str">
        <f>VLOOKUP($A398,[1]Table!$A$2:$N574,G$1,FALSE)</f>
        <v>DEXAMETHASON 700UG IMPLANTA</v>
      </c>
      <c r="H398" t="str">
        <f>VLOOKUP($A398,[1]Table!$A$2:$N574,H$1,FALSE)</f>
        <v>implantaat</v>
      </c>
      <c r="I398" t="str">
        <f>VLOOKUP($A398,[1]Table!$A$2:$N574,I$1,FALSE)</f>
        <v>intravitr</v>
      </c>
      <c r="J398">
        <f>VLOOKUP($A398,[1]Table!$A$2:$N574,J$1,FALSE)</f>
        <v>700</v>
      </c>
      <c r="K398" t="str">
        <f>VLOOKUP($A398,[1]Table!$A$2:$N574,K$1,FALSE)</f>
        <v>mcg/stuk</v>
      </c>
      <c r="L398">
        <f>VLOOKUP($A398,[1]Table!$A$2:$N574,L$1,FALSE)</f>
        <v>700</v>
      </c>
      <c r="M398" t="str">
        <f>VLOOKUP($A398,[1]Table!$A$2:$N574,M$1,FALSE)</f>
        <v>mcg</v>
      </c>
      <c r="N398" t="str">
        <f>VLOOKUP($A398,[1]Table!$A$2:$N574,N$1,FALSE)</f>
        <v xml:space="preserve">Inflammatoire, niet-infectieuze aandoening van de conjunctiva, uveitis en post-operatief </v>
      </c>
      <c r="O398" t="str">
        <f>ConcatenateRange(AZ398:BU398,"||")</f>
        <v/>
      </c>
      <c r="AZ398" t="str">
        <f t="shared" si="154"/>
        <v/>
      </c>
      <c r="BA398" t="str">
        <f t="shared" si="155"/>
        <v/>
      </c>
      <c r="BB398" t="str">
        <f t="shared" si="156"/>
        <v/>
      </c>
      <c r="BC398" t="str">
        <f t="shared" si="157"/>
        <v/>
      </c>
      <c r="BD398" t="str">
        <f t="shared" si="158"/>
        <v/>
      </c>
      <c r="BE398" t="str">
        <f t="shared" si="159"/>
        <v/>
      </c>
      <c r="BF398" t="str">
        <f t="shared" si="160"/>
        <v/>
      </c>
      <c r="BG398" t="str">
        <f t="shared" si="161"/>
        <v/>
      </c>
      <c r="BH398" t="str">
        <f t="shared" si="162"/>
        <v/>
      </c>
      <c r="BI398" t="str">
        <f t="shared" si="163"/>
        <v/>
      </c>
      <c r="BJ398" t="str">
        <f t="shared" si="164"/>
        <v/>
      </c>
      <c r="BK398" t="str">
        <f t="shared" si="165"/>
        <v/>
      </c>
      <c r="BL398" t="str">
        <f t="shared" si="166"/>
        <v/>
      </c>
      <c r="BM398" t="str">
        <f t="shared" si="167"/>
        <v/>
      </c>
      <c r="BN398" t="str">
        <f t="shared" si="168"/>
        <v/>
      </c>
      <c r="BO398" t="str">
        <f t="shared" si="169"/>
        <v/>
      </c>
      <c r="BP398" t="str">
        <f t="shared" si="170"/>
        <v/>
      </c>
      <c r="BQ398" t="str">
        <f t="shared" si="171"/>
        <v/>
      </c>
      <c r="BR398" t="str">
        <f t="shared" si="172"/>
        <v/>
      </c>
      <c r="BS398" t="str">
        <f t="shared" si="173"/>
        <v/>
      </c>
      <c r="BT398" t="str">
        <f t="shared" si="174"/>
        <v/>
      </c>
      <c r="BU398" t="str">
        <f t="shared" si="175"/>
        <v/>
      </c>
    </row>
    <row r="399" spans="1:73">
      <c r="A399" s="14">
        <v>98000322</v>
      </c>
      <c r="B399" t="str">
        <f>VLOOKUP($A399,[1]Table!$A$2:$N1699,B$1,FALSE)</f>
        <v>H02AB02</v>
      </c>
      <c r="C399" t="str">
        <f>VLOOKUP($A399,[1]Table!$A$2:$N1699,C$1,FALSE)</f>
        <v>CORTICOSTEROIDEN VOOR SYSTEMISCH GEBRUIK</v>
      </c>
      <c r="D399" t="str">
        <f>VLOOKUP($A399,[1]Table!$A$2:$N1699,D$1,FALSE)</f>
        <v>CORTICOSTEROIDEN VOOR SYSTEMISCH GEBRUIK</v>
      </c>
      <c r="E399" t="str">
        <f>VLOOKUP($A399,[1]Table!$A$2:$N1699,E$1,FALSE)</f>
        <v>DEXAMETHASON</v>
      </c>
      <c r="F399" t="str">
        <f>VLOOKUP($A399,[1]Table!$A$2:$N1699,F$1,FALSE)</f>
        <v>DEXAMETHASON 4 MG/ML AMPUL 1ML</v>
      </c>
      <c r="G399" t="str">
        <f>VLOOKUP($A399,[1]Table!$A$2:$N1699,G$1,FALSE)</f>
        <v>DEXAMETHASON 4 MG/ML AMPUL</v>
      </c>
      <c r="H399" t="str">
        <f>VLOOKUP($A399,[1]Table!$A$2:$N1699,H$1,FALSE)</f>
        <v>infusievloeistof</v>
      </c>
      <c r="I399" t="str">
        <f>VLOOKUP($A399,[1]Table!$A$2:$N1699,I$1,FALSE)</f>
        <v>iv</v>
      </c>
      <c r="J399">
        <f>VLOOKUP($A399,[1]Table!$A$2:$N1699,J$1,FALSE)</f>
        <v>4</v>
      </c>
      <c r="K399" t="str">
        <f>VLOOKUP($A399,[1]Table!$A$2:$N1699,K$1,FALSE)</f>
        <v>mg/stuk</v>
      </c>
      <c r="L399">
        <f>VLOOKUP($A399,[1]Table!$A$2:$N1699,L$1,FALSE)</f>
        <v>4</v>
      </c>
      <c r="M399" t="str">
        <f>VLOOKUP($A399,[1]Table!$A$2:$N1699,M$1,FALSE)</f>
        <v>mg</v>
      </c>
      <c r="N399" t="str">
        <f>VLOOKUP($A399,[1]Table!$A$2:$N1699,N$1,FALSE)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9" t="str">
        <f t="shared" si="154"/>
        <v/>
      </c>
      <c r="BA399" t="str">
        <f t="shared" si="155"/>
        <v/>
      </c>
      <c r="BB399" t="str">
        <f t="shared" si="156"/>
        <v/>
      </c>
      <c r="BC399" t="str">
        <f t="shared" si="157"/>
        <v/>
      </c>
      <c r="BD399" t="str">
        <f t="shared" si="158"/>
        <v/>
      </c>
      <c r="BE399" t="str">
        <f t="shared" si="159"/>
        <v/>
      </c>
      <c r="BF399" t="str">
        <f t="shared" si="160"/>
        <v/>
      </c>
      <c r="BG399" t="str">
        <f t="shared" si="161"/>
        <v/>
      </c>
      <c r="BH399" t="str">
        <f t="shared" si="162"/>
        <v/>
      </c>
      <c r="BI399" t="str">
        <f t="shared" si="163"/>
        <v/>
      </c>
      <c r="BJ399" t="str">
        <f t="shared" si="164"/>
        <v/>
      </c>
      <c r="BK399" t="str">
        <f t="shared" si="165"/>
        <v/>
      </c>
      <c r="BL399" t="str">
        <f t="shared" si="166"/>
        <v/>
      </c>
      <c r="BM399" t="str">
        <f t="shared" si="167"/>
        <v/>
      </c>
      <c r="BN399" t="str">
        <f t="shared" si="168"/>
        <v/>
      </c>
      <c r="BO399" t="str">
        <f t="shared" si="169"/>
        <v/>
      </c>
      <c r="BP399" t="str">
        <f t="shared" si="170"/>
        <v/>
      </c>
      <c r="BQ399" t="str">
        <f t="shared" si="171"/>
        <v/>
      </c>
      <c r="BR399" t="str">
        <f t="shared" si="172"/>
        <v/>
      </c>
      <c r="BS399" t="str">
        <f t="shared" si="173"/>
        <v/>
      </c>
      <c r="BT399" t="str">
        <f t="shared" si="174"/>
        <v/>
      </c>
      <c r="BU399" t="str">
        <f t="shared" si="175"/>
        <v/>
      </c>
    </row>
    <row r="400" spans="1:73">
      <c r="A400" s="1">
        <v>96482</v>
      </c>
      <c r="B400" t="str">
        <f>VLOOKUP($A400,[1]Table!$A$2:$N575,B$1,FALSE)</f>
        <v>S01BA01</v>
      </c>
      <c r="C400" t="str">
        <f>VLOOKUP($A400,[1]Table!$A$2:$N575,C$1,FALSE)</f>
        <v>MIDDELEN VOOR OOGHEELKUNDIG GEBRUIK</v>
      </c>
      <c r="D400" t="str">
        <f>VLOOKUP($A400,[1]Table!$A$2:$N575,D$1,FALSE)</f>
        <v>ANTI-INFLAMMATOIRE MIDDELEN</v>
      </c>
      <c r="E400" t="str">
        <f>VLOOKUP($A400,[1]Table!$A$2:$N575,E$1,FALSE)</f>
        <v>DEXAMETHASON</v>
      </c>
      <c r="F400" t="str">
        <f>VLOOKUP($A400,[1]Table!$A$2:$N575,F$1,FALSE)</f>
        <v>DEXAMETHASON 0.1 % MONOFREE OOGDR 0.4ML</v>
      </c>
      <c r="G400" t="str">
        <f>VLOOKUP($A400,[1]Table!$A$2:$N575,G$1,FALSE)</f>
        <v>DEXAMETH 1MG/ML OOGDR FOSFA</v>
      </c>
      <c r="H400" t="str">
        <f>VLOOKUP($A400,[1]Table!$A$2:$N575,H$1,FALSE)</f>
        <v>oogdruppels</v>
      </c>
      <c r="I400" t="str">
        <f>VLOOKUP($A400,[1]Table!$A$2:$N575,I$1,FALSE)</f>
        <v>oog</v>
      </c>
      <c r="J400">
        <f>VLOOKUP($A400,[1]Table!$A$2:$N575,J$1,FALSE)</f>
        <v>1</v>
      </c>
      <c r="K400" t="str">
        <f>VLOOKUP($A400,[1]Table!$A$2:$N575,K$1,FALSE)</f>
        <v>mg/ml</v>
      </c>
      <c r="L400">
        <f>VLOOKUP($A400,[1]Table!$A$2:$N575,L$1,FALSE)</f>
        <v>1</v>
      </c>
      <c r="M400" t="str">
        <f>VLOOKUP($A400,[1]Table!$A$2:$N575,M$1,FALSE)</f>
        <v>mg</v>
      </c>
      <c r="N400" t="str">
        <f>VLOOKUP($A400,[1]Table!$A$2:$N575,N$1,FALSE)</f>
        <v xml:space="preserve">Inflammatoire, niet-infectieuze aandoening van de conjunctiva, uveitis en post-operatief </v>
      </c>
      <c r="O400" t="str">
        <f>ConcatenateRange(AZ400:BU400,"||")</f>
        <v/>
      </c>
      <c r="AZ400" t="str">
        <f t="shared" si="154"/>
        <v/>
      </c>
      <c r="BA400" t="str">
        <f t="shared" si="155"/>
        <v/>
      </c>
      <c r="BB400" t="str">
        <f t="shared" si="156"/>
        <v/>
      </c>
      <c r="BC400" t="str">
        <f t="shared" si="157"/>
        <v/>
      </c>
      <c r="BD400" t="str">
        <f t="shared" si="158"/>
        <v/>
      </c>
      <c r="BE400" t="str">
        <f t="shared" si="159"/>
        <v/>
      </c>
      <c r="BF400" t="str">
        <f t="shared" si="160"/>
        <v/>
      </c>
      <c r="BG400" t="str">
        <f t="shared" si="161"/>
        <v/>
      </c>
      <c r="BH400" t="str">
        <f t="shared" si="162"/>
        <v/>
      </c>
      <c r="BI400" t="str">
        <f t="shared" si="163"/>
        <v/>
      </c>
      <c r="BJ400" t="str">
        <f t="shared" si="164"/>
        <v/>
      </c>
      <c r="BK400" t="str">
        <f t="shared" si="165"/>
        <v/>
      </c>
      <c r="BL400" t="str">
        <f t="shared" si="166"/>
        <v/>
      </c>
      <c r="BM400" t="str">
        <f t="shared" si="167"/>
        <v/>
      </c>
      <c r="BN400" t="str">
        <f t="shared" si="168"/>
        <v/>
      </c>
      <c r="BO400" t="str">
        <f t="shared" si="169"/>
        <v/>
      </c>
      <c r="BP400" t="str">
        <f t="shared" si="170"/>
        <v/>
      </c>
      <c r="BQ400" t="str">
        <f t="shared" si="171"/>
        <v/>
      </c>
      <c r="BR400" t="str">
        <f t="shared" si="172"/>
        <v/>
      </c>
      <c r="BS400" t="str">
        <f t="shared" si="173"/>
        <v/>
      </c>
      <c r="BT400" t="str">
        <f t="shared" si="174"/>
        <v/>
      </c>
      <c r="BU400" t="str">
        <f t="shared" si="175"/>
        <v/>
      </c>
    </row>
    <row r="401" spans="1:73">
      <c r="A401" s="1">
        <v>47783</v>
      </c>
      <c r="B401" t="str">
        <f>VLOOKUP($A401,[1]Table!$A$2:$N576,B$1,FALSE)</f>
        <v>S01BA01</v>
      </c>
      <c r="C401" t="str">
        <f>VLOOKUP($A401,[1]Table!$A$2:$N576,C$1,FALSE)</f>
        <v>MIDDELEN VOOR OOGHEELKUNDIG GEBRUIK</v>
      </c>
      <c r="D401" t="str">
        <f>VLOOKUP($A401,[1]Table!$A$2:$N576,D$1,FALSE)</f>
        <v>ANTI-INFLAMMATOIRE MIDDELEN</v>
      </c>
      <c r="E401" t="str">
        <f>VLOOKUP($A401,[1]Table!$A$2:$N576,E$1,FALSE)</f>
        <v>DEXAMETHASON</v>
      </c>
      <c r="F401" t="str">
        <f>VLOOKUP($A401,[1]Table!$A$2:$N576,F$1,FALSE)</f>
        <v>DEXAMETHASON 0.1 % OOGDRUPPELS 5ML</v>
      </c>
      <c r="G401" t="str">
        <f>VLOOKUP($A401,[1]Table!$A$2:$N576,G$1,FALSE)</f>
        <v>DEXAMETH 1MG/ML OOGDR BASE</v>
      </c>
      <c r="H401" t="str">
        <f>VLOOKUP($A401,[1]Table!$A$2:$N576,H$1,FALSE)</f>
        <v>oogdruppels</v>
      </c>
      <c r="I401" t="str">
        <f>VLOOKUP($A401,[1]Table!$A$2:$N576,I$1,FALSE)</f>
        <v>oog</v>
      </c>
      <c r="J401">
        <f>VLOOKUP($A401,[1]Table!$A$2:$N576,J$1,FALSE)</f>
        <v>1</v>
      </c>
      <c r="K401" t="str">
        <f>VLOOKUP($A401,[1]Table!$A$2:$N576,K$1,FALSE)</f>
        <v>mg/ml</v>
      </c>
      <c r="L401">
        <f>VLOOKUP($A401,[1]Table!$A$2:$N576,L$1,FALSE)</f>
        <v>1</v>
      </c>
      <c r="M401" t="str">
        <f>VLOOKUP($A401,[1]Table!$A$2:$N576,M$1,FALSE)</f>
        <v>mg</v>
      </c>
      <c r="N401" t="str">
        <f>VLOOKUP($A401,[1]Table!$A$2:$N576,N$1,FALSE)</f>
        <v xml:space="preserve">Inflammatoire, niet-infectieuze aandoening van de conjunctiva, uveitis en post-operatief </v>
      </c>
      <c r="O401" t="str">
        <f>ConcatenateRange(AZ401:BU401,"||")</f>
        <v/>
      </c>
      <c r="AZ401" t="str">
        <f t="shared" si="154"/>
        <v/>
      </c>
      <c r="BA401" t="str">
        <f t="shared" si="155"/>
        <v/>
      </c>
      <c r="BB401" t="str">
        <f t="shared" si="156"/>
        <v/>
      </c>
      <c r="BC401" t="str">
        <f t="shared" si="157"/>
        <v/>
      </c>
      <c r="BD401" t="str">
        <f t="shared" si="158"/>
        <v/>
      </c>
      <c r="BE401" t="str">
        <f t="shared" si="159"/>
        <v/>
      </c>
      <c r="BF401" t="str">
        <f t="shared" si="160"/>
        <v/>
      </c>
      <c r="BG401" t="str">
        <f t="shared" si="161"/>
        <v/>
      </c>
      <c r="BH401" t="str">
        <f t="shared" si="162"/>
        <v/>
      </c>
      <c r="BI401" t="str">
        <f t="shared" si="163"/>
        <v/>
      </c>
      <c r="BJ401" t="str">
        <f t="shared" si="164"/>
        <v/>
      </c>
      <c r="BK401" t="str">
        <f t="shared" si="165"/>
        <v/>
      </c>
      <c r="BL401" t="str">
        <f t="shared" si="166"/>
        <v/>
      </c>
      <c r="BM401" t="str">
        <f t="shared" si="167"/>
        <v/>
      </c>
      <c r="BN401" t="str">
        <f t="shared" si="168"/>
        <v/>
      </c>
      <c r="BO401" t="str">
        <f t="shared" si="169"/>
        <v/>
      </c>
      <c r="BP401" t="str">
        <f t="shared" si="170"/>
        <v/>
      </c>
      <c r="BQ401" t="str">
        <f t="shared" si="171"/>
        <v/>
      </c>
      <c r="BR401" t="str">
        <f t="shared" si="172"/>
        <v/>
      </c>
      <c r="BS401" t="str">
        <f t="shared" si="173"/>
        <v/>
      </c>
      <c r="BT401" t="str">
        <f t="shared" si="174"/>
        <v/>
      </c>
      <c r="BU401" t="str">
        <f t="shared" si="175"/>
        <v/>
      </c>
    </row>
    <row r="402" spans="1:73">
      <c r="A402" s="1">
        <v>14281</v>
      </c>
      <c r="B402" t="str">
        <f>VLOOKUP($A402,[1]Table!$A$2:$N577,B$1,FALSE)</f>
        <v>H02AB02</v>
      </c>
      <c r="C402" t="str">
        <f>VLOOKUP($A402,[1]Table!$A$2:$N577,C$1,FALSE)</f>
        <v>CORTICOSTEROIDEN VOOR SYSTEMISCH GEBRUIK</v>
      </c>
      <c r="D402" t="str">
        <f>VLOOKUP($A402,[1]Table!$A$2:$N577,D$1,FALSE)</f>
        <v>CORTICOSTEROIDEN VOOR SYSTEMISCH GEBRUIK</v>
      </c>
      <c r="E402" t="str">
        <f>VLOOKUP($A402,[1]Table!$A$2:$N577,E$1,FALSE)</f>
        <v>DEXAMETHASON</v>
      </c>
      <c r="F402" t="str">
        <f>VLOOKUP($A402,[1]Table!$A$2:$N577,F$1,FALSE)</f>
        <v>DEXAMETHASON 0.5 MG TABLET</v>
      </c>
      <c r="G402" t="str">
        <f>VLOOKUP($A402,[1]Table!$A$2:$N577,G$1,FALSE)</f>
        <v>DEXAMETHASON 0,5MG TABLET</v>
      </c>
      <c r="H402" t="str">
        <f>VLOOKUP($A402,[1]Table!$A$2:$N577,H$1,FALSE)</f>
        <v>tablet</v>
      </c>
      <c r="I402" t="str">
        <f>VLOOKUP($A402,[1]Table!$A$2:$N577,I$1,FALSE)</f>
        <v>or</v>
      </c>
      <c r="J402">
        <f>VLOOKUP($A402,[1]Table!$A$2:$N577,J$1,FALSE)</f>
        <v>0.5</v>
      </c>
      <c r="K402" t="str">
        <f>VLOOKUP($A402,[1]Table!$A$2:$N577,K$1,FALSE)</f>
        <v>mg/stuk</v>
      </c>
      <c r="L402">
        <f>VLOOKUP($A402,[1]Table!$A$2:$N577,L$1,FALSE)</f>
        <v>0.25</v>
      </c>
      <c r="M402" t="str">
        <f>VLOOKUP($A402,[1]Table!$A$2:$N577,M$1,FALSE)</f>
        <v>mg</v>
      </c>
      <c r="N402" t="str">
        <f>VLOOKUP($A402,[1]Table!$A$2:$N577,N$1,FALSE)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2" t="str">
        <f>ConcatenateRange(AZ402:BU402,"||")</f>
        <v/>
      </c>
      <c r="AZ402" t="str">
        <f t="shared" si="154"/>
        <v/>
      </c>
      <c r="BA402" t="str">
        <f t="shared" si="155"/>
        <v/>
      </c>
      <c r="BB402" t="str">
        <f t="shared" si="156"/>
        <v/>
      </c>
      <c r="BC402" t="str">
        <f t="shared" si="157"/>
        <v/>
      </c>
      <c r="BD402" t="str">
        <f t="shared" si="158"/>
        <v/>
      </c>
      <c r="BE402" t="str">
        <f t="shared" si="159"/>
        <v/>
      </c>
      <c r="BF402" t="str">
        <f t="shared" si="160"/>
        <v/>
      </c>
      <c r="BG402" t="str">
        <f t="shared" si="161"/>
        <v/>
      </c>
      <c r="BH402" t="str">
        <f t="shared" si="162"/>
        <v/>
      </c>
      <c r="BI402" t="str">
        <f t="shared" si="163"/>
        <v/>
      </c>
      <c r="BJ402" t="str">
        <f t="shared" si="164"/>
        <v/>
      </c>
      <c r="BK402" t="str">
        <f t="shared" si="165"/>
        <v/>
      </c>
      <c r="BL402" t="str">
        <f t="shared" si="166"/>
        <v/>
      </c>
      <c r="BM402" t="str">
        <f t="shared" si="167"/>
        <v/>
      </c>
      <c r="BN402" t="str">
        <f t="shared" si="168"/>
        <v/>
      </c>
      <c r="BO402" t="str">
        <f t="shared" si="169"/>
        <v/>
      </c>
      <c r="BP402" t="str">
        <f t="shared" si="170"/>
        <v/>
      </c>
      <c r="BQ402" t="str">
        <f t="shared" si="171"/>
        <v/>
      </c>
      <c r="BR402" t="str">
        <f t="shared" si="172"/>
        <v/>
      </c>
      <c r="BS402" t="str">
        <f t="shared" si="173"/>
        <v/>
      </c>
      <c r="BT402" t="str">
        <f t="shared" si="174"/>
        <v/>
      </c>
      <c r="BU402" t="str">
        <f t="shared" si="175"/>
        <v/>
      </c>
    </row>
    <row r="403" spans="1:73">
      <c r="A403" s="1">
        <v>18546</v>
      </c>
      <c r="B403" t="str">
        <f>VLOOKUP($A403,[1]Table!$A$2:$N578,B$1,FALSE)</f>
        <v>H02AB02</v>
      </c>
      <c r="C403" t="str">
        <f>VLOOKUP($A403,[1]Table!$A$2:$N578,C$1,FALSE)</f>
        <v>CORTICOSTEROIDEN VOOR SYSTEMISCH GEBRUIK</v>
      </c>
      <c r="D403" t="str">
        <f>VLOOKUP($A403,[1]Table!$A$2:$N578,D$1,FALSE)</f>
        <v>CORTICOSTEROIDEN VOOR SYSTEMISCH GEBRUIK</v>
      </c>
      <c r="E403" t="str">
        <f>VLOOKUP($A403,[1]Table!$A$2:$N578,E$1,FALSE)</f>
        <v>DEXAMETHASON</v>
      </c>
      <c r="F403" t="str">
        <f>VLOOKUP($A403,[1]Table!$A$2:$N578,F$1,FALSE)</f>
        <v>DEXAMETHASON 1,5 MG TABLET</v>
      </c>
      <c r="G403" t="str">
        <f>VLOOKUP($A403,[1]Table!$A$2:$N578,G$1,FALSE)</f>
        <v>DEXAMETHASON 1,5MG TABLET</v>
      </c>
      <c r="H403" t="str">
        <f>VLOOKUP($A403,[1]Table!$A$2:$N578,H$1,FALSE)</f>
        <v>tablet</v>
      </c>
      <c r="I403" t="str">
        <f>VLOOKUP($A403,[1]Table!$A$2:$N578,I$1,FALSE)</f>
        <v>or</v>
      </c>
      <c r="J403">
        <f>VLOOKUP($A403,[1]Table!$A$2:$N578,J$1,FALSE)</f>
        <v>1.5</v>
      </c>
      <c r="K403" t="str">
        <f>VLOOKUP($A403,[1]Table!$A$2:$N578,K$1,FALSE)</f>
        <v>mg/stuk</v>
      </c>
      <c r="L403">
        <f>VLOOKUP($A403,[1]Table!$A$2:$N578,L$1,FALSE)</f>
        <v>0.75</v>
      </c>
      <c r="M403" t="str">
        <f>VLOOKUP($A403,[1]Table!$A$2:$N578,M$1,FALSE)</f>
        <v>mg</v>
      </c>
      <c r="N403" t="str">
        <f>VLOOKUP($A403,[1]Table!$A$2:$N578,N$1,FALSE)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3" t="str">
        <f>ConcatenateRange(AZ403:BU403,"||")</f>
        <v/>
      </c>
      <c r="AZ403" t="str">
        <f t="shared" si="154"/>
        <v/>
      </c>
      <c r="BA403" t="str">
        <f t="shared" si="155"/>
        <v/>
      </c>
      <c r="BB403" t="str">
        <f t="shared" si="156"/>
        <v/>
      </c>
      <c r="BC403" t="str">
        <f t="shared" si="157"/>
        <v/>
      </c>
      <c r="BD403" t="str">
        <f t="shared" si="158"/>
        <v/>
      </c>
      <c r="BE403" t="str">
        <f t="shared" si="159"/>
        <v/>
      </c>
      <c r="BF403" t="str">
        <f t="shared" si="160"/>
        <v/>
      </c>
      <c r="BG403" t="str">
        <f t="shared" si="161"/>
        <v/>
      </c>
      <c r="BH403" t="str">
        <f t="shared" si="162"/>
        <v/>
      </c>
      <c r="BI403" t="str">
        <f t="shared" si="163"/>
        <v/>
      </c>
      <c r="BJ403" t="str">
        <f t="shared" si="164"/>
        <v/>
      </c>
      <c r="BK403" t="str">
        <f t="shared" si="165"/>
        <v/>
      </c>
      <c r="BL403" t="str">
        <f t="shared" si="166"/>
        <v/>
      </c>
      <c r="BM403" t="str">
        <f t="shared" si="167"/>
        <v/>
      </c>
      <c r="BN403" t="str">
        <f t="shared" si="168"/>
        <v/>
      </c>
      <c r="BO403" t="str">
        <f t="shared" si="169"/>
        <v/>
      </c>
      <c r="BP403" t="str">
        <f t="shared" si="170"/>
        <v/>
      </c>
      <c r="BQ403" t="str">
        <f t="shared" si="171"/>
        <v/>
      </c>
      <c r="BR403" t="str">
        <f t="shared" si="172"/>
        <v/>
      </c>
      <c r="BS403" t="str">
        <f t="shared" si="173"/>
        <v/>
      </c>
      <c r="BT403" t="str">
        <f t="shared" si="174"/>
        <v/>
      </c>
      <c r="BU403" t="str">
        <f t="shared" si="175"/>
        <v/>
      </c>
    </row>
    <row r="404" spans="1:73">
      <c r="A404" s="1">
        <v>121789</v>
      </c>
      <c r="B404" t="str">
        <f>VLOOKUP($A404,[1]Table!$A$2:$N579,B$1,FALSE)</f>
        <v>H02AB02</v>
      </c>
      <c r="C404" t="str">
        <f>VLOOKUP($A404,[1]Table!$A$2:$N579,C$1,FALSE)</f>
        <v>CORTICOSTEROIDEN VOOR SYSTEMISCH GEBRUIK</v>
      </c>
      <c r="D404" t="str">
        <f>VLOOKUP($A404,[1]Table!$A$2:$N579,D$1,FALSE)</f>
        <v>CORTICOSTEROIDEN VOOR SYSTEMISCH GEBRUIK</v>
      </c>
      <c r="E404" t="str">
        <f>VLOOKUP($A404,[1]Table!$A$2:$N579,E$1,FALSE)</f>
        <v>DEXAMETHASON</v>
      </c>
      <c r="F404" t="str">
        <f>VLOOKUP($A404,[1]Table!$A$2:$N579,F$1,FALSE)</f>
        <v>DEXAMETHASON 4 MG TABLET</v>
      </c>
      <c r="G404" t="str">
        <f>VLOOKUP($A404,[1]Table!$A$2:$N579,G$1,FALSE)</f>
        <v>DEXAMETHASON 4MG TABLET</v>
      </c>
      <c r="H404" t="str">
        <f>VLOOKUP($A404,[1]Table!$A$2:$N579,H$1,FALSE)</f>
        <v>tablet</v>
      </c>
      <c r="I404" t="str">
        <f>VLOOKUP($A404,[1]Table!$A$2:$N579,I$1,FALSE)</f>
        <v>or</v>
      </c>
      <c r="J404">
        <f>VLOOKUP($A404,[1]Table!$A$2:$N579,J$1,FALSE)</f>
        <v>4</v>
      </c>
      <c r="K404" t="str">
        <f>VLOOKUP($A404,[1]Table!$A$2:$N579,K$1,FALSE)</f>
        <v>mg/stuk</v>
      </c>
      <c r="L404">
        <f>VLOOKUP($A404,[1]Table!$A$2:$N579,L$1,FALSE)</f>
        <v>2</v>
      </c>
      <c r="M404" t="str">
        <f>VLOOKUP($A404,[1]Table!$A$2:$N579,M$1,FALSE)</f>
        <v>mg</v>
      </c>
      <c r="N404" t="str">
        <f>VLOOKUP($A404,[1]Table!$A$2:$N579,N$1,FALSE)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4" t="str">
        <f>ConcatenateRange(AZ404:BU404,"||")</f>
        <v/>
      </c>
      <c r="AZ404" t="str">
        <f t="shared" si="154"/>
        <v/>
      </c>
      <c r="BA404" t="str">
        <f t="shared" si="155"/>
        <v/>
      </c>
      <c r="BB404" t="str">
        <f t="shared" si="156"/>
        <v/>
      </c>
      <c r="BC404" t="str">
        <f t="shared" si="157"/>
        <v/>
      </c>
      <c r="BD404" t="str">
        <f t="shared" si="158"/>
        <v/>
      </c>
      <c r="BE404" t="str">
        <f t="shared" si="159"/>
        <v/>
      </c>
      <c r="BF404" t="str">
        <f t="shared" si="160"/>
        <v/>
      </c>
      <c r="BG404" t="str">
        <f t="shared" si="161"/>
        <v/>
      </c>
      <c r="BH404" t="str">
        <f t="shared" si="162"/>
        <v/>
      </c>
      <c r="BI404" t="str">
        <f t="shared" si="163"/>
        <v/>
      </c>
      <c r="BJ404" t="str">
        <f t="shared" si="164"/>
        <v/>
      </c>
      <c r="BK404" t="str">
        <f t="shared" si="165"/>
        <v/>
      </c>
      <c r="BL404" t="str">
        <f t="shared" si="166"/>
        <v/>
      </c>
      <c r="BM404" t="str">
        <f t="shared" si="167"/>
        <v/>
      </c>
      <c r="BN404" t="str">
        <f t="shared" si="168"/>
        <v/>
      </c>
      <c r="BO404" t="str">
        <f t="shared" si="169"/>
        <v/>
      </c>
      <c r="BP404" t="str">
        <f t="shared" si="170"/>
        <v/>
      </c>
      <c r="BQ404" t="str">
        <f t="shared" si="171"/>
        <v/>
      </c>
      <c r="BR404" t="str">
        <f t="shared" si="172"/>
        <v/>
      </c>
      <c r="BS404" t="str">
        <f t="shared" si="173"/>
        <v/>
      </c>
      <c r="BT404" t="str">
        <f t="shared" si="174"/>
        <v/>
      </c>
      <c r="BU404" t="str">
        <f t="shared" si="175"/>
        <v/>
      </c>
    </row>
    <row r="405" spans="1:73">
      <c r="A405" s="1">
        <v>144916</v>
      </c>
      <c r="B405" t="str">
        <f>VLOOKUP($A405,[1]Table!$A$2:$N580,B$1,FALSE)</f>
        <v>H02AB02</v>
      </c>
      <c r="C405" t="str">
        <f>VLOOKUP($A405,[1]Table!$A$2:$N580,C$1,FALSE)</f>
        <v>CORTICOSTEROIDEN VOOR SYSTEMISCH GEBRUIK</v>
      </c>
      <c r="D405" t="str">
        <f>VLOOKUP($A405,[1]Table!$A$2:$N580,D$1,FALSE)</f>
        <v>CORTICOSTEROIDEN VOOR SYSTEMISCH GEBRUIK</v>
      </c>
      <c r="E405" t="str">
        <f>VLOOKUP($A405,[1]Table!$A$2:$N580,E$1,FALSE)</f>
        <v>DEXAMETHASON</v>
      </c>
      <c r="F405" t="str">
        <f>VLOOKUP($A405,[1]Table!$A$2:$N580,F$1,FALSE)</f>
        <v>DEXAMETHASON 40 MG TABLET</v>
      </c>
      <c r="G405" t="str">
        <f>VLOOKUP($A405,[1]Table!$A$2:$N580,G$1,FALSE)</f>
        <v>DEXAMETHASON 40MG TABLET</v>
      </c>
      <c r="H405" t="str">
        <f>VLOOKUP($A405,[1]Table!$A$2:$N580,H$1,FALSE)</f>
        <v>tablet</v>
      </c>
      <c r="I405" t="str">
        <f>VLOOKUP($A405,[1]Table!$A$2:$N580,I$1,FALSE)</f>
        <v>or</v>
      </c>
      <c r="J405">
        <f>VLOOKUP($A405,[1]Table!$A$2:$N580,J$1,FALSE)</f>
        <v>40</v>
      </c>
      <c r="K405" t="str">
        <f>VLOOKUP($A405,[1]Table!$A$2:$N580,K$1,FALSE)</f>
        <v>mg/stuk</v>
      </c>
      <c r="L405">
        <f>VLOOKUP($A405,[1]Table!$A$2:$N580,L$1,FALSE)</f>
        <v>40</v>
      </c>
      <c r="M405" t="str">
        <f>VLOOKUP($A405,[1]Table!$A$2:$N580,M$1,FALSE)</f>
        <v>mg</v>
      </c>
      <c r="N405" t="str">
        <f>VLOOKUP($A405,[1]Table!$A$2:$N580,N$1,FALSE)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5" t="str">
        <f>ConcatenateRange(AZ405:BU405,"||")</f>
        <v/>
      </c>
      <c r="AZ405" t="str">
        <f t="shared" si="154"/>
        <v/>
      </c>
      <c r="BA405" t="str">
        <f t="shared" si="155"/>
        <v/>
      </c>
      <c r="BB405" t="str">
        <f t="shared" si="156"/>
        <v/>
      </c>
      <c r="BC405" t="str">
        <f t="shared" si="157"/>
        <v/>
      </c>
      <c r="BD405" t="str">
        <f t="shared" si="158"/>
        <v/>
      </c>
      <c r="BE405" t="str">
        <f t="shared" si="159"/>
        <v/>
      </c>
      <c r="BF405" t="str">
        <f t="shared" si="160"/>
        <v/>
      </c>
      <c r="BG405" t="str">
        <f t="shared" si="161"/>
        <v/>
      </c>
      <c r="BH405" t="str">
        <f t="shared" si="162"/>
        <v/>
      </c>
      <c r="BI405" t="str">
        <f t="shared" si="163"/>
        <v/>
      </c>
      <c r="BJ405" t="str">
        <f t="shared" si="164"/>
        <v/>
      </c>
      <c r="BK405" t="str">
        <f t="shared" si="165"/>
        <v/>
      </c>
      <c r="BL405" t="str">
        <f t="shared" si="166"/>
        <v/>
      </c>
      <c r="BM405" t="str">
        <f t="shared" si="167"/>
        <v/>
      </c>
      <c r="BN405" t="str">
        <f t="shared" si="168"/>
        <v/>
      </c>
      <c r="BO405" t="str">
        <f t="shared" si="169"/>
        <v/>
      </c>
      <c r="BP405" t="str">
        <f t="shared" si="170"/>
        <v/>
      </c>
      <c r="BQ405" t="str">
        <f t="shared" si="171"/>
        <v/>
      </c>
      <c r="BR405" t="str">
        <f t="shared" si="172"/>
        <v/>
      </c>
      <c r="BS405" t="str">
        <f t="shared" si="173"/>
        <v/>
      </c>
      <c r="BT405" t="str">
        <f t="shared" si="174"/>
        <v/>
      </c>
      <c r="BU405" t="str">
        <f t="shared" si="175"/>
        <v/>
      </c>
    </row>
    <row r="406" spans="1:73">
      <c r="A406" s="1">
        <v>84271</v>
      </c>
      <c r="B406" t="str">
        <f>VLOOKUP($A406,[1]Table!$A$2:$N822,B$1,FALSE)</f>
        <v>S01CA01</v>
      </c>
      <c r="C406" t="str">
        <f>VLOOKUP($A406,[1]Table!$A$2:$N822,C$1,FALSE)</f>
        <v>MIDDELEN VOOR OOGHEELKUNDIG GEBRUIK</v>
      </c>
      <c r="D406" t="str">
        <f>VLOOKUP($A406,[1]Table!$A$2:$N822,D$1,FALSE)</f>
        <v>ANTI-INFLAMMATOIRE MIDDELEN MET ANTIMICROBIELE MIDDELEN</v>
      </c>
      <c r="E406" t="str">
        <f>VLOOKUP($A406,[1]Table!$A$2:$N822,E$1,FALSE)</f>
        <v>DEXAMETHASON/FRAMYCETINE/GRAMICIDINE/</v>
      </c>
      <c r="F406" t="str">
        <f>VLOOKUP($A406,[1]Table!$A$2:$N822,F$1,FALSE)</f>
        <v>SOFRADEX OOGDRUPPELS FL 8ML</v>
      </c>
      <c r="G406" t="str">
        <f>VLOOKUP($A406,[1]Table!$A$2:$N822,G$1,FALSE)</f>
        <v>DEXAM/FRAMYC/GRAMIC OOGDR</v>
      </c>
      <c r="H406" t="str">
        <f>VLOOKUP($A406,[1]Table!$A$2:$N822,H$1,FALSE)</f>
        <v>oogdruppels</v>
      </c>
      <c r="I406" t="str">
        <f>VLOOKUP($A406,[1]Table!$A$2:$N822,I$1,FALSE)</f>
        <v>oog</v>
      </c>
      <c r="J406">
        <f>VLOOKUP($A406,[1]Table!$A$2:$N822,J$1,FALSE)</f>
        <v>5</v>
      </c>
      <c r="K406" t="str">
        <f>VLOOKUP($A406,[1]Table!$A$2:$N822,K$1,FALSE)</f>
        <v>mg/ml</v>
      </c>
      <c r="L406">
        <f>VLOOKUP($A406,[1]Table!$A$2:$N822,L$1,FALSE)</f>
        <v>5</v>
      </c>
      <c r="M406" t="str">
        <f>VLOOKUP($A406,[1]Table!$A$2:$N822,M$1,FALSE)</f>
        <v>mg</v>
      </c>
      <c r="N406" t="str">
        <f>VLOOKUP($A406,[1]Table!$A$2:$N822,N$1,FALSE)</f>
        <v>Ooginfecties||Ooginfectie, gram negatieve bacteriën</v>
      </c>
      <c r="O406" t="str">
        <f>ConcatenateRange(AZ406:BU406,"||")</f>
        <v/>
      </c>
      <c r="AZ406" t="str">
        <f t="shared" si="154"/>
        <v/>
      </c>
      <c r="BA406" t="str">
        <f t="shared" si="155"/>
        <v/>
      </c>
      <c r="BB406" t="str">
        <f t="shared" si="156"/>
        <v/>
      </c>
      <c r="BC406" t="str">
        <f t="shared" si="157"/>
        <v/>
      </c>
      <c r="BD406" t="str">
        <f t="shared" si="158"/>
        <v/>
      </c>
      <c r="BE406" t="str">
        <f t="shared" si="159"/>
        <v/>
      </c>
      <c r="BF406" t="str">
        <f t="shared" si="160"/>
        <v/>
      </c>
      <c r="BG406" t="str">
        <f t="shared" si="161"/>
        <v/>
      </c>
      <c r="BH406" t="str">
        <f t="shared" si="162"/>
        <v/>
      </c>
      <c r="BI406" t="str">
        <f t="shared" si="163"/>
        <v/>
      </c>
      <c r="BJ406" t="str">
        <f t="shared" si="164"/>
        <v/>
      </c>
      <c r="BK406" t="str">
        <f t="shared" si="165"/>
        <v/>
      </c>
      <c r="BL406" t="str">
        <f t="shared" si="166"/>
        <v/>
      </c>
      <c r="BM406" t="str">
        <f t="shared" si="167"/>
        <v/>
      </c>
      <c r="BN406" t="str">
        <f t="shared" si="168"/>
        <v/>
      </c>
      <c r="BO406" t="str">
        <f t="shared" si="169"/>
        <v/>
      </c>
      <c r="BP406" t="str">
        <f t="shared" si="170"/>
        <v/>
      </c>
      <c r="BQ406" t="str">
        <f t="shared" si="171"/>
        <v/>
      </c>
      <c r="BR406" t="str">
        <f t="shared" si="172"/>
        <v/>
      </c>
      <c r="BS406" t="str">
        <f t="shared" si="173"/>
        <v/>
      </c>
      <c r="BT406" t="str">
        <f t="shared" si="174"/>
        <v/>
      </c>
      <c r="BU406" t="str">
        <f t="shared" si="175"/>
        <v/>
      </c>
    </row>
    <row r="407" spans="1:73">
      <c r="A407" s="1">
        <v>67040</v>
      </c>
      <c r="B407" t="str">
        <f>VLOOKUP($A407,[1]Table!$A$2:$N581,B$1,FALSE)</f>
        <v>S01CA01</v>
      </c>
      <c r="C407" t="str">
        <f>VLOOKUP($A407,[1]Table!$A$2:$N581,C$1,FALSE)</f>
        <v>MIDDELEN VOOR OOGHEELKUNDIG GEBRUIK</v>
      </c>
      <c r="D407" t="str">
        <f>VLOOKUP($A407,[1]Table!$A$2:$N581,D$1,FALSE)</f>
        <v>ANTI-INFLAMMATOIRE MIDDELEN MET ANTIMICROBIELE MIDDELEN</v>
      </c>
      <c r="E407" t="str">
        <f>VLOOKUP($A407,[1]Table!$A$2:$N581,E$1,FALSE)</f>
        <v>DEXAMETHASON/GENTAMICINE</v>
      </c>
      <c r="F407" t="str">
        <f>VLOOKUP($A407,[1]Table!$A$2:$N581,F$1,FALSE)</f>
        <v>DEXAMYTREX OOGDRUPPELS 5 ML</v>
      </c>
      <c r="G407" t="str">
        <f>VLOOKUP($A407,[1]Table!$A$2:$N581,G$1,FALSE)</f>
        <v>DEXAM/GENTAMICINE OOGDR</v>
      </c>
      <c r="H407" t="str">
        <f>VLOOKUP($A407,[1]Table!$A$2:$N581,H$1,FALSE)</f>
        <v>oogdruppels</v>
      </c>
      <c r="I407" t="str">
        <f>VLOOKUP($A407,[1]Table!$A$2:$N581,I$1,FALSE)</f>
        <v>oog</v>
      </c>
      <c r="J407">
        <f>VLOOKUP($A407,[1]Table!$A$2:$N581,J$1,FALSE)</f>
        <v>1</v>
      </c>
      <c r="K407" t="str">
        <f>VLOOKUP($A407,[1]Table!$A$2:$N581,K$1,FALSE)</f>
        <v>mg/ml</v>
      </c>
      <c r="L407">
        <f>VLOOKUP($A407,[1]Table!$A$2:$N581,L$1,FALSE)</f>
        <v>1</v>
      </c>
      <c r="M407" t="str">
        <f>VLOOKUP($A407,[1]Table!$A$2:$N581,M$1,FALSE)</f>
        <v>mg</v>
      </c>
      <c r="N407" t="str">
        <f>VLOOKUP($A407,[1]Table!$A$2:$N581,N$1,FALSE)</f>
        <v>Ooginfecties||Ooginfectie, gram negatieve bacteriën</v>
      </c>
      <c r="O407" t="str">
        <f>ConcatenateRange(AZ407:BU407,"||")</f>
        <v/>
      </c>
      <c r="AZ407" t="str">
        <f t="shared" si="154"/>
        <v/>
      </c>
      <c r="BA407" t="str">
        <f t="shared" si="155"/>
        <v/>
      </c>
      <c r="BB407" t="str">
        <f t="shared" si="156"/>
        <v/>
      </c>
      <c r="BC407" t="str">
        <f t="shared" si="157"/>
        <v/>
      </c>
      <c r="BD407" t="str">
        <f t="shared" si="158"/>
        <v/>
      </c>
      <c r="BE407" t="str">
        <f t="shared" si="159"/>
        <v/>
      </c>
      <c r="BF407" t="str">
        <f t="shared" si="160"/>
        <v/>
      </c>
      <c r="BG407" t="str">
        <f t="shared" si="161"/>
        <v/>
      </c>
      <c r="BH407" t="str">
        <f t="shared" si="162"/>
        <v/>
      </c>
      <c r="BI407" t="str">
        <f t="shared" si="163"/>
        <v/>
      </c>
      <c r="BJ407" t="str">
        <f t="shared" si="164"/>
        <v/>
      </c>
      <c r="BK407" t="str">
        <f t="shared" si="165"/>
        <v/>
      </c>
      <c r="BL407" t="str">
        <f t="shared" si="166"/>
        <v/>
      </c>
      <c r="BM407" t="str">
        <f t="shared" si="167"/>
        <v/>
      </c>
      <c r="BN407" t="str">
        <f t="shared" si="168"/>
        <v/>
      </c>
      <c r="BO407" t="str">
        <f t="shared" si="169"/>
        <v/>
      </c>
      <c r="BP407" t="str">
        <f t="shared" si="170"/>
        <v/>
      </c>
      <c r="BQ407" t="str">
        <f t="shared" si="171"/>
        <v/>
      </c>
      <c r="BR407" t="str">
        <f t="shared" si="172"/>
        <v/>
      </c>
      <c r="BS407" t="str">
        <f t="shared" si="173"/>
        <v/>
      </c>
      <c r="BT407" t="str">
        <f t="shared" si="174"/>
        <v/>
      </c>
      <c r="BU407" t="str">
        <f t="shared" si="175"/>
        <v/>
      </c>
    </row>
    <row r="408" spans="1:73">
      <c r="A408" s="1">
        <v>67059</v>
      </c>
      <c r="B408" t="str">
        <f>VLOOKUP($A408,[1]Table!$A$2:$N856,B$1,FALSE)</f>
        <v>S01CA01</v>
      </c>
      <c r="C408" t="str">
        <f>VLOOKUP($A408,[1]Table!$A$2:$N856,C$1,FALSE)</f>
        <v>MIDDELEN VOOR OOGHEELKUNDIG GEBRUIK</v>
      </c>
      <c r="D408" t="str">
        <f>VLOOKUP($A408,[1]Table!$A$2:$N856,D$1,FALSE)</f>
        <v>ANTI-INFLAMMATOIRE MIDDELEN MET ANTIMICROBIELE MIDDELEN</v>
      </c>
      <c r="E408" t="str">
        <f>VLOOKUP($A408,[1]Table!$A$2:$N856,E$1,FALSE)</f>
        <v>DEXAMETHASON/GENTAMICINE</v>
      </c>
      <c r="F408" t="str">
        <f>VLOOKUP($A408,[1]Table!$A$2:$N856,F$1,FALSE)</f>
        <v>DEXAMYTREX OOGZALF 3G</v>
      </c>
      <c r="G408" t="str">
        <f>VLOOKUP($A408,[1]Table!$A$2:$N856,G$1,FALSE)</f>
        <v>DEXAM/GENTAMICINE OOGZALF</v>
      </c>
      <c r="H408" t="str">
        <f>VLOOKUP($A408,[1]Table!$A$2:$N856,H$1,FALSE)</f>
        <v>oogzalf</v>
      </c>
      <c r="I408" t="str">
        <f>VLOOKUP($A408,[1]Table!$A$2:$N856,I$1,FALSE)</f>
        <v>oog</v>
      </c>
      <c r="J408">
        <f>VLOOKUP($A408,[1]Table!$A$2:$N856,J$1,FALSE)</f>
        <v>3</v>
      </c>
      <c r="K408" t="str">
        <f>VLOOKUP($A408,[1]Table!$A$2:$N856,K$1,FALSE)</f>
        <v>mg/gr</v>
      </c>
      <c r="L408">
        <f>VLOOKUP($A408,[1]Table!$A$2:$N856,L$1,FALSE)</f>
        <v>3</v>
      </c>
      <c r="M408" t="str">
        <f>VLOOKUP($A408,[1]Table!$A$2:$N856,M$1,FALSE)</f>
        <v>mg</v>
      </c>
      <c r="N408" t="str">
        <f>VLOOKUP($A408,[1]Table!$A$2:$N856,N$1,FALSE)</f>
        <v>Ooginfecties||Ooginfectie, gram negatieve bacteriën</v>
      </c>
      <c r="O408" t="str">
        <f>ConcatenateRange(AZ408:BU408,"||")</f>
        <v/>
      </c>
      <c r="AZ408" t="str">
        <f t="shared" si="154"/>
        <v/>
      </c>
      <c r="BA408" t="str">
        <f t="shared" si="155"/>
        <v/>
      </c>
      <c r="BB408" t="str">
        <f t="shared" si="156"/>
        <v/>
      </c>
      <c r="BC408" t="str">
        <f t="shared" si="157"/>
        <v/>
      </c>
      <c r="BD408" t="str">
        <f t="shared" si="158"/>
        <v/>
      </c>
      <c r="BE408" t="str">
        <f t="shared" si="159"/>
        <v/>
      </c>
      <c r="BF408" t="str">
        <f t="shared" si="160"/>
        <v/>
      </c>
      <c r="BG408" t="str">
        <f t="shared" si="161"/>
        <v/>
      </c>
      <c r="BH408" t="str">
        <f t="shared" si="162"/>
        <v/>
      </c>
      <c r="BI408" t="str">
        <f t="shared" si="163"/>
        <v/>
      </c>
      <c r="BJ408" t="str">
        <f t="shared" si="164"/>
        <v/>
      </c>
      <c r="BK408" t="str">
        <f t="shared" si="165"/>
        <v/>
      </c>
      <c r="BL408" t="str">
        <f t="shared" si="166"/>
        <v/>
      </c>
      <c r="BM408" t="str">
        <f t="shared" si="167"/>
        <v/>
      </c>
      <c r="BN408" t="str">
        <f t="shared" si="168"/>
        <v/>
      </c>
      <c r="BO408" t="str">
        <f t="shared" si="169"/>
        <v/>
      </c>
      <c r="BP408" t="str">
        <f t="shared" si="170"/>
        <v/>
      </c>
      <c r="BQ408" t="str">
        <f t="shared" si="171"/>
        <v/>
      </c>
      <c r="BR408" t="str">
        <f t="shared" si="172"/>
        <v/>
      </c>
      <c r="BS408" t="str">
        <f t="shared" si="173"/>
        <v/>
      </c>
      <c r="BT408" t="str">
        <f t="shared" si="174"/>
        <v/>
      </c>
      <c r="BU408" t="str">
        <f t="shared" si="175"/>
        <v/>
      </c>
    </row>
    <row r="409" spans="1:73">
      <c r="A409" s="1">
        <v>86614</v>
      </c>
      <c r="B409" t="str">
        <f>VLOOKUP($A409,[1]Table!$A$2:$N582,B$1,FALSE)</f>
        <v>S01CA01</v>
      </c>
      <c r="C409" t="str">
        <f>VLOOKUP($A409,[1]Table!$A$2:$N582,C$1,FALSE)</f>
        <v>MIDDELEN VOOR OOGHEELKUNDIG GEBRUIK</v>
      </c>
      <c r="D409" t="str">
        <f>VLOOKUP($A409,[1]Table!$A$2:$N582,D$1,FALSE)</f>
        <v>ANTI-INFLAMMATOIRE MIDDELEN MET ANTIMICROBIELE MIDDELEN</v>
      </c>
      <c r="E409" t="str">
        <f>VLOOKUP($A409,[1]Table!$A$2:$N582,E$1,FALSE)</f>
        <v>DEXAMETHASON/TOBRAMYCINE</v>
      </c>
      <c r="F409" t="str">
        <f>VLOOKUP($A409,[1]Table!$A$2:$N582,F$1,FALSE)</f>
        <v>TOBRADEX OOGDRUPPELS 5ML</v>
      </c>
      <c r="G409" t="str">
        <f>VLOOKUP($A409,[1]Table!$A$2:$N582,G$1,FALSE)</f>
        <v>DEXAM/TOBRAMYCINE OOGDRUPP</v>
      </c>
      <c r="H409" t="str">
        <f>VLOOKUP($A409,[1]Table!$A$2:$N582,H$1,FALSE)</f>
        <v>oogdruppels</v>
      </c>
      <c r="I409" t="str">
        <f>VLOOKUP($A409,[1]Table!$A$2:$N582,I$1,FALSE)</f>
        <v>oog</v>
      </c>
      <c r="J409">
        <f>VLOOKUP($A409,[1]Table!$A$2:$N582,J$1,FALSE)</f>
        <v>1</v>
      </c>
      <c r="K409" t="str">
        <f>VLOOKUP($A409,[1]Table!$A$2:$N582,K$1,FALSE)</f>
        <v>mg/ml</v>
      </c>
      <c r="L409">
        <f>VLOOKUP($A409,[1]Table!$A$2:$N582,L$1,FALSE)</f>
        <v>1</v>
      </c>
      <c r="M409" t="str">
        <f>VLOOKUP($A409,[1]Table!$A$2:$N582,M$1,FALSE)</f>
        <v>mg</v>
      </c>
      <c r="N409" t="str">
        <f>VLOOKUP($A409,[1]Table!$A$2:$N582,N$1,FALSE)</f>
        <v>Ooginfecties||Ooginfectie, gram negatieve bacteriën</v>
      </c>
      <c r="O409" t="str">
        <f>ConcatenateRange(AZ409:BU409,"||")</f>
        <v/>
      </c>
      <c r="AZ409" t="str">
        <f t="shared" si="154"/>
        <v/>
      </c>
      <c r="BA409" t="str">
        <f t="shared" si="155"/>
        <v/>
      </c>
      <c r="BB409" t="str">
        <f t="shared" si="156"/>
        <v/>
      </c>
      <c r="BC409" t="str">
        <f t="shared" si="157"/>
        <v/>
      </c>
      <c r="BD409" t="str">
        <f t="shared" si="158"/>
        <v/>
      </c>
      <c r="BE409" t="str">
        <f t="shared" si="159"/>
        <v/>
      </c>
      <c r="BF409" t="str">
        <f t="shared" si="160"/>
        <v/>
      </c>
      <c r="BG409" t="str">
        <f t="shared" si="161"/>
        <v/>
      </c>
      <c r="BH409" t="str">
        <f t="shared" si="162"/>
        <v/>
      </c>
      <c r="BI409" t="str">
        <f t="shared" si="163"/>
        <v/>
      </c>
      <c r="BJ409" t="str">
        <f t="shared" si="164"/>
        <v/>
      </c>
      <c r="BK409" t="str">
        <f t="shared" si="165"/>
        <v/>
      </c>
      <c r="BL409" t="str">
        <f t="shared" si="166"/>
        <v/>
      </c>
      <c r="BM409" t="str">
        <f t="shared" si="167"/>
        <v/>
      </c>
      <c r="BN409" t="str">
        <f t="shared" si="168"/>
        <v/>
      </c>
      <c r="BO409" t="str">
        <f t="shared" si="169"/>
        <v/>
      </c>
      <c r="BP409" t="str">
        <f t="shared" si="170"/>
        <v/>
      </c>
      <c r="BQ409" t="str">
        <f t="shared" si="171"/>
        <v/>
      </c>
      <c r="BR409" t="str">
        <f t="shared" si="172"/>
        <v/>
      </c>
      <c r="BS409" t="str">
        <f t="shared" si="173"/>
        <v/>
      </c>
      <c r="BT409" t="str">
        <f t="shared" si="174"/>
        <v/>
      </c>
      <c r="BU409" t="str">
        <f t="shared" si="175"/>
        <v/>
      </c>
    </row>
    <row r="410" spans="1:73">
      <c r="A410" s="1">
        <v>86622</v>
      </c>
      <c r="B410" t="str">
        <f>VLOOKUP($A410,[1]Table!$A$2:$N583,B$1,FALSE)</f>
        <v>S01CA01</v>
      </c>
      <c r="C410" t="str">
        <f>VLOOKUP($A410,[1]Table!$A$2:$N583,C$1,FALSE)</f>
        <v>MIDDELEN VOOR OOGHEELKUNDIG GEBRUIK</v>
      </c>
      <c r="D410" t="str">
        <f>VLOOKUP($A410,[1]Table!$A$2:$N583,D$1,FALSE)</f>
        <v>ANTI-INFLAMMATOIRE MIDDELEN MET ANTIMICROBIELE MIDDELEN</v>
      </c>
      <c r="E410" t="str">
        <f>VLOOKUP($A410,[1]Table!$A$2:$N583,E$1,FALSE)</f>
        <v>DEXAMETHASON/TOBRAMYCINE</v>
      </c>
      <c r="F410" t="str">
        <f>VLOOKUP($A410,[1]Table!$A$2:$N583,F$1,FALSE)</f>
        <v>TOBRADEX OOGZALF 3.5G</v>
      </c>
      <c r="G410" t="str">
        <f>VLOOKUP($A410,[1]Table!$A$2:$N583,G$1,FALSE)</f>
        <v>DEXAM/TOBRAMYCINE OOGZALF</v>
      </c>
      <c r="H410" t="str">
        <f>VLOOKUP($A410,[1]Table!$A$2:$N583,H$1,FALSE)</f>
        <v>oogzalf</v>
      </c>
      <c r="I410" t="str">
        <f>VLOOKUP($A410,[1]Table!$A$2:$N583,I$1,FALSE)</f>
        <v>oog</v>
      </c>
      <c r="J410">
        <f>VLOOKUP($A410,[1]Table!$A$2:$N583,J$1,FALSE)</f>
        <v>1</v>
      </c>
      <c r="K410" t="str">
        <f>VLOOKUP($A410,[1]Table!$A$2:$N583,K$1,FALSE)</f>
        <v>mg/gr</v>
      </c>
      <c r="L410">
        <f>VLOOKUP($A410,[1]Table!$A$2:$N583,L$1,FALSE)</f>
        <v>1</v>
      </c>
      <c r="M410" t="str">
        <f>VLOOKUP($A410,[1]Table!$A$2:$N583,M$1,FALSE)</f>
        <v>mg</v>
      </c>
      <c r="N410" t="str">
        <f>VLOOKUP($A410,[1]Table!$A$2:$N583,N$1,FALSE)</f>
        <v>Ooginfecties||Ooginfectie, gram negatieve bacteriën</v>
      </c>
      <c r="O410" t="str">
        <f>ConcatenateRange(AZ410:BU410,"||")</f>
        <v/>
      </c>
      <c r="AZ410" t="str">
        <f t="shared" si="154"/>
        <v/>
      </c>
      <c r="BA410" t="str">
        <f t="shared" si="155"/>
        <v/>
      </c>
      <c r="BB410" t="str">
        <f t="shared" si="156"/>
        <v/>
      </c>
      <c r="BC410" t="str">
        <f t="shared" si="157"/>
        <v/>
      </c>
      <c r="BD410" t="str">
        <f t="shared" si="158"/>
        <v/>
      </c>
      <c r="BE410" t="str">
        <f t="shared" si="159"/>
        <v/>
      </c>
      <c r="BF410" t="str">
        <f t="shared" si="160"/>
        <v/>
      </c>
      <c r="BG410" t="str">
        <f t="shared" si="161"/>
        <v/>
      </c>
      <c r="BH410" t="str">
        <f t="shared" si="162"/>
        <v/>
      </c>
      <c r="BI410" t="str">
        <f t="shared" si="163"/>
        <v/>
      </c>
      <c r="BJ410" t="str">
        <f t="shared" si="164"/>
        <v/>
      </c>
      <c r="BK410" t="str">
        <f t="shared" si="165"/>
        <v/>
      </c>
      <c r="BL410" t="str">
        <f t="shared" si="166"/>
        <v/>
      </c>
      <c r="BM410" t="str">
        <f t="shared" si="167"/>
        <v/>
      </c>
      <c r="BN410" t="str">
        <f t="shared" si="168"/>
        <v/>
      </c>
      <c r="BO410" t="str">
        <f t="shared" si="169"/>
        <v/>
      </c>
      <c r="BP410" t="str">
        <f t="shared" si="170"/>
        <v/>
      </c>
      <c r="BQ410" t="str">
        <f t="shared" si="171"/>
        <v/>
      </c>
      <c r="BR410" t="str">
        <f t="shared" si="172"/>
        <v/>
      </c>
      <c r="BS410" t="str">
        <f t="shared" si="173"/>
        <v/>
      </c>
      <c r="BT410" t="str">
        <f t="shared" si="174"/>
        <v/>
      </c>
      <c r="BU410" t="str">
        <f t="shared" si="175"/>
        <v/>
      </c>
    </row>
    <row r="411" spans="1:73">
      <c r="A411" s="1">
        <v>23175</v>
      </c>
      <c r="B411" t="str">
        <f>VLOOKUP($A411,[1]Table!$A$2:$N584,B$1,FALSE)</f>
        <v>N06BA02</v>
      </c>
      <c r="C411" t="str">
        <f>VLOOKUP($A411,[1]Table!$A$2:$N584,C$1,FALSE)</f>
        <v>PSYCHOANALEPTICA</v>
      </c>
      <c r="D411" t="str">
        <f>VLOOKUP($A411,[1]Table!$A$2:$N584,D$1,FALSE)</f>
        <v>PSYCHOSTIMULANTIA, MIDDELEN VOOR ADHD EN NOOTROPICA</v>
      </c>
      <c r="E411" t="str">
        <f>VLOOKUP($A411,[1]Table!$A$2:$N584,E$1,FALSE)</f>
        <v>DEXAMFETAMINE</v>
      </c>
      <c r="F411" t="str">
        <f>VLOOKUP($A411,[1]Table!$A$2:$N584,F$1,FALSE)</f>
        <v>AMFEXA 5 MG TABLET</v>
      </c>
      <c r="G411" t="str">
        <f>VLOOKUP($A411,[1]Table!$A$2:$N584,G$1,FALSE)</f>
        <v>DEXAMFETAMINE 5MG TABLET</v>
      </c>
      <c r="H411" t="str">
        <f>VLOOKUP($A411,[1]Table!$A$2:$N584,H$1,FALSE)</f>
        <v>tablet</v>
      </c>
      <c r="I411" t="str">
        <f>VLOOKUP($A411,[1]Table!$A$2:$N584,I$1,FALSE)</f>
        <v>or</v>
      </c>
      <c r="J411">
        <f>VLOOKUP($A411,[1]Table!$A$2:$N584,J$1,FALSE)</f>
        <v>5</v>
      </c>
      <c r="K411" t="str">
        <f>VLOOKUP($A411,[1]Table!$A$2:$N584,K$1,FALSE)</f>
        <v>mg/stuk</v>
      </c>
      <c r="L411">
        <f>VLOOKUP($A411,[1]Table!$A$2:$N584,L$1,FALSE)</f>
        <v>2.5</v>
      </c>
      <c r="M411" t="str">
        <f>VLOOKUP($A411,[1]Table!$A$2:$N584,M$1,FALSE)</f>
        <v>mg</v>
      </c>
      <c r="N411" t="str">
        <f>VLOOKUP($A411,[1]Table!$A$2:$N584,N$1,FALSE)</f>
        <v>Attention Deficit Hyperactivity Disorder (ADHD)</v>
      </c>
      <c r="O411" t="str">
        <f>ConcatenateRange(AZ411:BU411,"||")</f>
        <v/>
      </c>
      <c r="AZ411" t="str">
        <f t="shared" si="154"/>
        <v/>
      </c>
      <c r="BA411" t="str">
        <f t="shared" si="155"/>
        <v/>
      </c>
      <c r="BB411" t="str">
        <f t="shared" si="156"/>
        <v/>
      </c>
      <c r="BC411" t="str">
        <f t="shared" si="157"/>
        <v/>
      </c>
      <c r="BD411" t="str">
        <f t="shared" si="158"/>
        <v/>
      </c>
      <c r="BE411" t="str">
        <f t="shared" si="159"/>
        <v/>
      </c>
      <c r="BF411" t="str">
        <f t="shared" si="160"/>
        <v/>
      </c>
      <c r="BG411" t="str">
        <f t="shared" si="161"/>
        <v/>
      </c>
      <c r="BH411" t="str">
        <f t="shared" si="162"/>
        <v/>
      </c>
      <c r="BI411" t="str">
        <f t="shared" si="163"/>
        <v/>
      </c>
      <c r="BJ411" t="str">
        <f t="shared" si="164"/>
        <v/>
      </c>
      <c r="BK411" t="str">
        <f t="shared" si="165"/>
        <v/>
      </c>
      <c r="BL411" t="str">
        <f t="shared" si="166"/>
        <v/>
      </c>
      <c r="BM411" t="str">
        <f t="shared" si="167"/>
        <v/>
      </c>
      <c r="BN411" t="str">
        <f t="shared" si="168"/>
        <v/>
      </c>
      <c r="BO411" t="str">
        <f t="shared" si="169"/>
        <v/>
      </c>
      <c r="BP411" t="str">
        <f t="shared" si="170"/>
        <v/>
      </c>
      <c r="BQ411" t="str">
        <f t="shared" si="171"/>
        <v/>
      </c>
      <c r="BR411" t="str">
        <f t="shared" si="172"/>
        <v/>
      </c>
      <c r="BS411" t="str">
        <f t="shared" si="173"/>
        <v/>
      </c>
      <c r="BT411" t="str">
        <f t="shared" si="174"/>
        <v/>
      </c>
      <c r="BU411" t="str">
        <f t="shared" si="175"/>
        <v/>
      </c>
    </row>
    <row r="412" spans="1:73">
      <c r="A412" s="1">
        <v>97306</v>
      </c>
      <c r="B412" t="str">
        <f>VLOOKUP($A412,[1]Table!$A$2:$N585,B$1,FALSE)</f>
        <v>S01XA20</v>
      </c>
      <c r="C412" t="str">
        <f>VLOOKUP($A412,[1]Table!$A$2:$N585,C$1,FALSE)</f>
        <v>MIDDELEN VOOR OOGHEELKUNDIG GEBRUIK</v>
      </c>
      <c r="D412" t="str">
        <f>VLOOKUP($A412,[1]Table!$A$2:$N585,D$1,FALSE)</f>
        <v>OVERIGE MIDDELEN VOOR OOGHEELKUNDIG GEBRUIK</v>
      </c>
      <c r="E412" t="str">
        <f>VLOOKUP($A412,[1]Table!$A$2:$N585,E$1,FALSE)</f>
        <v>DEXTRAN 70/HYPROMELLOSE</v>
      </c>
      <c r="F412" t="str">
        <f>VLOOKUP($A412,[1]Table!$A$2:$N585,F$1,FALSE)</f>
        <v>DURATEARS OOGDRUPPELS 15ML</v>
      </c>
      <c r="G412" t="str">
        <f>VLOOKUP($A412,[1]Table!$A$2:$N585,G$1,FALSE)</f>
        <v>DEXTRAN70/HYPROMELLOSE OOGD</v>
      </c>
      <c r="H412" t="str">
        <f>VLOOKUP($A412,[1]Table!$A$2:$N585,H$1,FALSE)</f>
        <v>oogdruppels</v>
      </c>
      <c r="I412" t="str">
        <f>VLOOKUP($A412,[1]Table!$A$2:$N585,I$1,FALSE)</f>
        <v>oog</v>
      </c>
      <c r="J412">
        <f>VLOOKUP($A412,[1]Table!$A$2:$N585,J$1,FALSE)</f>
        <v>1</v>
      </c>
      <c r="K412" t="str">
        <f>VLOOKUP($A412,[1]Table!$A$2:$N585,K$1,FALSE)</f>
        <v>mg/ml</v>
      </c>
      <c r="L412">
        <f>VLOOKUP($A412,[1]Table!$A$2:$N585,L$1,FALSE)</f>
        <v>1</v>
      </c>
      <c r="M412" t="str">
        <f>VLOOKUP($A412,[1]Table!$A$2:$N585,M$1,FALSE)</f>
        <v>mg</v>
      </c>
      <c r="N412" t="str">
        <f>VLOOKUP($A412,[1]Table!$A$2:$N585,N$1,FALSE)</f>
        <v>Verminderde traansecretie/uitdroging</v>
      </c>
      <c r="O412" t="str">
        <f>ConcatenateRange(AZ412:BU412,"||")</f>
        <v/>
      </c>
      <c r="AZ412" t="str">
        <f t="shared" si="154"/>
        <v/>
      </c>
      <c r="BA412" t="str">
        <f t="shared" si="155"/>
        <v/>
      </c>
      <c r="BB412" t="str">
        <f t="shared" si="156"/>
        <v/>
      </c>
      <c r="BC412" t="str">
        <f t="shared" si="157"/>
        <v/>
      </c>
      <c r="BD412" t="str">
        <f t="shared" si="158"/>
        <v/>
      </c>
      <c r="BE412" t="str">
        <f t="shared" si="159"/>
        <v/>
      </c>
      <c r="BF412" t="str">
        <f t="shared" si="160"/>
        <v/>
      </c>
      <c r="BG412" t="str">
        <f t="shared" si="161"/>
        <v/>
      </c>
      <c r="BH412" t="str">
        <f t="shared" si="162"/>
        <v/>
      </c>
      <c r="BI412" t="str">
        <f t="shared" si="163"/>
        <v/>
      </c>
      <c r="BJ412" t="str">
        <f t="shared" si="164"/>
        <v/>
      </c>
      <c r="BK412" t="str">
        <f t="shared" si="165"/>
        <v/>
      </c>
      <c r="BL412" t="str">
        <f t="shared" si="166"/>
        <v/>
      </c>
      <c r="BM412" t="str">
        <f t="shared" si="167"/>
        <v/>
      </c>
      <c r="BN412" t="str">
        <f t="shared" si="168"/>
        <v/>
      </c>
      <c r="BO412" t="str">
        <f t="shared" si="169"/>
        <v/>
      </c>
      <c r="BP412" t="str">
        <f t="shared" si="170"/>
        <v/>
      </c>
      <c r="BQ412" t="str">
        <f t="shared" si="171"/>
        <v/>
      </c>
      <c r="BR412" t="str">
        <f t="shared" si="172"/>
        <v/>
      </c>
      <c r="BS412" t="str">
        <f t="shared" si="173"/>
        <v/>
      </c>
      <c r="BT412" t="str">
        <f t="shared" si="174"/>
        <v/>
      </c>
      <c r="BU412" t="str">
        <f t="shared" si="175"/>
        <v/>
      </c>
    </row>
    <row r="413" spans="1:73">
      <c r="A413" s="1">
        <v>110418</v>
      </c>
      <c r="B413" t="str">
        <f>VLOOKUP($A413,[1]Table!$A$2:$N586,B$1,FALSE)</f>
        <v>R05DA09</v>
      </c>
      <c r="C413" t="str">
        <f>VLOOKUP($A413,[1]Table!$A$2:$N586,C$1,FALSE)</f>
        <v>HOEST- EN VERKOUDHEIDSMIDDELEN</v>
      </c>
      <c r="D413" t="str">
        <f>VLOOKUP($A413,[1]Table!$A$2:$N586,D$1,FALSE)</f>
        <v>HOESTPRIKKELDEMP.MIDD., EXCL COMB.PREP. MET EXPECTORANTIA</v>
      </c>
      <c r="E413" t="str">
        <f>VLOOKUP($A413,[1]Table!$A$2:$N586,E$1,FALSE)</f>
        <v>DEXTROMETHORFAN</v>
      </c>
      <c r="F413" t="str">
        <f>VLOOKUP($A413,[1]Table!$A$2:$N586,F$1,FALSE)</f>
        <v>DEXTROMETHORFAN 1,5 MG/ML DRANK</v>
      </c>
      <c r="G413" t="str">
        <f>VLOOKUP($A413,[1]Table!$A$2:$N586,G$1,FALSE)</f>
        <v>DEXTROMETHORFAN 1,5MG/ML DR</v>
      </c>
      <c r="H413" t="str">
        <f>VLOOKUP($A413,[1]Table!$A$2:$N586,H$1,FALSE)</f>
        <v>drank</v>
      </c>
      <c r="I413" t="str">
        <f>VLOOKUP($A413,[1]Table!$A$2:$N586,I$1,FALSE)</f>
        <v>or</v>
      </c>
      <c r="J413">
        <f>VLOOKUP($A413,[1]Table!$A$2:$N586,J$1,FALSE)</f>
        <v>1.5</v>
      </c>
      <c r="K413" t="str">
        <f>VLOOKUP($A413,[1]Table!$A$2:$N586,K$1,FALSE)</f>
        <v>mg/ml</v>
      </c>
      <c r="L413">
        <f>VLOOKUP($A413,[1]Table!$A$2:$N586,L$1,FALSE)</f>
        <v>1.5</v>
      </c>
      <c r="M413" t="str">
        <f>VLOOKUP($A413,[1]Table!$A$2:$N586,M$1,FALSE)</f>
        <v>mg</v>
      </c>
      <c r="N413" t="str">
        <f>VLOOKUP($A413,[1]Table!$A$2:$N586,N$1,FALSE)</f>
        <v>Hoest</v>
      </c>
      <c r="O413" t="str">
        <f>ConcatenateRange(AZ413:BU413,"||")</f>
        <v/>
      </c>
      <c r="AZ413" t="str">
        <f t="shared" si="154"/>
        <v/>
      </c>
      <c r="BA413" t="str">
        <f t="shared" si="155"/>
        <v/>
      </c>
      <c r="BB413" t="str">
        <f t="shared" si="156"/>
        <v/>
      </c>
      <c r="BC413" t="str">
        <f t="shared" si="157"/>
        <v/>
      </c>
      <c r="BD413" t="str">
        <f t="shared" si="158"/>
        <v/>
      </c>
      <c r="BE413" t="str">
        <f t="shared" si="159"/>
        <v/>
      </c>
      <c r="BF413" t="str">
        <f t="shared" si="160"/>
        <v/>
      </c>
      <c r="BG413" t="str">
        <f t="shared" si="161"/>
        <v/>
      </c>
      <c r="BH413" t="str">
        <f t="shared" si="162"/>
        <v/>
      </c>
      <c r="BI413" t="str">
        <f t="shared" si="163"/>
        <v/>
      </c>
      <c r="BJ413" t="str">
        <f t="shared" si="164"/>
        <v/>
      </c>
      <c r="BK413" t="str">
        <f t="shared" si="165"/>
        <v/>
      </c>
      <c r="BL413" t="str">
        <f t="shared" si="166"/>
        <v/>
      </c>
      <c r="BM413" t="str">
        <f t="shared" si="167"/>
        <v/>
      </c>
      <c r="BN413" t="str">
        <f t="shared" si="168"/>
        <v/>
      </c>
      <c r="BO413" t="str">
        <f t="shared" si="169"/>
        <v/>
      </c>
      <c r="BP413" t="str">
        <f t="shared" si="170"/>
        <v/>
      </c>
      <c r="BQ413" t="str">
        <f t="shared" si="171"/>
        <v/>
      </c>
      <c r="BR413" t="str">
        <f t="shared" si="172"/>
        <v/>
      </c>
      <c r="BS413" t="str">
        <f t="shared" si="173"/>
        <v/>
      </c>
      <c r="BT413" t="str">
        <f t="shared" si="174"/>
        <v/>
      </c>
      <c r="BU413" t="str">
        <f t="shared" si="175"/>
        <v/>
      </c>
    </row>
    <row r="414" spans="1:73">
      <c r="A414" s="1">
        <v>1961</v>
      </c>
      <c r="B414" t="str">
        <f>VLOOKUP($A414,[1]Table!$A$2:$N588,B$1,FALSE)</f>
        <v>N05BA01</v>
      </c>
      <c r="C414" t="str">
        <f>VLOOKUP($A414,[1]Table!$A$2:$N588,C$1,FALSE)</f>
        <v>PSYCHOLEPTICA</v>
      </c>
      <c r="D414" t="str">
        <f>VLOOKUP($A414,[1]Table!$A$2:$N588,D$1,FALSE)</f>
        <v>ANXIOLYTICA</v>
      </c>
      <c r="E414" t="str">
        <f>VLOOKUP($A414,[1]Table!$A$2:$N588,E$1,FALSE)</f>
        <v>DIAZEPAM</v>
      </c>
      <c r="F414" t="str">
        <f>VLOOKUP($A414,[1]Table!$A$2:$N588,F$1,FALSE)</f>
        <v>DIAZEPAM 5 MG/ML AMPUL 2 ML</v>
      </c>
      <c r="G414" t="str">
        <f>VLOOKUP($A414,[1]Table!$A$2:$N588,G$1,FALSE)</f>
        <v>DIAZEPAM 5MG/ML INJVLST</v>
      </c>
      <c r="H414" t="str">
        <f>VLOOKUP($A414,[1]Table!$A$2:$N588,H$1,FALSE)</f>
        <v>injectievloeistof</v>
      </c>
      <c r="I414" t="str">
        <f>VLOOKUP($A414,[1]Table!$A$2:$N588,I$1,FALSE)</f>
        <v>im||iv</v>
      </c>
      <c r="J414">
        <f>VLOOKUP($A414,[1]Table!$A$2:$N588,J$1,FALSE)</f>
        <v>5</v>
      </c>
      <c r="K414" t="str">
        <f>VLOOKUP($A414,[1]Table!$A$2:$N588,K$1,FALSE)</f>
        <v>mg/ml</v>
      </c>
      <c r="L414">
        <f>VLOOKUP($A414,[1]Table!$A$2:$N588,L$1,FALSE)</f>
        <v>5</v>
      </c>
      <c r="M414" t="str">
        <f>VLOOKUP($A414,[1]Table!$A$2:$N588,M$1,FALSE)</f>
        <v>mg</v>
      </c>
      <c r="N414" t="str">
        <f>VLOOKUP($A414,[1]Table!$A$2:$N588,N$1,FALSE)</f>
        <v>Status epilepticus||Koortsconvulsies||Verslapping van skeletspieren||Acute angsten (kort gebruik)</v>
      </c>
      <c r="O414" t="str">
        <f>ConcatenateRange(AZ414:BU414,"||")</f>
        <v/>
      </c>
      <c r="AZ414" t="str">
        <f t="shared" si="154"/>
        <v/>
      </c>
      <c r="BA414" t="str">
        <f t="shared" si="155"/>
        <v/>
      </c>
      <c r="BB414" t="str">
        <f t="shared" si="156"/>
        <v/>
      </c>
      <c r="BC414" t="str">
        <f t="shared" si="157"/>
        <v/>
      </c>
      <c r="BD414" t="str">
        <f t="shared" si="158"/>
        <v/>
      </c>
      <c r="BE414" t="str">
        <f t="shared" si="159"/>
        <v/>
      </c>
      <c r="BF414" t="str">
        <f t="shared" si="160"/>
        <v/>
      </c>
      <c r="BG414" t="str">
        <f t="shared" si="161"/>
        <v/>
      </c>
      <c r="BH414" t="str">
        <f t="shared" si="162"/>
        <v/>
      </c>
      <c r="BI414" t="str">
        <f t="shared" si="163"/>
        <v/>
      </c>
      <c r="BJ414" t="str">
        <f t="shared" si="164"/>
        <v/>
      </c>
      <c r="BK414" t="str">
        <f t="shared" si="165"/>
        <v/>
      </c>
      <c r="BL414" t="str">
        <f t="shared" si="166"/>
        <v/>
      </c>
      <c r="BM414" t="str">
        <f t="shared" si="167"/>
        <v/>
      </c>
      <c r="BN414" t="str">
        <f t="shared" si="168"/>
        <v/>
      </c>
      <c r="BO414" t="str">
        <f t="shared" si="169"/>
        <v/>
      </c>
      <c r="BP414" t="str">
        <f t="shared" si="170"/>
        <v/>
      </c>
      <c r="BQ414" t="str">
        <f t="shared" si="171"/>
        <v/>
      </c>
      <c r="BR414" t="str">
        <f t="shared" si="172"/>
        <v/>
      </c>
      <c r="BS414" t="str">
        <f t="shared" si="173"/>
        <v/>
      </c>
      <c r="BT414" t="str">
        <f t="shared" si="174"/>
        <v/>
      </c>
      <c r="BU414" t="str">
        <f t="shared" si="175"/>
        <v/>
      </c>
    </row>
    <row r="415" spans="1:73">
      <c r="A415" s="1">
        <v>20591</v>
      </c>
      <c r="B415" t="str">
        <f>VLOOKUP($A415,[1]Table!$A$2:$N589,B$1,FALSE)</f>
        <v>N05BA01</v>
      </c>
      <c r="C415" t="str">
        <f>VLOOKUP($A415,[1]Table!$A$2:$N589,C$1,FALSE)</f>
        <v>PSYCHOLEPTICA</v>
      </c>
      <c r="D415" t="str">
        <f>VLOOKUP($A415,[1]Table!$A$2:$N589,D$1,FALSE)</f>
        <v>ANXIOLYTICA</v>
      </c>
      <c r="E415" t="str">
        <f>VLOOKUP($A415,[1]Table!$A$2:$N589,E$1,FALSE)</f>
        <v>DIAZEPAM</v>
      </c>
      <c r="F415" t="str">
        <f>VLOOKUP($A415,[1]Table!$A$2:$N589,F$1,FALSE)</f>
        <v>DIAZEPAM 5 MG REKTIOLE</v>
      </c>
      <c r="G415" t="str">
        <f>VLOOKUP($A415,[1]Table!$A$2:$N589,G$1,FALSE)</f>
        <v>DIAZEPAM 2MG/ML KLYSMA</v>
      </c>
      <c r="H415" t="str">
        <f>VLOOKUP($A415,[1]Table!$A$2:$N589,H$1,FALSE)</f>
        <v>klysma</v>
      </c>
      <c r="I415" t="str">
        <f>VLOOKUP($A415,[1]Table!$A$2:$N589,I$1,FALSE)</f>
        <v>rect</v>
      </c>
      <c r="J415">
        <f>VLOOKUP($A415,[1]Table!$A$2:$N589,J$1,FALSE)</f>
        <v>2</v>
      </c>
      <c r="K415" t="str">
        <f>VLOOKUP($A415,[1]Table!$A$2:$N589,K$1,FALSE)</f>
        <v>mg/ml</v>
      </c>
      <c r="L415">
        <f>VLOOKUP($A415,[1]Table!$A$2:$N589,L$1,FALSE)</f>
        <v>2</v>
      </c>
      <c r="M415" t="str">
        <f>VLOOKUP($A415,[1]Table!$A$2:$N589,M$1,FALSE)</f>
        <v>mg</v>
      </c>
      <c r="N415" t="str">
        <f>VLOOKUP($A415,[1]Table!$A$2:$N589,N$1,FALSE)</f>
        <v>Status epilepticus||Koortsconvulsies||Verslapping van skeletspieren||Acute angsten (kort gebruik)</v>
      </c>
      <c r="O415" t="str">
        <f>ConcatenateRange(AZ415:BU415,"||")</f>
        <v/>
      </c>
      <c r="AZ415" t="str">
        <f t="shared" si="154"/>
        <v/>
      </c>
      <c r="BA415" t="str">
        <f t="shared" si="155"/>
        <v/>
      </c>
      <c r="BB415" t="str">
        <f t="shared" si="156"/>
        <v/>
      </c>
      <c r="BC415" t="str">
        <f t="shared" si="157"/>
        <v/>
      </c>
      <c r="BD415" t="str">
        <f t="shared" si="158"/>
        <v/>
      </c>
      <c r="BE415" t="str">
        <f t="shared" si="159"/>
        <v/>
      </c>
      <c r="BF415" t="str">
        <f t="shared" si="160"/>
        <v/>
      </c>
      <c r="BG415" t="str">
        <f t="shared" si="161"/>
        <v/>
      </c>
      <c r="BH415" t="str">
        <f t="shared" si="162"/>
        <v/>
      </c>
      <c r="BI415" t="str">
        <f t="shared" si="163"/>
        <v/>
      </c>
      <c r="BJ415" t="str">
        <f t="shared" si="164"/>
        <v/>
      </c>
      <c r="BK415" t="str">
        <f t="shared" si="165"/>
        <v/>
      </c>
      <c r="BL415" t="str">
        <f t="shared" si="166"/>
        <v/>
      </c>
      <c r="BM415" t="str">
        <f t="shared" si="167"/>
        <v/>
      </c>
      <c r="BN415" t="str">
        <f t="shared" si="168"/>
        <v/>
      </c>
      <c r="BO415" t="str">
        <f t="shared" si="169"/>
        <v/>
      </c>
      <c r="BP415" t="str">
        <f t="shared" si="170"/>
        <v/>
      </c>
      <c r="BQ415" t="str">
        <f t="shared" si="171"/>
        <v/>
      </c>
      <c r="BR415" t="str">
        <f t="shared" si="172"/>
        <v/>
      </c>
      <c r="BS415" t="str">
        <f t="shared" si="173"/>
        <v/>
      </c>
      <c r="BT415" t="str">
        <f t="shared" si="174"/>
        <v/>
      </c>
      <c r="BU415" t="str">
        <f t="shared" si="175"/>
        <v/>
      </c>
    </row>
    <row r="416" spans="1:73">
      <c r="A416" s="1">
        <v>20605</v>
      </c>
      <c r="B416" t="str">
        <f>VLOOKUP($A416,[1]Table!$A$2:$N590,B$1,FALSE)</f>
        <v>N05BA01</v>
      </c>
      <c r="C416" t="str">
        <f>VLOOKUP($A416,[1]Table!$A$2:$N590,C$1,FALSE)</f>
        <v>PSYCHOLEPTICA</v>
      </c>
      <c r="D416" t="str">
        <f>VLOOKUP($A416,[1]Table!$A$2:$N590,D$1,FALSE)</f>
        <v>ANXIOLYTICA</v>
      </c>
      <c r="E416" t="str">
        <f>VLOOKUP($A416,[1]Table!$A$2:$N590,E$1,FALSE)</f>
        <v>DIAZEPAM</v>
      </c>
      <c r="F416" t="str">
        <f>VLOOKUP($A416,[1]Table!$A$2:$N590,F$1,FALSE)</f>
        <v>DIAZEPAM 10 MG REKTIOLE</v>
      </c>
      <c r="G416" t="str">
        <f>VLOOKUP($A416,[1]Table!$A$2:$N590,G$1,FALSE)</f>
        <v>DIAZEPAM 4MG/ML KLYSMA</v>
      </c>
      <c r="H416" t="str">
        <f>VLOOKUP($A416,[1]Table!$A$2:$N590,H$1,FALSE)</f>
        <v>klysma</v>
      </c>
      <c r="I416" t="str">
        <f>VLOOKUP($A416,[1]Table!$A$2:$N590,I$1,FALSE)</f>
        <v>rect</v>
      </c>
      <c r="J416">
        <f>VLOOKUP($A416,[1]Table!$A$2:$N590,J$1,FALSE)</f>
        <v>4</v>
      </c>
      <c r="K416" t="str">
        <f>VLOOKUP($A416,[1]Table!$A$2:$N590,K$1,FALSE)</f>
        <v>mg/ml</v>
      </c>
      <c r="L416">
        <f>VLOOKUP($A416,[1]Table!$A$2:$N590,L$1,FALSE)</f>
        <v>4</v>
      </c>
      <c r="M416" t="str">
        <f>VLOOKUP($A416,[1]Table!$A$2:$N590,M$1,FALSE)</f>
        <v>mg</v>
      </c>
      <c r="N416" t="str">
        <f>VLOOKUP($A416,[1]Table!$A$2:$N590,N$1,FALSE)</f>
        <v>Status epilepticus||Koortsconvulsies||Verslapping van skeletspieren||Acute angsten (kort gebruik)</v>
      </c>
      <c r="O416" t="str">
        <f>ConcatenateRange(AZ416:BU416,"||")</f>
        <v/>
      </c>
      <c r="AZ416" t="str">
        <f t="shared" si="154"/>
        <v/>
      </c>
      <c r="BA416" t="str">
        <f t="shared" si="155"/>
        <v/>
      </c>
      <c r="BB416" t="str">
        <f t="shared" si="156"/>
        <v/>
      </c>
      <c r="BC416" t="str">
        <f t="shared" si="157"/>
        <v/>
      </c>
      <c r="BD416" t="str">
        <f t="shared" si="158"/>
        <v/>
      </c>
      <c r="BE416" t="str">
        <f t="shared" si="159"/>
        <v/>
      </c>
      <c r="BF416" t="str">
        <f t="shared" si="160"/>
        <v/>
      </c>
      <c r="BG416" t="str">
        <f t="shared" si="161"/>
        <v/>
      </c>
      <c r="BH416" t="str">
        <f t="shared" si="162"/>
        <v/>
      </c>
      <c r="BI416" t="str">
        <f t="shared" si="163"/>
        <v/>
      </c>
      <c r="BJ416" t="str">
        <f t="shared" si="164"/>
        <v/>
      </c>
      <c r="BK416" t="str">
        <f t="shared" si="165"/>
        <v/>
      </c>
      <c r="BL416" t="str">
        <f t="shared" si="166"/>
        <v/>
      </c>
      <c r="BM416" t="str">
        <f t="shared" si="167"/>
        <v/>
      </c>
      <c r="BN416" t="str">
        <f t="shared" si="168"/>
        <v/>
      </c>
      <c r="BO416" t="str">
        <f t="shared" si="169"/>
        <v/>
      </c>
      <c r="BP416" t="str">
        <f t="shared" si="170"/>
        <v/>
      </c>
      <c r="BQ416" t="str">
        <f t="shared" si="171"/>
        <v/>
      </c>
      <c r="BR416" t="str">
        <f t="shared" si="172"/>
        <v/>
      </c>
      <c r="BS416" t="str">
        <f t="shared" si="173"/>
        <v/>
      </c>
      <c r="BT416" t="str">
        <f t="shared" si="174"/>
        <v/>
      </c>
      <c r="BU416" t="str">
        <f t="shared" si="175"/>
        <v/>
      </c>
    </row>
    <row r="417" spans="1:73">
      <c r="A417" s="1">
        <v>20656</v>
      </c>
      <c r="B417" t="str">
        <f>VLOOKUP($A417,[1]Table!$A$2:$N591,B$1,FALSE)</f>
        <v>N05BA01</v>
      </c>
      <c r="C417" t="str">
        <f>VLOOKUP($A417,[1]Table!$A$2:$N591,C$1,FALSE)</f>
        <v>PSYCHOLEPTICA</v>
      </c>
      <c r="D417" t="str">
        <f>VLOOKUP($A417,[1]Table!$A$2:$N591,D$1,FALSE)</f>
        <v>ANXIOLYTICA</v>
      </c>
      <c r="E417" t="str">
        <f>VLOOKUP($A417,[1]Table!$A$2:$N591,E$1,FALSE)</f>
        <v>DIAZEPAM</v>
      </c>
      <c r="F417" t="str">
        <f>VLOOKUP($A417,[1]Table!$A$2:$N591,F$1,FALSE)</f>
        <v>DIAZEPAM 2 MG TABLET</v>
      </c>
      <c r="G417" t="str">
        <f>VLOOKUP($A417,[1]Table!$A$2:$N591,G$1,FALSE)</f>
        <v>DIAZEPAM 2MG TABLET</v>
      </c>
      <c r="H417" t="str">
        <f>VLOOKUP($A417,[1]Table!$A$2:$N591,H$1,FALSE)</f>
        <v>tablet</v>
      </c>
      <c r="I417" t="str">
        <f>VLOOKUP($A417,[1]Table!$A$2:$N591,I$1,FALSE)</f>
        <v>or</v>
      </c>
      <c r="J417">
        <f>VLOOKUP($A417,[1]Table!$A$2:$N591,J$1,FALSE)</f>
        <v>2</v>
      </c>
      <c r="K417" t="str">
        <f>VLOOKUP($A417,[1]Table!$A$2:$N591,K$1,FALSE)</f>
        <v>mg/stuk</v>
      </c>
      <c r="L417">
        <f>VLOOKUP($A417,[1]Table!$A$2:$N591,L$1,FALSE)</f>
        <v>2</v>
      </c>
      <c r="M417" t="str">
        <f>VLOOKUP($A417,[1]Table!$A$2:$N591,M$1,FALSE)</f>
        <v>mg</v>
      </c>
      <c r="N417" t="str">
        <f>VLOOKUP($A417,[1]Table!$A$2:$N591,N$1,FALSE)</f>
        <v>Status epilepticus||Koortsconvulsies||Verslapping van skeletspieren||Acute angsten (kort gebruik)</v>
      </c>
      <c r="O417" t="str">
        <f>ConcatenateRange(AZ417:BU417,"||")</f>
        <v/>
      </c>
      <c r="AZ417" t="str">
        <f t="shared" si="154"/>
        <v/>
      </c>
      <c r="BA417" t="str">
        <f t="shared" si="155"/>
        <v/>
      </c>
      <c r="BB417" t="str">
        <f t="shared" si="156"/>
        <v/>
      </c>
      <c r="BC417" t="str">
        <f t="shared" si="157"/>
        <v/>
      </c>
      <c r="BD417" t="str">
        <f t="shared" si="158"/>
        <v/>
      </c>
      <c r="BE417" t="str">
        <f t="shared" si="159"/>
        <v/>
      </c>
      <c r="BF417" t="str">
        <f t="shared" si="160"/>
        <v/>
      </c>
      <c r="BG417" t="str">
        <f t="shared" si="161"/>
        <v/>
      </c>
      <c r="BH417" t="str">
        <f t="shared" si="162"/>
        <v/>
      </c>
      <c r="BI417" t="str">
        <f t="shared" si="163"/>
        <v/>
      </c>
      <c r="BJ417" t="str">
        <f t="shared" si="164"/>
        <v/>
      </c>
      <c r="BK417" t="str">
        <f t="shared" si="165"/>
        <v/>
      </c>
      <c r="BL417" t="str">
        <f t="shared" si="166"/>
        <v/>
      </c>
      <c r="BM417" t="str">
        <f t="shared" si="167"/>
        <v/>
      </c>
      <c r="BN417" t="str">
        <f t="shared" si="168"/>
        <v/>
      </c>
      <c r="BO417" t="str">
        <f t="shared" si="169"/>
        <v/>
      </c>
      <c r="BP417" t="str">
        <f t="shared" si="170"/>
        <v/>
      </c>
      <c r="BQ417" t="str">
        <f t="shared" si="171"/>
        <v/>
      </c>
      <c r="BR417" t="str">
        <f t="shared" si="172"/>
        <v/>
      </c>
      <c r="BS417" t="str">
        <f t="shared" si="173"/>
        <v/>
      </c>
      <c r="BT417" t="str">
        <f t="shared" si="174"/>
        <v/>
      </c>
      <c r="BU417" t="str">
        <f t="shared" si="175"/>
        <v/>
      </c>
    </row>
    <row r="418" spans="1:73">
      <c r="A418" s="1">
        <v>20664</v>
      </c>
      <c r="B418" t="str">
        <f>VLOOKUP($A418,[1]Table!$A$2:$N592,B$1,FALSE)</f>
        <v>N05BA01</v>
      </c>
      <c r="C418" t="str">
        <f>VLOOKUP($A418,[1]Table!$A$2:$N592,C$1,FALSE)</f>
        <v>PSYCHOLEPTICA</v>
      </c>
      <c r="D418" t="str">
        <f>VLOOKUP($A418,[1]Table!$A$2:$N592,D$1,FALSE)</f>
        <v>ANXIOLYTICA</v>
      </c>
      <c r="E418" t="str">
        <f>VLOOKUP($A418,[1]Table!$A$2:$N592,E$1,FALSE)</f>
        <v>DIAZEPAM</v>
      </c>
      <c r="F418" t="str">
        <f>VLOOKUP($A418,[1]Table!$A$2:$N592,F$1,FALSE)</f>
        <v>DIAZEPAM 5 MG TABLET</v>
      </c>
      <c r="G418" t="str">
        <f>VLOOKUP($A418,[1]Table!$A$2:$N592,G$1,FALSE)</f>
        <v>DIAZEPAM 5MG TABLET</v>
      </c>
      <c r="H418" t="str">
        <f>VLOOKUP($A418,[1]Table!$A$2:$N592,H$1,FALSE)</f>
        <v>tablet</v>
      </c>
      <c r="I418" t="str">
        <f>VLOOKUP($A418,[1]Table!$A$2:$N592,I$1,FALSE)</f>
        <v>or</v>
      </c>
      <c r="J418">
        <f>VLOOKUP($A418,[1]Table!$A$2:$N592,J$1,FALSE)</f>
        <v>5</v>
      </c>
      <c r="K418" t="str">
        <f>VLOOKUP($A418,[1]Table!$A$2:$N592,K$1,FALSE)</f>
        <v>mg/stuk</v>
      </c>
      <c r="L418">
        <f>VLOOKUP($A418,[1]Table!$A$2:$N592,L$1,FALSE)</f>
        <v>2.5</v>
      </c>
      <c r="M418" t="str">
        <f>VLOOKUP($A418,[1]Table!$A$2:$N592,M$1,FALSE)</f>
        <v>mg</v>
      </c>
      <c r="N418" t="str">
        <f>VLOOKUP($A418,[1]Table!$A$2:$N592,N$1,FALSE)</f>
        <v>Status epilepticus||Koortsconvulsies||Verslapping van skeletspieren||Acute angsten (kort gebruik)</v>
      </c>
      <c r="O418" t="str">
        <f>ConcatenateRange(AZ418:BU418,"||")</f>
        <v/>
      </c>
      <c r="AZ418" t="str">
        <f t="shared" si="154"/>
        <v/>
      </c>
      <c r="BA418" t="str">
        <f t="shared" si="155"/>
        <v/>
      </c>
      <c r="BB418" t="str">
        <f t="shared" si="156"/>
        <v/>
      </c>
      <c r="BC418" t="str">
        <f t="shared" si="157"/>
        <v/>
      </c>
      <c r="BD418" t="str">
        <f t="shared" si="158"/>
        <v/>
      </c>
      <c r="BE418" t="str">
        <f t="shared" si="159"/>
        <v/>
      </c>
      <c r="BF418" t="str">
        <f t="shared" si="160"/>
        <v/>
      </c>
      <c r="BG418" t="str">
        <f t="shared" si="161"/>
        <v/>
      </c>
      <c r="BH418" t="str">
        <f t="shared" si="162"/>
        <v/>
      </c>
      <c r="BI418" t="str">
        <f t="shared" si="163"/>
        <v/>
      </c>
      <c r="BJ418" t="str">
        <f t="shared" si="164"/>
        <v/>
      </c>
      <c r="BK418" t="str">
        <f t="shared" si="165"/>
        <v/>
      </c>
      <c r="BL418" t="str">
        <f t="shared" si="166"/>
        <v/>
      </c>
      <c r="BM418" t="str">
        <f t="shared" si="167"/>
        <v/>
      </c>
      <c r="BN418" t="str">
        <f t="shared" si="168"/>
        <v/>
      </c>
      <c r="BO418" t="str">
        <f t="shared" si="169"/>
        <v/>
      </c>
      <c r="BP418" t="str">
        <f t="shared" si="170"/>
        <v/>
      </c>
      <c r="BQ418" t="str">
        <f t="shared" si="171"/>
        <v/>
      </c>
      <c r="BR418" t="str">
        <f t="shared" si="172"/>
        <v/>
      </c>
      <c r="BS418" t="str">
        <f t="shared" si="173"/>
        <v/>
      </c>
      <c r="BT418" t="str">
        <f t="shared" si="174"/>
        <v/>
      </c>
      <c r="BU418" t="str">
        <f t="shared" si="175"/>
        <v/>
      </c>
    </row>
    <row r="419" spans="1:73">
      <c r="A419" s="1">
        <v>20672</v>
      </c>
      <c r="B419" t="str">
        <f>VLOOKUP($A419,[1]Table!$A$2:$N593,B$1,FALSE)</f>
        <v>N05BA01</v>
      </c>
      <c r="C419" t="str">
        <f>VLOOKUP($A419,[1]Table!$A$2:$N593,C$1,FALSE)</f>
        <v>PSYCHOLEPTICA</v>
      </c>
      <c r="D419" t="str">
        <f>VLOOKUP($A419,[1]Table!$A$2:$N593,D$1,FALSE)</f>
        <v>ANXIOLYTICA</v>
      </c>
      <c r="E419" t="str">
        <f>VLOOKUP($A419,[1]Table!$A$2:$N593,E$1,FALSE)</f>
        <v>DIAZEPAM</v>
      </c>
      <c r="F419" t="str">
        <f>VLOOKUP($A419,[1]Table!$A$2:$N593,F$1,FALSE)</f>
        <v>DIAZEPAM 10 MG TABLET</v>
      </c>
      <c r="G419" t="str">
        <f>VLOOKUP($A419,[1]Table!$A$2:$N593,G$1,FALSE)</f>
        <v>DIAZEPAM 10MG TABLET</v>
      </c>
      <c r="H419" t="str">
        <f>VLOOKUP($A419,[1]Table!$A$2:$N593,H$1,FALSE)</f>
        <v>tablet</v>
      </c>
      <c r="I419" t="str">
        <f>VLOOKUP($A419,[1]Table!$A$2:$N593,I$1,FALSE)</f>
        <v>or</v>
      </c>
      <c r="J419">
        <f>VLOOKUP($A419,[1]Table!$A$2:$N593,J$1,FALSE)</f>
        <v>10</v>
      </c>
      <c r="K419" t="str">
        <f>VLOOKUP($A419,[1]Table!$A$2:$N593,K$1,FALSE)</f>
        <v>mg/stuk</v>
      </c>
      <c r="L419">
        <f>VLOOKUP($A419,[1]Table!$A$2:$N593,L$1,FALSE)</f>
        <v>5</v>
      </c>
      <c r="M419" t="str">
        <f>VLOOKUP($A419,[1]Table!$A$2:$N593,M$1,FALSE)</f>
        <v>mg</v>
      </c>
      <c r="N419" t="str">
        <f>VLOOKUP($A419,[1]Table!$A$2:$N593,N$1,FALSE)</f>
        <v>Status epilepticus||Koortsconvulsies||Verslapping van skeletspieren||Acute angsten (kort gebruik)</v>
      </c>
      <c r="O419" t="str">
        <f>ConcatenateRange(AZ419:BU419,"||")</f>
        <v/>
      </c>
      <c r="AZ419" t="str">
        <f t="shared" si="154"/>
        <v/>
      </c>
      <c r="BA419" t="str">
        <f t="shared" si="155"/>
        <v/>
      </c>
      <c r="BB419" t="str">
        <f t="shared" si="156"/>
        <v/>
      </c>
      <c r="BC419" t="str">
        <f t="shared" si="157"/>
        <v/>
      </c>
      <c r="BD419" t="str">
        <f t="shared" si="158"/>
        <v/>
      </c>
      <c r="BE419" t="str">
        <f t="shared" si="159"/>
        <v/>
      </c>
      <c r="BF419" t="str">
        <f t="shared" si="160"/>
        <v/>
      </c>
      <c r="BG419" t="str">
        <f t="shared" si="161"/>
        <v/>
      </c>
      <c r="BH419" t="str">
        <f t="shared" si="162"/>
        <v/>
      </c>
      <c r="BI419" t="str">
        <f t="shared" si="163"/>
        <v/>
      </c>
      <c r="BJ419" t="str">
        <f t="shared" si="164"/>
        <v/>
      </c>
      <c r="BK419" t="str">
        <f t="shared" si="165"/>
        <v/>
      </c>
      <c r="BL419" t="str">
        <f t="shared" si="166"/>
        <v/>
      </c>
      <c r="BM419" t="str">
        <f t="shared" si="167"/>
        <v/>
      </c>
      <c r="BN419" t="str">
        <f t="shared" si="168"/>
        <v/>
      </c>
      <c r="BO419" t="str">
        <f t="shared" si="169"/>
        <v/>
      </c>
      <c r="BP419" t="str">
        <f t="shared" si="170"/>
        <v/>
      </c>
      <c r="BQ419" t="str">
        <f t="shared" si="171"/>
        <v/>
      </c>
      <c r="BR419" t="str">
        <f t="shared" si="172"/>
        <v/>
      </c>
      <c r="BS419" t="str">
        <f t="shared" si="173"/>
        <v/>
      </c>
      <c r="BT419" t="str">
        <f t="shared" si="174"/>
        <v/>
      </c>
      <c r="BU419" t="str">
        <f t="shared" si="175"/>
        <v/>
      </c>
    </row>
    <row r="420" spans="1:73">
      <c r="A420" s="1">
        <v>10278</v>
      </c>
      <c r="B420" t="str">
        <f>VLOOKUP($A420,[1]Table!$A$2:$N594,B$1,FALSE)</f>
        <v>V03AH01</v>
      </c>
      <c r="C420" t="str">
        <f>VLOOKUP($A420,[1]Table!$A$2:$N594,C$1,FALSE)</f>
        <v>ALLE OVERIGE THERAPEUTISCHE MIDDELEN</v>
      </c>
      <c r="D420" t="str">
        <f>VLOOKUP($A420,[1]Table!$A$2:$N594,D$1,FALSE)</f>
        <v>ALLE OVERIGE THERAPEUTISCHE MIDDELEN</v>
      </c>
      <c r="E420" t="str">
        <f>VLOOKUP($A420,[1]Table!$A$2:$N594,E$1,FALSE)</f>
        <v>DIAZOXIDE</v>
      </c>
      <c r="F420" t="str">
        <f>VLOOKUP($A420,[1]Table!$A$2:$N594,F$1,FALSE)</f>
        <v>PROGLICEM 100MG CAPSULE</v>
      </c>
      <c r="G420" t="str">
        <f>VLOOKUP($A420,[1]Table!$A$2:$N594,G$1,FALSE)</f>
        <v>DIAZOXIDE 100MG CAPSULE</v>
      </c>
      <c r="H420" t="str">
        <f>VLOOKUP($A420,[1]Table!$A$2:$N594,H$1,FALSE)</f>
        <v>capsule</v>
      </c>
      <c r="I420" t="str">
        <f>VLOOKUP($A420,[1]Table!$A$2:$N594,I$1,FALSE)</f>
        <v>or</v>
      </c>
      <c r="J420">
        <f>VLOOKUP($A420,[1]Table!$A$2:$N594,J$1,FALSE)</f>
        <v>100</v>
      </c>
      <c r="K420" t="str">
        <f>VLOOKUP($A420,[1]Table!$A$2:$N594,K$1,FALSE)</f>
        <v>mg/stuk</v>
      </c>
      <c r="L420">
        <f>VLOOKUP($A420,[1]Table!$A$2:$N594,L$1,FALSE)</f>
        <v>100</v>
      </c>
      <c r="M420" t="str">
        <f>VLOOKUP($A420,[1]Table!$A$2:$N594,M$1,FALSE)</f>
        <v>mg</v>
      </c>
      <c r="N420" t="str">
        <f>VLOOKUP($A420,[1]Table!$A$2:$N594,N$1,FALSE)</f>
        <v>Congenitaal hyperinsulinisme</v>
      </c>
      <c r="O420" t="str">
        <f>ConcatenateRange(AZ420:BU420,"||")</f>
        <v/>
      </c>
      <c r="AZ420" t="str">
        <f t="shared" si="154"/>
        <v/>
      </c>
      <c r="BA420" t="str">
        <f t="shared" si="155"/>
        <v/>
      </c>
      <c r="BB420" t="str">
        <f t="shared" si="156"/>
        <v/>
      </c>
      <c r="BC420" t="str">
        <f t="shared" si="157"/>
        <v/>
      </c>
      <c r="BD420" t="str">
        <f t="shared" si="158"/>
        <v/>
      </c>
      <c r="BE420" t="str">
        <f t="shared" si="159"/>
        <v/>
      </c>
      <c r="BF420" t="str">
        <f t="shared" si="160"/>
        <v/>
      </c>
      <c r="BG420" t="str">
        <f t="shared" si="161"/>
        <v/>
      </c>
      <c r="BH420" t="str">
        <f t="shared" si="162"/>
        <v/>
      </c>
      <c r="BI420" t="str">
        <f t="shared" si="163"/>
        <v/>
      </c>
      <c r="BJ420" t="str">
        <f t="shared" si="164"/>
        <v/>
      </c>
      <c r="BK420" t="str">
        <f t="shared" si="165"/>
        <v/>
      </c>
      <c r="BL420" t="str">
        <f t="shared" si="166"/>
        <v/>
      </c>
      <c r="BM420" t="str">
        <f t="shared" si="167"/>
        <v/>
      </c>
      <c r="BN420" t="str">
        <f t="shared" si="168"/>
        <v/>
      </c>
      <c r="BO420" t="str">
        <f t="shared" si="169"/>
        <v/>
      </c>
      <c r="BP420" t="str">
        <f t="shared" si="170"/>
        <v/>
      </c>
      <c r="BQ420" t="str">
        <f t="shared" si="171"/>
        <v/>
      </c>
      <c r="BR420" t="str">
        <f t="shared" si="172"/>
        <v/>
      </c>
      <c r="BS420" t="str">
        <f t="shared" si="173"/>
        <v/>
      </c>
      <c r="BT420" t="str">
        <f t="shared" si="174"/>
        <v/>
      </c>
      <c r="BU420" t="str">
        <f t="shared" si="175"/>
        <v/>
      </c>
    </row>
    <row r="421" spans="1:73">
      <c r="A421" s="1">
        <v>112852</v>
      </c>
      <c r="B421" t="str">
        <f>VLOOKUP($A421,[1]Table!$A$2:$N595,B$1,FALSE)</f>
        <v>M01AB05</v>
      </c>
      <c r="C421" t="str">
        <f>VLOOKUP($A421,[1]Table!$A$2:$N595,C$1,FALSE)</f>
        <v>ANTI-INFLAMMATOIRE EN ANTIREUMATISCHE MIDDELEN</v>
      </c>
      <c r="D421" t="str">
        <f>VLOOKUP($A421,[1]Table!$A$2:$N595,D$1,FALSE)</f>
        <v>NIET-STEROIDE ANTI-INFLAMMATOIRE EN ANTIREUMATISCHE MIDD.</v>
      </c>
      <c r="E421" t="str">
        <f>VLOOKUP($A421,[1]Table!$A$2:$N595,E$1,FALSE)</f>
        <v>DICLOFENAC</v>
      </c>
      <c r="F421" t="str">
        <f>VLOOKUP($A421,[1]Table!$A$2:$N595,F$1,FALSE)</f>
        <v>VOLTAREN 25 MG/ML AMPUL 3ML</v>
      </c>
      <c r="G421" t="str">
        <f>VLOOKUP($A421,[1]Table!$A$2:$N595,G$1,FALSE)</f>
        <v>DICLOFENAC-NA 25MG/ML INJVL</v>
      </c>
      <c r="H421" t="str">
        <f>VLOOKUP($A421,[1]Table!$A$2:$N595,H$1,FALSE)</f>
        <v>injectievloeistof</v>
      </c>
      <c r="I421" t="str">
        <f>VLOOKUP($A421,[1]Table!$A$2:$N595,I$1,FALSE)</f>
        <v>im||iv</v>
      </c>
      <c r="J421">
        <f>VLOOKUP($A421,[1]Table!$A$2:$N595,J$1,FALSE)</f>
        <v>25</v>
      </c>
      <c r="K421" t="str">
        <f>VLOOKUP($A421,[1]Table!$A$2:$N595,K$1,FALSE)</f>
        <v>mg/ml</v>
      </c>
      <c r="L421">
        <f>VLOOKUP($A421,[1]Table!$A$2:$N595,L$1,FALSE)</f>
        <v>25</v>
      </c>
      <c r="M421" t="str">
        <f>VLOOKUP($A421,[1]Table!$A$2:$N595,M$1,FALSE)</f>
        <v>mg</v>
      </c>
      <c r="N421" t="str">
        <f>VLOOKUP($A421,[1]Table!$A$2:$N595,N$1,FALSE)</f>
        <v>Pijnbestrijding||Pijn, ontstekingsactiviteit en koorts bij Juveniele Idiopatische Arthritis (JIA)</v>
      </c>
      <c r="O421" t="str">
        <f>ConcatenateRange(AZ421:BU421,"||")</f>
        <v/>
      </c>
      <c r="AZ421" t="str">
        <f t="shared" si="154"/>
        <v/>
      </c>
      <c r="BA421" t="str">
        <f t="shared" si="155"/>
        <v/>
      </c>
      <c r="BB421" t="str">
        <f t="shared" si="156"/>
        <v/>
      </c>
      <c r="BC421" t="str">
        <f t="shared" si="157"/>
        <v/>
      </c>
      <c r="BD421" t="str">
        <f t="shared" si="158"/>
        <v/>
      </c>
      <c r="BE421" t="str">
        <f t="shared" si="159"/>
        <v/>
      </c>
      <c r="BF421" t="str">
        <f t="shared" si="160"/>
        <v/>
      </c>
      <c r="BG421" t="str">
        <f t="shared" si="161"/>
        <v/>
      </c>
      <c r="BH421" t="str">
        <f t="shared" si="162"/>
        <v/>
      </c>
      <c r="BI421" t="str">
        <f t="shared" si="163"/>
        <v/>
      </c>
      <c r="BJ421" t="str">
        <f t="shared" si="164"/>
        <v/>
      </c>
      <c r="BK421" t="str">
        <f t="shared" si="165"/>
        <v/>
      </c>
      <c r="BL421" t="str">
        <f t="shared" si="166"/>
        <v/>
      </c>
      <c r="BM421" t="str">
        <f t="shared" si="167"/>
        <v/>
      </c>
      <c r="BN421" t="str">
        <f t="shared" si="168"/>
        <v/>
      </c>
      <c r="BO421" t="str">
        <f t="shared" si="169"/>
        <v/>
      </c>
      <c r="BP421" t="str">
        <f t="shared" si="170"/>
        <v/>
      </c>
      <c r="BQ421" t="str">
        <f t="shared" si="171"/>
        <v/>
      </c>
      <c r="BR421" t="str">
        <f t="shared" si="172"/>
        <v/>
      </c>
      <c r="BS421" t="str">
        <f t="shared" si="173"/>
        <v/>
      </c>
      <c r="BT421" t="str">
        <f t="shared" si="174"/>
        <v/>
      </c>
      <c r="BU421" t="str">
        <f t="shared" si="175"/>
        <v/>
      </c>
    </row>
    <row r="422" spans="1:73">
      <c r="A422" s="1">
        <v>22276</v>
      </c>
      <c r="B422" t="str">
        <f>VLOOKUP($A422,[1]Table!$A$2:$N596,B$1,FALSE)</f>
        <v>M01AB05</v>
      </c>
      <c r="C422" t="str">
        <f>VLOOKUP($A422,[1]Table!$A$2:$N596,C$1,FALSE)</f>
        <v>ANTI-INFLAMMATOIRE EN ANTIREUMATISCHE MIDDELEN</v>
      </c>
      <c r="D422" t="str">
        <f>VLOOKUP($A422,[1]Table!$A$2:$N596,D$1,FALSE)</f>
        <v>NIET-STEROIDE ANTI-INFLAMMATOIRE EN ANTIREUMATISCHE MIDD.</v>
      </c>
      <c r="E422" t="str">
        <f>VLOOKUP($A422,[1]Table!$A$2:$N596,E$1,FALSE)</f>
        <v>DICLOFENAC</v>
      </c>
      <c r="F422" t="str">
        <f>VLOOKUP($A422,[1]Table!$A$2:$N596,F$1,FALSE)</f>
        <v>DICLOFENAC 25 MG TABLET MSR</v>
      </c>
      <c r="G422" t="str">
        <f>VLOOKUP($A422,[1]Table!$A$2:$N596,G$1,FALSE)</f>
        <v>DICLOFENAC-NA 25MG TAB MSR</v>
      </c>
      <c r="H422" t="str">
        <f>VLOOKUP($A422,[1]Table!$A$2:$N596,H$1,FALSE)</f>
        <v>maagsapresistente tablet</v>
      </c>
      <c r="I422" t="str">
        <f>VLOOKUP($A422,[1]Table!$A$2:$N596,I$1,FALSE)</f>
        <v>or</v>
      </c>
      <c r="J422">
        <f>VLOOKUP($A422,[1]Table!$A$2:$N596,J$1,FALSE)</f>
        <v>25</v>
      </c>
      <c r="K422" t="str">
        <f>VLOOKUP($A422,[1]Table!$A$2:$N596,K$1,FALSE)</f>
        <v>mg/stuk</v>
      </c>
      <c r="L422">
        <f>VLOOKUP($A422,[1]Table!$A$2:$N596,L$1,FALSE)</f>
        <v>25</v>
      </c>
      <c r="M422" t="str">
        <f>VLOOKUP($A422,[1]Table!$A$2:$N596,M$1,FALSE)</f>
        <v>mg</v>
      </c>
      <c r="N422" t="str">
        <f>VLOOKUP($A422,[1]Table!$A$2:$N596,N$1,FALSE)</f>
        <v>Pijnbestrijding||Pijn, ontstekingsactiviteit en koorts bij Juveniele Idiopatische Arthritis (JIA)</v>
      </c>
      <c r="O422" t="str">
        <f>ConcatenateRange(AZ422:BU422,"||")</f>
        <v/>
      </c>
      <c r="AZ422" t="str">
        <f t="shared" si="154"/>
        <v/>
      </c>
      <c r="BA422" t="str">
        <f t="shared" si="155"/>
        <v/>
      </c>
      <c r="BB422" t="str">
        <f t="shared" si="156"/>
        <v/>
      </c>
      <c r="BC422" t="str">
        <f t="shared" si="157"/>
        <v/>
      </c>
      <c r="BD422" t="str">
        <f t="shared" si="158"/>
        <v/>
      </c>
      <c r="BE422" t="str">
        <f t="shared" si="159"/>
        <v/>
      </c>
      <c r="BF422" t="str">
        <f t="shared" si="160"/>
        <v/>
      </c>
      <c r="BG422" t="str">
        <f t="shared" si="161"/>
        <v/>
      </c>
      <c r="BH422" t="str">
        <f t="shared" si="162"/>
        <v/>
      </c>
      <c r="BI422" t="str">
        <f t="shared" si="163"/>
        <v/>
      </c>
      <c r="BJ422" t="str">
        <f t="shared" si="164"/>
        <v/>
      </c>
      <c r="BK422" t="str">
        <f t="shared" si="165"/>
        <v/>
      </c>
      <c r="BL422" t="str">
        <f t="shared" si="166"/>
        <v/>
      </c>
      <c r="BM422" t="str">
        <f t="shared" si="167"/>
        <v/>
      </c>
      <c r="BN422" t="str">
        <f t="shared" si="168"/>
        <v/>
      </c>
      <c r="BO422" t="str">
        <f t="shared" si="169"/>
        <v/>
      </c>
      <c r="BP422" t="str">
        <f t="shared" si="170"/>
        <v/>
      </c>
      <c r="BQ422" t="str">
        <f t="shared" si="171"/>
        <v/>
      </c>
      <c r="BR422" t="str">
        <f t="shared" si="172"/>
        <v/>
      </c>
      <c r="BS422" t="str">
        <f t="shared" si="173"/>
        <v/>
      </c>
      <c r="BT422" t="str">
        <f t="shared" si="174"/>
        <v/>
      </c>
      <c r="BU422" t="str">
        <f t="shared" si="175"/>
        <v/>
      </c>
    </row>
    <row r="423" spans="1:73">
      <c r="A423" s="1">
        <v>22284</v>
      </c>
      <c r="B423" t="str">
        <f>VLOOKUP($A423,[1]Table!$A$2:$N597,B$1,FALSE)</f>
        <v>M01AB05</v>
      </c>
      <c r="C423" t="str">
        <f>VLOOKUP($A423,[1]Table!$A$2:$N597,C$1,FALSE)</f>
        <v>ANTI-INFLAMMATOIRE EN ANTIREUMATISCHE MIDDELEN</v>
      </c>
      <c r="D423" t="str">
        <f>VLOOKUP($A423,[1]Table!$A$2:$N597,D$1,FALSE)</f>
        <v>NIET-STEROIDE ANTI-INFLAMMATOIRE EN ANTIREUMATISCHE MIDD.</v>
      </c>
      <c r="E423" t="str">
        <f>VLOOKUP($A423,[1]Table!$A$2:$N597,E$1,FALSE)</f>
        <v>DICLOFENAC</v>
      </c>
      <c r="F423" t="str">
        <f>VLOOKUP($A423,[1]Table!$A$2:$N597,F$1,FALSE)</f>
        <v>DICLOFENAC 50 MG TABLET MSR</v>
      </c>
      <c r="G423" t="str">
        <f>VLOOKUP($A423,[1]Table!$A$2:$N597,G$1,FALSE)</f>
        <v>DICLOFENAC-NA 50MG TAB MSR</v>
      </c>
      <c r="H423" t="str">
        <f>VLOOKUP($A423,[1]Table!$A$2:$N597,H$1,FALSE)</f>
        <v>maagsapresistente tablet</v>
      </c>
      <c r="I423" t="str">
        <f>VLOOKUP($A423,[1]Table!$A$2:$N597,I$1,FALSE)</f>
        <v>or</v>
      </c>
      <c r="J423">
        <f>VLOOKUP($A423,[1]Table!$A$2:$N597,J$1,FALSE)</f>
        <v>50</v>
      </c>
      <c r="K423" t="str">
        <f>VLOOKUP($A423,[1]Table!$A$2:$N597,K$1,FALSE)</f>
        <v>mg/stuk</v>
      </c>
      <c r="L423">
        <f>VLOOKUP($A423,[1]Table!$A$2:$N597,L$1,FALSE)</f>
        <v>50</v>
      </c>
      <c r="M423" t="str">
        <f>VLOOKUP($A423,[1]Table!$A$2:$N597,M$1,FALSE)</f>
        <v>mg</v>
      </c>
      <c r="N423" t="str">
        <f>VLOOKUP($A423,[1]Table!$A$2:$N597,N$1,FALSE)</f>
        <v>Pijnbestrijding||Pijn, ontstekingsactiviteit en koorts bij Juveniele Idiopatische Arthritis (JIA)</v>
      </c>
      <c r="O423" t="str">
        <f>ConcatenateRange(AZ423:BU423,"||")</f>
        <v/>
      </c>
      <c r="AZ423" t="str">
        <f t="shared" si="154"/>
        <v/>
      </c>
      <c r="BA423" t="str">
        <f t="shared" si="155"/>
        <v/>
      </c>
      <c r="BB423" t="str">
        <f t="shared" si="156"/>
        <v/>
      </c>
      <c r="BC423" t="str">
        <f t="shared" si="157"/>
        <v/>
      </c>
      <c r="BD423" t="str">
        <f t="shared" si="158"/>
        <v/>
      </c>
      <c r="BE423" t="str">
        <f t="shared" si="159"/>
        <v/>
      </c>
      <c r="BF423" t="str">
        <f t="shared" si="160"/>
        <v/>
      </c>
      <c r="BG423" t="str">
        <f t="shared" si="161"/>
        <v/>
      </c>
      <c r="BH423" t="str">
        <f t="shared" si="162"/>
        <v/>
      </c>
      <c r="BI423" t="str">
        <f t="shared" si="163"/>
        <v/>
      </c>
      <c r="BJ423" t="str">
        <f t="shared" si="164"/>
        <v/>
      </c>
      <c r="BK423" t="str">
        <f t="shared" si="165"/>
        <v/>
      </c>
      <c r="BL423" t="str">
        <f t="shared" si="166"/>
        <v/>
      </c>
      <c r="BM423" t="str">
        <f t="shared" si="167"/>
        <v/>
      </c>
      <c r="BN423" t="str">
        <f t="shared" si="168"/>
        <v/>
      </c>
      <c r="BO423" t="str">
        <f t="shared" si="169"/>
        <v/>
      </c>
      <c r="BP423" t="str">
        <f t="shared" si="170"/>
        <v/>
      </c>
      <c r="BQ423" t="str">
        <f t="shared" si="171"/>
        <v/>
      </c>
      <c r="BR423" t="str">
        <f t="shared" si="172"/>
        <v/>
      </c>
      <c r="BS423" t="str">
        <f t="shared" si="173"/>
        <v/>
      </c>
      <c r="BT423" t="str">
        <f t="shared" si="174"/>
        <v/>
      </c>
      <c r="BU423" t="str">
        <f t="shared" si="175"/>
        <v/>
      </c>
    </row>
    <row r="424" spans="1:73">
      <c r="A424" s="1">
        <v>117439</v>
      </c>
      <c r="B424" t="str">
        <f>VLOOKUP($A424,[1]Table!$A$2:$N598,B$1,FALSE)</f>
        <v>M01AB05</v>
      </c>
      <c r="C424" t="str">
        <f>VLOOKUP($A424,[1]Table!$A$2:$N598,C$1,FALSE)</f>
        <v>ANTI-INFLAMMATOIRE EN ANTIREUMATISCHE MIDDELEN</v>
      </c>
      <c r="D424" t="str">
        <f>VLOOKUP($A424,[1]Table!$A$2:$N598,D$1,FALSE)</f>
        <v>NIET-STEROIDE ANTI-INFLAMMATOIRE EN ANTIREUMATISCHE MIDD.</v>
      </c>
      <c r="E424" t="str">
        <f>VLOOKUP($A424,[1]Table!$A$2:$N598,E$1,FALSE)</f>
        <v>DICLOFENAC</v>
      </c>
      <c r="F424" t="str">
        <f>VLOOKUP($A424,[1]Table!$A$2:$N598,F$1,FALSE)</f>
        <v>VOLTAREN K 12.5 MG TABLET OMHULD</v>
      </c>
      <c r="G424" t="str">
        <f>VLOOKUP($A424,[1]Table!$A$2:$N598,G$1,FALSE)</f>
        <v>DICLOFENAC-K 12,5MG TAB OMH</v>
      </c>
      <c r="H424" t="str">
        <f>VLOOKUP($A424,[1]Table!$A$2:$N598,H$1,FALSE)</f>
        <v>omhulde tablet</v>
      </c>
      <c r="I424" t="str">
        <f>VLOOKUP($A424,[1]Table!$A$2:$N598,I$1,FALSE)</f>
        <v>or</v>
      </c>
      <c r="J424">
        <f>VLOOKUP($A424,[1]Table!$A$2:$N598,J$1,FALSE)</f>
        <v>12.5</v>
      </c>
      <c r="K424" t="str">
        <f>VLOOKUP($A424,[1]Table!$A$2:$N598,K$1,FALSE)</f>
        <v>mg/stuk</v>
      </c>
      <c r="L424">
        <f>VLOOKUP($A424,[1]Table!$A$2:$N598,L$1,FALSE)</f>
        <v>12.5</v>
      </c>
      <c r="M424" t="str">
        <f>VLOOKUP($A424,[1]Table!$A$2:$N598,M$1,FALSE)</f>
        <v>mg</v>
      </c>
      <c r="N424" t="str">
        <f>VLOOKUP($A424,[1]Table!$A$2:$N598,N$1,FALSE)</f>
        <v>Pijnbestrijding||Pijn, ontstekingsactiviteit en koorts bij Juveniele Idiopatische Arthritis (JIA)</v>
      </c>
      <c r="O424" t="str">
        <f>ConcatenateRange(AZ424:BU424,"||")</f>
        <v/>
      </c>
      <c r="AZ424" t="str">
        <f t="shared" ref="AZ424:AZ483" si="176">IF(AA424&lt;&gt;0,AA$2,"")</f>
        <v/>
      </c>
      <c r="BA424" t="str">
        <f t="shared" ref="BA424:BA483" si="177">IF(AB424&lt;&gt;0,AB$2,"")</f>
        <v/>
      </c>
      <c r="BB424" t="str">
        <f t="shared" ref="BB424:BB483" si="178">IF(AC424&lt;&gt;0,AC$2,"")</f>
        <v/>
      </c>
      <c r="BC424" t="str">
        <f t="shared" ref="BC424:BC483" si="179">IF(AD424&lt;&gt;0,AD$2,"")</f>
        <v/>
      </c>
      <c r="BD424" t="str">
        <f t="shared" ref="BD424:BD483" si="180">IF(AE424&lt;&gt;0,AE$2,"")</f>
        <v/>
      </c>
      <c r="BE424" t="str">
        <f t="shared" ref="BE424:BE483" si="181">IF(AF424&lt;&gt;0,AF$2,"")</f>
        <v/>
      </c>
      <c r="BF424" t="str">
        <f t="shared" ref="BF424:BF483" si="182">IF(AG424&lt;&gt;0,AG$2,"")</f>
        <v/>
      </c>
      <c r="BG424" t="str">
        <f t="shared" ref="BG424:BG483" si="183">IF(AH424&lt;&gt;0,AH$2,"")</f>
        <v/>
      </c>
      <c r="BH424" t="str">
        <f t="shared" ref="BH424:BH483" si="184">IF(AI424&lt;&gt;0,AI$2,"")</f>
        <v/>
      </c>
      <c r="BI424" t="str">
        <f t="shared" ref="BI424:BI483" si="185">IF(AJ424&lt;&gt;0,AJ$2,"")</f>
        <v/>
      </c>
      <c r="BJ424" t="str">
        <f t="shared" ref="BJ424:BJ483" si="186">IF(AK424&lt;&gt;0,AK$2,"")</f>
        <v/>
      </c>
      <c r="BK424" t="str">
        <f t="shared" ref="BK424:BK483" si="187">IF(AL424&lt;&gt;0,AL$2,"")</f>
        <v/>
      </c>
      <c r="BL424" t="str">
        <f t="shared" ref="BL424:BL483" si="188">IF(AM424&lt;&gt;0,AM$2,"")</f>
        <v/>
      </c>
      <c r="BM424" t="str">
        <f t="shared" ref="BM424:BM483" si="189">IF(AN424&lt;&gt;0,AN$2,"")</f>
        <v/>
      </c>
      <c r="BN424" t="str">
        <f t="shared" ref="BN424:BN483" si="190">IF(AO424&lt;&gt;0,AO$2,"")</f>
        <v/>
      </c>
      <c r="BO424" t="str">
        <f t="shared" ref="BO424:BO483" si="191">IF(AP424&lt;&gt;0,AP$2,"")</f>
        <v/>
      </c>
      <c r="BP424" t="str">
        <f t="shared" ref="BP424:BP483" si="192">IF(AQ424&lt;&gt;0,AQ$2,"")</f>
        <v/>
      </c>
      <c r="BQ424" t="str">
        <f t="shared" ref="BQ424:BQ483" si="193">IF(AR424&lt;&gt;0,AR$2,"")</f>
        <v/>
      </c>
      <c r="BR424" t="str">
        <f t="shared" ref="BR424:BR483" si="194">IF(AS424&lt;&gt;0,AS$2,"")</f>
        <v/>
      </c>
      <c r="BS424" t="str">
        <f t="shared" ref="BS424:BS483" si="195">IF(AT424&lt;&gt;0,AT$2,"")</f>
        <v/>
      </c>
      <c r="BT424" t="str">
        <f t="shared" ref="BT424:BT483" si="196">IF(AU424&lt;&gt;0,AU$2,"")</f>
        <v/>
      </c>
      <c r="BU424" t="str">
        <f t="shared" ref="BU424:BU483" si="197">IF(AV424&lt;&gt;0,AV$2,"")</f>
        <v/>
      </c>
    </row>
    <row r="425" spans="1:73">
      <c r="A425" s="1">
        <v>87041</v>
      </c>
      <c r="B425" t="str">
        <f>VLOOKUP($A425,[1]Table!$A$2:$N599,B$1,FALSE)</f>
        <v>M01AB05</v>
      </c>
      <c r="C425" t="str">
        <f>VLOOKUP($A425,[1]Table!$A$2:$N599,C$1,FALSE)</f>
        <v>ANTI-INFLAMMATOIRE EN ANTIREUMATISCHE MIDDELEN</v>
      </c>
      <c r="D425" t="str">
        <f>VLOOKUP($A425,[1]Table!$A$2:$N599,D$1,FALSE)</f>
        <v>NIET-STEROIDE ANTI-INFLAMMATOIRE EN ANTIREUMATISCHE MIDD.</v>
      </c>
      <c r="E425" t="s">
        <v>100</v>
      </c>
      <c r="F425" t="str">
        <f>VLOOKUP($A425,[1]Table!$A$2:$N599,F$1,FALSE)</f>
        <v>DICLOFENAC 75 MG TABLET MGA (RETARD)</v>
      </c>
      <c r="G425" t="str">
        <f>VLOOKUP($A425,[1]Table!$A$2:$N599,G$1,FALSE)</f>
        <v>DICLOFENAC-NA 75MG TABL MGA</v>
      </c>
      <c r="H425" t="str">
        <f>VLOOKUP($A425,[1]Table!$A$2:$N599,H$1,FALSE)</f>
        <v>tablet met gereguleerde afgifte</v>
      </c>
      <c r="I425" t="str">
        <f>VLOOKUP($A425,[1]Table!$A$2:$N599,I$1,FALSE)</f>
        <v>or</v>
      </c>
      <c r="J425">
        <f>VLOOKUP($A425,[1]Table!$A$2:$N599,J$1,FALSE)</f>
        <v>75</v>
      </c>
      <c r="K425" t="str">
        <f>VLOOKUP($A425,[1]Table!$A$2:$N599,K$1,FALSE)</f>
        <v>mg/stuk</v>
      </c>
      <c r="L425">
        <f>VLOOKUP($A425,[1]Table!$A$2:$N599,L$1,FALSE)</f>
        <v>75</v>
      </c>
      <c r="M425" t="str">
        <f>VLOOKUP($A425,[1]Table!$A$2:$N599,M$1,FALSE)</f>
        <v>mg</v>
      </c>
      <c r="N425" t="str">
        <f>VLOOKUP($A425,[1]Table!$A$2:$N599,N$1,FALSE)</f>
        <v>Pijnbestrijding||Pijn, ontstekingsactiviteit en koorts bij Juveniele Idiopatische Arthritis (JIA)</v>
      </c>
      <c r="O425" t="str">
        <f>ConcatenateRange(AZ425:BU425,"||")</f>
        <v/>
      </c>
      <c r="AZ425" t="str">
        <f t="shared" si="176"/>
        <v/>
      </c>
      <c r="BA425" t="str">
        <f t="shared" si="177"/>
        <v/>
      </c>
      <c r="BB425" t="str">
        <f t="shared" si="178"/>
        <v/>
      </c>
      <c r="BC425" t="str">
        <f t="shared" si="179"/>
        <v/>
      </c>
      <c r="BD425" t="str">
        <f t="shared" si="180"/>
        <v/>
      </c>
      <c r="BE425" t="str">
        <f t="shared" si="181"/>
        <v/>
      </c>
      <c r="BF425" t="str">
        <f t="shared" si="182"/>
        <v/>
      </c>
      <c r="BG425" t="str">
        <f t="shared" si="183"/>
        <v/>
      </c>
      <c r="BH425" t="str">
        <f t="shared" si="184"/>
        <v/>
      </c>
      <c r="BI425" t="str">
        <f t="shared" si="185"/>
        <v/>
      </c>
      <c r="BJ425" t="str">
        <f t="shared" si="186"/>
        <v/>
      </c>
      <c r="BK425" t="str">
        <f t="shared" si="187"/>
        <v/>
      </c>
      <c r="BL425" t="str">
        <f t="shared" si="188"/>
        <v/>
      </c>
      <c r="BM425" t="str">
        <f t="shared" si="189"/>
        <v/>
      </c>
      <c r="BN425" t="str">
        <f t="shared" si="190"/>
        <v/>
      </c>
      <c r="BO425" t="str">
        <f t="shared" si="191"/>
        <v/>
      </c>
      <c r="BP425" t="str">
        <f t="shared" si="192"/>
        <v/>
      </c>
      <c r="BQ425" t="str">
        <f t="shared" si="193"/>
        <v/>
      </c>
      <c r="BR425" t="str">
        <f t="shared" si="194"/>
        <v/>
      </c>
      <c r="BS425" t="str">
        <f t="shared" si="195"/>
        <v/>
      </c>
      <c r="BT425" t="str">
        <f t="shared" si="196"/>
        <v/>
      </c>
      <c r="BU425" t="str">
        <f t="shared" si="197"/>
        <v/>
      </c>
    </row>
    <row r="426" spans="1:73">
      <c r="A426" s="1">
        <v>22268</v>
      </c>
      <c r="B426" t="str">
        <f>VLOOKUP($A426,[1]Table!$A$2:$N600,B$1,FALSE)</f>
        <v>M01AB05</v>
      </c>
      <c r="C426" t="str">
        <f>VLOOKUP($A426,[1]Table!$A$2:$N600,C$1,FALSE)</f>
        <v>ANTI-INFLAMMATOIRE EN ANTIREUMATISCHE MIDDELEN</v>
      </c>
      <c r="D426" t="str">
        <f>VLOOKUP($A426,[1]Table!$A$2:$N600,D$1,FALSE)</f>
        <v>NIET-STEROIDE ANTI-INFLAMMATOIRE EN ANTIREUMATISCHE MIDD.</v>
      </c>
      <c r="E426" t="s">
        <v>100</v>
      </c>
      <c r="F426" t="str">
        <f>VLOOKUP($A426,[1]Table!$A$2:$N600,F$1,FALSE)</f>
        <v>DICLOFENAC 100 MG TABLET MGA (RETARD)</v>
      </c>
      <c r="G426" t="str">
        <f>VLOOKUP($A426,[1]Table!$A$2:$N600,G$1,FALSE)</f>
        <v>DICLOFENAC-NA 100MG TAB MGA</v>
      </c>
      <c r="H426" t="str">
        <f>VLOOKUP($A426,[1]Table!$A$2:$N600,H$1,FALSE)</f>
        <v>tablet met gereguleerde afgifte</v>
      </c>
      <c r="I426" t="str">
        <f>VLOOKUP($A426,[1]Table!$A$2:$N600,I$1,FALSE)</f>
        <v>or</v>
      </c>
      <c r="J426">
        <f>VLOOKUP($A426,[1]Table!$A$2:$N600,J$1,FALSE)</f>
        <v>100</v>
      </c>
      <c r="K426" t="str">
        <f>VLOOKUP($A426,[1]Table!$A$2:$N600,K$1,FALSE)</f>
        <v>mg/stuk</v>
      </c>
      <c r="L426">
        <f>VLOOKUP($A426,[1]Table!$A$2:$N600,L$1,FALSE)</f>
        <v>100</v>
      </c>
      <c r="M426" t="str">
        <f>VLOOKUP($A426,[1]Table!$A$2:$N600,M$1,FALSE)</f>
        <v>mg</v>
      </c>
      <c r="N426" t="str">
        <f>VLOOKUP($A426,[1]Table!$A$2:$N600,N$1,FALSE)</f>
        <v>Pijnbestrijding||Pijn, ontstekingsactiviteit en koorts bij Juveniele Idiopatische Arthritis (JIA)</v>
      </c>
      <c r="O426" t="str">
        <f>ConcatenateRange(AZ426:BU426,"||")</f>
        <v/>
      </c>
      <c r="AZ426" t="str">
        <f t="shared" si="176"/>
        <v/>
      </c>
      <c r="BA426" t="str">
        <f t="shared" si="177"/>
        <v/>
      </c>
      <c r="BB426" t="str">
        <f t="shared" si="178"/>
        <v/>
      </c>
      <c r="BC426" t="str">
        <f t="shared" si="179"/>
        <v/>
      </c>
      <c r="BD426" t="str">
        <f t="shared" si="180"/>
        <v/>
      </c>
      <c r="BE426" t="str">
        <f t="shared" si="181"/>
        <v/>
      </c>
      <c r="BF426" t="str">
        <f t="shared" si="182"/>
        <v/>
      </c>
      <c r="BG426" t="str">
        <f t="shared" si="183"/>
        <v/>
      </c>
      <c r="BH426" t="str">
        <f t="shared" si="184"/>
        <v/>
      </c>
      <c r="BI426" t="str">
        <f t="shared" si="185"/>
        <v/>
      </c>
      <c r="BJ426" t="str">
        <f t="shared" si="186"/>
        <v/>
      </c>
      <c r="BK426" t="str">
        <f t="shared" si="187"/>
        <v/>
      </c>
      <c r="BL426" t="str">
        <f t="shared" si="188"/>
        <v/>
      </c>
      <c r="BM426" t="str">
        <f t="shared" si="189"/>
        <v/>
      </c>
      <c r="BN426" t="str">
        <f t="shared" si="190"/>
        <v/>
      </c>
      <c r="BO426" t="str">
        <f t="shared" si="191"/>
        <v/>
      </c>
      <c r="BP426" t="str">
        <f t="shared" si="192"/>
        <v/>
      </c>
      <c r="BQ426" t="str">
        <f t="shared" si="193"/>
        <v/>
      </c>
      <c r="BR426" t="str">
        <f t="shared" si="194"/>
        <v/>
      </c>
      <c r="BS426" t="str">
        <f t="shared" si="195"/>
        <v/>
      </c>
      <c r="BT426" t="str">
        <f t="shared" si="196"/>
        <v/>
      </c>
      <c r="BU426" t="str">
        <f t="shared" si="197"/>
        <v/>
      </c>
    </row>
    <row r="427" spans="1:73">
      <c r="A427" s="1">
        <v>56766</v>
      </c>
      <c r="B427" t="str">
        <f>VLOOKUP($A427,[1]Table!$A$2:$N601,B$1,FALSE)</f>
        <v>M01AB05</v>
      </c>
      <c r="C427" t="str">
        <f>VLOOKUP($A427,[1]Table!$A$2:$N601,C$1,FALSE)</f>
        <v>ANTI-INFLAMMATOIRE EN ANTIREUMATISCHE MIDDELEN</v>
      </c>
      <c r="D427" t="str">
        <f>VLOOKUP($A427,[1]Table!$A$2:$N601,D$1,FALSE)</f>
        <v>NIET-STEROIDE ANTI-INFLAMMATOIRE EN ANTIREUMATISCHE MIDD.</v>
      </c>
      <c r="E427" t="str">
        <f>VLOOKUP($A427,[1]Table!$A$2:$N601,E$1,FALSE)</f>
        <v>DICLOFENAC</v>
      </c>
      <c r="F427" t="str">
        <f>VLOOKUP($A427,[1]Table!$A$2:$N601,F$1,FALSE)</f>
        <v>DICLOFENAC 12,5 MG ZETPIL</v>
      </c>
      <c r="G427" t="str">
        <f>VLOOKUP($A427,[1]Table!$A$2:$N601,G$1,FALSE)</f>
        <v>DICLOFENAC-NA 12,5MG ZETPIL</v>
      </c>
      <c r="H427" t="str">
        <f>VLOOKUP($A427,[1]Table!$A$2:$N601,H$1,FALSE)</f>
        <v>zetpil</v>
      </c>
      <c r="I427" t="str">
        <f>VLOOKUP($A427,[1]Table!$A$2:$N601,I$1,FALSE)</f>
        <v>rect</v>
      </c>
      <c r="J427">
        <f>VLOOKUP($A427,[1]Table!$A$2:$N601,J$1,FALSE)</f>
        <v>12.5</v>
      </c>
      <c r="K427" t="str">
        <f>VLOOKUP($A427,[1]Table!$A$2:$N601,K$1,FALSE)</f>
        <v>mg/stuk</v>
      </c>
      <c r="L427">
        <f>VLOOKUP($A427,[1]Table!$A$2:$N601,L$1,FALSE)</f>
        <v>12.5</v>
      </c>
      <c r="M427" t="str">
        <f>VLOOKUP($A427,[1]Table!$A$2:$N601,M$1,FALSE)</f>
        <v>mg</v>
      </c>
      <c r="N427" t="str">
        <f>VLOOKUP($A427,[1]Table!$A$2:$N601,N$1,FALSE)</f>
        <v>Pijnbestrijding||Pijn, ontstekingsactiviteit en koorts bij Juveniele Idiopatische Arthritis (JIA)</v>
      </c>
      <c r="O427" t="str">
        <f>ConcatenateRange(AZ427:BU427,"||")</f>
        <v/>
      </c>
      <c r="AZ427" t="str">
        <f t="shared" si="176"/>
        <v/>
      </c>
      <c r="BA427" t="str">
        <f t="shared" si="177"/>
        <v/>
      </c>
      <c r="BB427" t="str">
        <f t="shared" si="178"/>
        <v/>
      </c>
      <c r="BC427" t="str">
        <f t="shared" si="179"/>
        <v/>
      </c>
      <c r="BD427" t="str">
        <f t="shared" si="180"/>
        <v/>
      </c>
      <c r="BE427" t="str">
        <f t="shared" si="181"/>
        <v/>
      </c>
      <c r="BF427" t="str">
        <f t="shared" si="182"/>
        <v/>
      </c>
      <c r="BG427" t="str">
        <f t="shared" si="183"/>
        <v/>
      </c>
      <c r="BH427" t="str">
        <f t="shared" si="184"/>
        <v/>
      </c>
      <c r="BI427" t="str">
        <f t="shared" si="185"/>
        <v/>
      </c>
      <c r="BJ427" t="str">
        <f t="shared" si="186"/>
        <v/>
      </c>
      <c r="BK427" t="str">
        <f t="shared" si="187"/>
        <v/>
      </c>
      <c r="BL427" t="str">
        <f t="shared" si="188"/>
        <v/>
      </c>
      <c r="BM427" t="str">
        <f t="shared" si="189"/>
        <v/>
      </c>
      <c r="BN427" t="str">
        <f t="shared" si="190"/>
        <v/>
      </c>
      <c r="BO427" t="str">
        <f t="shared" si="191"/>
        <v/>
      </c>
      <c r="BP427" t="str">
        <f t="shared" si="192"/>
        <v/>
      </c>
      <c r="BQ427" t="str">
        <f t="shared" si="193"/>
        <v/>
      </c>
      <c r="BR427" t="str">
        <f t="shared" si="194"/>
        <v/>
      </c>
      <c r="BS427" t="str">
        <f t="shared" si="195"/>
        <v/>
      </c>
      <c r="BT427" t="str">
        <f t="shared" si="196"/>
        <v/>
      </c>
      <c r="BU427" t="str">
        <f t="shared" si="197"/>
        <v/>
      </c>
    </row>
    <row r="428" spans="1:73">
      <c r="A428" s="1">
        <v>40258</v>
      </c>
      <c r="B428" t="str">
        <f>VLOOKUP($A428,[1]Table!$A$2:$N602,B$1,FALSE)</f>
        <v>M01AB05</v>
      </c>
      <c r="C428" t="str">
        <f>VLOOKUP($A428,[1]Table!$A$2:$N602,C$1,FALSE)</f>
        <v>ANTI-INFLAMMATOIRE EN ANTIREUMATISCHE MIDDELEN</v>
      </c>
      <c r="D428" t="str">
        <f>VLOOKUP($A428,[1]Table!$A$2:$N602,D$1,FALSE)</f>
        <v>NIET-STEROIDE ANTI-INFLAMMATOIRE EN ANTIREUMATISCHE MIDD.</v>
      </c>
      <c r="E428" t="str">
        <f>VLOOKUP($A428,[1]Table!$A$2:$N602,E$1,FALSE)</f>
        <v>DICLOFENAC</v>
      </c>
      <c r="F428" t="str">
        <f>VLOOKUP($A428,[1]Table!$A$2:$N602,F$1,FALSE)</f>
        <v>DICLOFENAC 25 MG ZETPIL</v>
      </c>
      <c r="G428" t="str">
        <f>VLOOKUP($A428,[1]Table!$A$2:$N602,G$1,FALSE)</f>
        <v>DICLOFENAC-NA 25MG ZETPIL</v>
      </c>
      <c r="H428" t="str">
        <f>VLOOKUP($A428,[1]Table!$A$2:$N602,H$1,FALSE)</f>
        <v>zetpil</v>
      </c>
      <c r="I428" t="str">
        <f>VLOOKUP($A428,[1]Table!$A$2:$N602,I$1,FALSE)</f>
        <v>rect</v>
      </c>
      <c r="J428">
        <f>VLOOKUP($A428,[1]Table!$A$2:$N602,J$1,FALSE)</f>
        <v>25</v>
      </c>
      <c r="K428" t="str">
        <f>VLOOKUP($A428,[1]Table!$A$2:$N602,K$1,FALSE)</f>
        <v>mg/stuk</v>
      </c>
      <c r="L428">
        <f>VLOOKUP($A428,[1]Table!$A$2:$N602,L$1,FALSE)</f>
        <v>25</v>
      </c>
      <c r="M428" t="str">
        <f>VLOOKUP($A428,[1]Table!$A$2:$N602,M$1,FALSE)</f>
        <v>mg</v>
      </c>
      <c r="N428" t="str">
        <f>VLOOKUP($A428,[1]Table!$A$2:$N602,N$1,FALSE)</f>
        <v>Pijnbestrijding||Pijn, ontstekingsactiviteit en koorts bij Juveniele Idiopatische Arthritis (JIA)</v>
      </c>
      <c r="O428" t="str">
        <f>ConcatenateRange(AZ428:BU428,"||")</f>
        <v/>
      </c>
      <c r="AZ428" t="str">
        <f t="shared" si="176"/>
        <v/>
      </c>
      <c r="BA428" t="str">
        <f t="shared" si="177"/>
        <v/>
      </c>
      <c r="BB428" t="str">
        <f t="shared" si="178"/>
        <v/>
      </c>
      <c r="BC428" t="str">
        <f t="shared" si="179"/>
        <v/>
      </c>
      <c r="BD428" t="str">
        <f t="shared" si="180"/>
        <v/>
      </c>
      <c r="BE428" t="str">
        <f t="shared" si="181"/>
        <v/>
      </c>
      <c r="BF428" t="str">
        <f t="shared" si="182"/>
        <v/>
      </c>
      <c r="BG428" t="str">
        <f t="shared" si="183"/>
        <v/>
      </c>
      <c r="BH428" t="str">
        <f t="shared" si="184"/>
        <v/>
      </c>
      <c r="BI428" t="str">
        <f t="shared" si="185"/>
        <v/>
      </c>
      <c r="BJ428" t="str">
        <f t="shared" si="186"/>
        <v/>
      </c>
      <c r="BK428" t="str">
        <f t="shared" si="187"/>
        <v/>
      </c>
      <c r="BL428" t="str">
        <f t="shared" si="188"/>
        <v/>
      </c>
      <c r="BM428" t="str">
        <f t="shared" si="189"/>
        <v/>
      </c>
      <c r="BN428" t="str">
        <f t="shared" si="190"/>
        <v/>
      </c>
      <c r="BO428" t="str">
        <f t="shared" si="191"/>
        <v/>
      </c>
      <c r="BP428" t="str">
        <f t="shared" si="192"/>
        <v/>
      </c>
      <c r="BQ428" t="str">
        <f t="shared" si="193"/>
        <v/>
      </c>
      <c r="BR428" t="str">
        <f t="shared" si="194"/>
        <v/>
      </c>
      <c r="BS428" t="str">
        <f t="shared" si="195"/>
        <v/>
      </c>
      <c r="BT428" t="str">
        <f t="shared" si="196"/>
        <v/>
      </c>
      <c r="BU428" t="str">
        <f t="shared" si="197"/>
        <v/>
      </c>
    </row>
    <row r="429" spans="1:73">
      <c r="A429" s="1">
        <v>40266</v>
      </c>
      <c r="B429" t="str">
        <f>VLOOKUP($A429,[1]Table!$A$2:$N603,B$1,FALSE)</f>
        <v>M01AB05</v>
      </c>
      <c r="C429" t="str">
        <f>VLOOKUP($A429,[1]Table!$A$2:$N603,C$1,FALSE)</f>
        <v>ANTI-INFLAMMATOIRE EN ANTIREUMATISCHE MIDDELEN</v>
      </c>
      <c r="D429" t="str">
        <f>VLOOKUP($A429,[1]Table!$A$2:$N603,D$1,FALSE)</f>
        <v>NIET-STEROIDE ANTI-INFLAMMATOIRE EN ANTIREUMATISCHE MIDD.</v>
      </c>
      <c r="E429" t="str">
        <f>VLOOKUP($A429,[1]Table!$A$2:$N603,E$1,FALSE)</f>
        <v>DICLOFENAC</v>
      </c>
      <c r="F429" t="str">
        <f>VLOOKUP($A429,[1]Table!$A$2:$N603,F$1,FALSE)</f>
        <v>DICLOFENAC 50 MG ZETPIL</v>
      </c>
      <c r="G429" t="str">
        <f>VLOOKUP($A429,[1]Table!$A$2:$N603,G$1,FALSE)</f>
        <v>DICLOFENAC-NA 50MG ZETPIL</v>
      </c>
      <c r="H429" t="str">
        <f>VLOOKUP($A429,[1]Table!$A$2:$N603,H$1,FALSE)</f>
        <v>zetpil</v>
      </c>
      <c r="I429" t="str">
        <f>VLOOKUP($A429,[1]Table!$A$2:$N603,I$1,FALSE)</f>
        <v>rect</v>
      </c>
      <c r="J429">
        <f>VLOOKUP($A429,[1]Table!$A$2:$N603,J$1,FALSE)</f>
        <v>50</v>
      </c>
      <c r="K429" t="str">
        <f>VLOOKUP($A429,[1]Table!$A$2:$N603,K$1,FALSE)</f>
        <v>mg/stuk</v>
      </c>
      <c r="L429">
        <f>VLOOKUP($A429,[1]Table!$A$2:$N603,L$1,FALSE)</f>
        <v>50</v>
      </c>
      <c r="M429" t="str">
        <f>VLOOKUP($A429,[1]Table!$A$2:$N603,M$1,FALSE)</f>
        <v>mg</v>
      </c>
      <c r="N429" t="str">
        <f>VLOOKUP($A429,[1]Table!$A$2:$N603,N$1,FALSE)</f>
        <v>Pijnbestrijding||Pijn, ontstekingsactiviteit en koorts bij Juveniele Idiopatische Arthritis (JIA)</v>
      </c>
      <c r="O429" t="str">
        <f>ConcatenateRange(AZ429:BU429,"||")</f>
        <v/>
      </c>
      <c r="AZ429" t="str">
        <f t="shared" si="176"/>
        <v/>
      </c>
      <c r="BA429" t="str">
        <f t="shared" si="177"/>
        <v/>
      </c>
      <c r="BB429" t="str">
        <f t="shared" si="178"/>
        <v/>
      </c>
      <c r="BC429" t="str">
        <f t="shared" si="179"/>
        <v/>
      </c>
      <c r="BD429" t="str">
        <f t="shared" si="180"/>
        <v/>
      </c>
      <c r="BE429" t="str">
        <f t="shared" si="181"/>
        <v/>
      </c>
      <c r="BF429" t="str">
        <f t="shared" si="182"/>
        <v/>
      </c>
      <c r="BG429" t="str">
        <f t="shared" si="183"/>
        <v/>
      </c>
      <c r="BH429" t="str">
        <f t="shared" si="184"/>
        <v/>
      </c>
      <c r="BI429" t="str">
        <f t="shared" si="185"/>
        <v/>
      </c>
      <c r="BJ429" t="str">
        <f t="shared" si="186"/>
        <v/>
      </c>
      <c r="BK429" t="str">
        <f t="shared" si="187"/>
        <v/>
      </c>
      <c r="BL429" t="str">
        <f t="shared" si="188"/>
        <v/>
      </c>
      <c r="BM429" t="str">
        <f t="shared" si="189"/>
        <v/>
      </c>
      <c r="BN429" t="str">
        <f t="shared" si="190"/>
        <v/>
      </c>
      <c r="BO429" t="str">
        <f t="shared" si="191"/>
        <v/>
      </c>
      <c r="BP429" t="str">
        <f t="shared" si="192"/>
        <v/>
      </c>
      <c r="BQ429" t="str">
        <f t="shared" si="193"/>
        <v/>
      </c>
      <c r="BR429" t="str">
        <f t="shared" si="194"/>
        <v/>
      </c>
      <c r="BS429" t="str">
        <f t="shared" si="195"/>
        <v/>
      </c>
      <c r="BT429" t="str">
        <f t="shared" si="196"/>
        <v/>
      </c>
      <c r="BU429" t="str">
        <f t="shared" si="197"/>
        <v/>
      </c>
    </row>
    <row r="430" spans="1:73">
      <c r="A430" s="1">
        <v>22292</v>
      </c>
      <c r="B430" t="str">
        <f>VLOOKUP($A430,[1]Table!$A$2:$N604,B$1,FALSE)</f>
        <v>M01AB05</v>
      </c>
      <c r="C430" t="str">
        <f>VLOOKUP($A430,[1]Table!$A$2:$N604,C$1,FALSE)</f>
        <v>ANTI-INFLAMMATOIRE EN ANTIREUMATISCHE MIDDELEN</v>
      </c>
      <c r="D430" t="str">
        <f>VLOOKUP($A430,[1]Table!$A$2:$N604,D$1,FALSE)</f>
        <v>NIET-STEROIDE ANTI-INFLAMMATOIRE EN ANTIREUMATISCHE MIDD.</v>
      </c>
      <c r="E430" t="str">
        <f>VLOOKUP($A430,[1]Table!$A$2:$N604,E$1,FALSE)</f>
        <v>DICLOFENAC</v>
      </c>
      <c r="F430" t="str">
        <f>VLOOKUP($A430,[1]Table!$A$2:$N604,F$1,FALSE)</f>
        <v>DICLOFENAC100 MG ZETPIL</v>
      </c>
      <c r="G430" t="str">
        <f>VLOOKUP($A430,[1]Table!$A$2:$N604,G$1,FALSE)</f>
        <v>DICLOFENAC-NA 100MG ZETPIL</v>
      </c>
      <c r="H430" t="str">
        <f>VLOOKUP($A430,[1]Table!$A$2:$N604,H$1,FALSE)</f>
        <v>zetpil</v>
      </c>
      <c r="I430" t="str">
        <f>VLOOKUP($A430,[1]Table!$A$2:$N604,I$1,FALSE)</f>
        <v>rect</v>
      </c>
      <c r="J430">
        <f>VLOOKUP($A430,[1]Table!$A$2:$N604,J$1,FALSE)</f>
        <v>100</v>
      </c>
      <c r="K430" t="str">
        <f>VLOOKUP($A430,[1]Table!$A$2:$N604,K$1,FALSE)</f>
        <v>mg/stuk</v>
      </c>
      <c r="L430">
        <f>VLOOKUP($A430,[1]Table!$A$2:$N604,L$1,FALSE)</f>
        <v>100</v>
      </c>
      <c r="M430" t="str">
        <f>VLOOKUP($A430,[1]Table!$A$2:$N604,M$1,FALSE)</f>
        <v>mg</v>
      </c>
      <c r="N430" t="str">
        <f>VLOOKUP($A430,[1]Table!$A$2:$N604,N$1,FALSE)</f>
        <v>Pijnbestrijding||Pijn, ontstekingsactiviteit en koorts bij Juveniele Idiopatische Arthritis (JIA)</v>
      </c>
      <c r="O430" t="str">
        <f>ConcatenateRange(AZ430:BU430,"||")</f>
        <v/>
      </c>
      <c r="AZ430" t="str">
        <f t="shared" si="176"/>
        <v/>
      </c>
      <c r="BA430" t="str">
        <f t="shared" si="177"/>
        <v/>
      </c>
      <c r="BB430" t="str">
        <f t="shared" si="178"/>
        <v/>
      </c>
      <c r="BC430" t="str">
        <f t="shared" si="179"/>
        <v/>
      </c>
      <c r="BD430" t="str">
        <f t="shared" si="180"/>
        <v/>
      </c>
      <c r="BE430" t="str">
        <f t="shared" si="181"/>
        <v/>
      </c>
      <c r="BF430" t="str">
        <f t="shared" si="182"/>
        <v/>
      </c>
      <c r="BG430" t="str">
        <f t="shared" si="183"/>
        <v/>
      </c>
      <c r="BH430" t="str">
        <f t="shared" si="184"/>
        <v/>
      </c>
      <c r="BI430" t="str">
        <f t="shared" si="185"/>
        <v/>
      </c>
      <c r="BJ430" t="str">
        <f t="shared" si="186"/>
        <v/>
      </c>
      <c r="BK430" t="str">
        <f t="shared" si="187"/>
        <v/>
      </c>
      <c r="BL430" t="str">
        <f t="shared" si="188"/>
        <v/>
      </c>
      <c r="BM430" t="str">
        <f t="shared" si="189"/>
        <v/>
      </c>
      <c r="BN430" t="str">
        <f t="shared" si="190"/>
        <v/>
      </c>
      <c r="BO430" t="str">
        <f t="shared" si="191"/>
        <v/>
      </c>
      <c r="BP430" t="str">
        <f t="shared" si="192"/>
        <v/>
      </c>
      <c r="BQ430" t="str">
        <f t="shared" si="193"/>
        <v/>
      </c>
      <c r="BR430" t="str">
        <f t="shared" si="194"/>
        <v/>
      </c>
      <c r="BS430" t="str">
        <f t="shared" si="195"/>
        <v/>
      </c>
      <c r="BT430" t="str">
        <f t="shared" si="196"/>
        <v/>
      </c>
      <c r="BU430" t="str">
        <f t="shared" si="197"/>
        <v/>
      </c>
    </row>
    <row r="431" spans="1:73">
      <c r="A431" s="1">
        <v>111937</v>
      </c>
      <c r="B431" t="str">
        <f>VLOOKUP($A431,[1]Table!$A$2:$N605,B$1,FALSE)</f>
        <v>J05AF02</v>
      </c>
      <c r="C431" t="str">
        <f>VLOOKUP($A431,[1]Table!$A$2:$N605,C$1,FALSE)</f>
        <v>ANTIVIRALE MIDDELEN VOOR SYSTEMISCH GEBRUIK</v>
      </c>
      <c r="D431" t="str">
        <f>VLOOKUP($A431,[1]Table!$A$2:$N605,D$1,FALSE)</f>
        <v>DIRECT WERKENDE ANTIVIRALE MIDDELEN</v>
      </c>
      <c r="E431" t="str">
        <f>VLOOKUP($A431,[1]Table!$A$2:$N605,E$1,FALSE)</f>
        <v>DIDANOSINE</v>
      </c>
      <c r="F431" t="str">
        <f>VLOOKUP($A431,[1]Table!$A$2:$N605,F$1,FALSE)</f>
        <v>VIDEX EC 125 MG CAPSULE MSR</v>
      </c>
      <c r="G431" t="str">
        <f>VLOOKUP($A431,[1]Table!$A$2:$N605,G$1,FALSE)</f>
        <v>DIDANOSINE 125MG CAPS MSR</v>
      </c>
      <c r="H431" t="str">
        <f>VLOOKUP($A431,[1]Table!$A$2:$N605,H$1,FALSE)</f>
        <v>maagsapresistente capsule</v>
      </c>
      <c r="I431" t="str">
        <f>VLOOKUP($A431,[1]Table!$A$2:$N605,I$1,FALSE)</f>
        <v>or</v>
      </c>
      <c r="J431">
        <f>VLOOKUP($A431,[1]Table!$A$2:$N605,J$1,FALSE)</f>
        <v>125</v>
      </c>
      <c r="K431" t="str">
        <f>VLOOKUP($A431,[1]Table!$A$2:$N605,K$1,FALSE)</f>
        <v>mg/stuk</v>
      </c>
      <c r="L431">
        <f>VLOOKUP($A431,[1]Table!$A$2:$N605,L$1,FALSE)</f>
        <v>125</v>
      </c>
      <c r="M431" t="str">
        <f>VLOOKUP($A431,[1]Table!$A$2:$N605,M$1,FALSE)</f>
        <v>mg</v>
      </c>
      <c r="N431" t="str">
        <f>VLOOKUP($A431,[1]Table!$A$2:$N605,N$1,FALSE)</f>
        <v>HIV</v>
      </c>
      <c r="O431" t="str">
        <f>ConcatenateRange(AZ431:BU431,"||")</f>
        <v/>
      </c>
      <c r="AZ431" t="str">
        <f t="shared" si="176"/>
        <v/>
      </c>
      <c r="BA431" t="str">
        <f t="shared" si="177"/>
        <v/>
      </c>
      <c r="BB431" t="str">
        <f t="shared" si="178"/>
        <v/>
      </c>
      <c r="BC431" t="str">
        <f t="shared" si="179"/>
        <v/>
      </c>
      <c r="BD431" t="str">
        <f t="shared" si="180"/>
        <v/>
      </c>
      <c r="BE431" t="str">
        <f t="shared" si="181"/>
        <v/>
      </c>
      <c r="BF431" t="str">
        <f t="shared" si="182"/>
        <v/>
      </c>
      <c r="BG431" t="str">
        <f t="shared" si="183"/>
        <v/>
      </c>
      <c r="BH431" t="str">
        <f t="shared" si="184"/>
        <v/>
      </c>
      <c r="BI431" t="str">
        <f t="shared" si="185"/>
        <v/>
      </c>
      <c r="BJ431" t="str">
        <f t="shared" si="186"/>
        <v/>
      </c>
      <c r="BK431" t="str">
        <f t="shared" si="187"/>
        <v/>
      </c>
      <c r="BL431" t="str">
        <f t="shared" si="188"/>
        <v/>
      </c>
      <c r="BM431" t="str">
        <f t="shared" si="189"/>
        <v/>
      </c>
      <c r="BN431" t="str">
        <f t="shared" si="190"/>
        <v/>
      </c>
      <c r="BO431" t="str">
        <f t="shared" si="191"/>
        <v/>
      </c>
      <c r="BP431" t="str">
        <f t="shared" si="192"/>
        <v/>
      </c>
      <c r="BQ431" t="str">
        <f t="shared" si="193"/>
        <v/>
      </c>
      <c r="BR431" t="str">
        <f t="shared" si="194"/>
        <v/>
      </c>
      <c r="BS431" t="str">
        <f t="shared" si="195"/>
        <v/>
      </c>
      <c r="BT431" t="str">
        <f t="shared" si="196"/>
        <v/>
      </c>
      <c r="BU431" t="str">
        <f t="shared" si="197"/>
        <v/>
      </c>
    </row>
    <row r="432" spans="1:73">
      <c r="A432" s="1">
        <v>111910</v>
      </c>
      <c r="B432" t="str">
        <f>VLOOKUP($A432,[1]Table!$A$2:$N606,B$1,FALSE)</f>
        <v>J05AF02</v>
      </c>
      <c r="C432" t="str">
        <f>VLOOKUP($A432,[1]Table!$A$2:$N606,C$1,FALSE)</f>
        <v>ANTIVIRALE MIDDELEN VOOR SYSTEMISCH GEBRUIK</v>
      </c>
      <c r="D432" t="str">
        <f>VLOOKUP($A432,[1]Table!$A$2:$N606,D$1,FALSE)</f>
        <v>DIRECT WERKENDE ANTIVIRALE MIDDELEN</v>
      </c>
      <c r="E432" t="str">
        <f>VLOOKUP($A432,[1]Table!$A$2:$N606,E$1,FALSE)</f>
        <v>DIDANOSINE</v>
      </c>
      <c r="F432" t="str">
        <f>VLOOKUP($A432,[1]Table!$A$2:$N606,F$1,FALSE)</f>
        <v>VIDEX EC 250 MG CAPSULE MSR</v>
      </c>
      <c r="G432" t="str">
        <f>VLOOKUP($A432,[1]Table!$A$2:$N606,G$1,FALSE)</f>
        <v>DIDANOSINE 250MG CAPS MSR</v>
      </c>
      <c r="H432" t="str">
        <f>VLOOKUP($A432,[1]Table!$A$2:$N606,H$1,FALSE)</f>
        <v>maagsapresistente capsule</v>
      </c>
      <c r="I432" t="str">
        <f>VLOOKUP($A432,[1]Table!$A$2:$N606,I$1,FALSE)</f>
        <v>or</v>
      </c>
      <c r="J432">
        <f>VLOOKUP($A432,[1]Table!$A$2:$N606,J$1,FALSE)</f>
        <v>250</v>
      </c>
      <c r="K432" t="str">
        <f>VLOOKUP($A432,[1]Table!$A$2:$N606,K$1,FALSE)</f>
        <v>mg/stuk</v>
      </c>
      <c r="L432">
        <f>VLOOKUP($A432,[1]Table!$A$2:$N606,L$1,FALSE)</f>
        <v>250</v>
      </c>
      <c r="M432" t="str">
        <f>VLOOKUP($A432,[1]Table!$A$2:$N606,M$1,FALSE)</f>
        <v>mg</v>
      </c>
      <c r="N432" t="str">
        <f>VLOOKUP($A432,[1]Table!$A$2:$N606,N$1,FALSE)</f>
        <v>HIV</v>
      </c>
      <c r="O432" t="str">
        <f>ConcatenateRange(AZ432:BU432,"||")</f>
        <v/>
      </c>
      <c r="AZ432" t="str">
        <f t="shared" si="176"/>
        <v/>
      </c>
      <c r="BA432" t="str">
        <f t="shared" si="177"/>
        <v/>
      </c>
      <c r="BB432" t="str">
        <f t="shared" si="178"/>
        <v/>
      </c>
      <c r="BC432" t="str">
        <f t="shared" si="179"/>
        <v/>
      </c>
      <c r="BD432" t="str">
        <f t="shared" si="180"/>
        <v/>
      </c>
      <c r="BE432" t="str">
        <f t="shared" si="181"/>
        <v/>
      </c>
      <c r="BF432" t="str">
        <f t="shared" si="182"/>
        <v/>
      </c>
      <c r="BG432" t="str">
        <f t="shared" si="183"/>
        <v/>
      </c>
      <c r="BH432" t="str">
        <f t="shared" si="184"/>
        <v/>
      </c>
      <c r="BI432" t="str">
        <f t="shared" si="185"/>
        <v/>
      </c>
      <c r="BJ432" t="str">
        <f t="shared" si="186"/>
        <v/>
      </c>
      <c r="BK432" t="str">
        <f t="shared" si="187"/>
        <v/>
      </c>
      <c r="BL432" t="str">
        <f t="shared" si="188"/>
        <v/>
      </c>
      <c r="BM432" t="str">
        <f t="shared" si="189"/>
        <v/>
      </c>
      <c r="BN432" t="str">
        <f t="shared" si="190"/>
        <v/>
      </c>
      <c r="BO432" t="str">
        <f t="shared" si="191"/>
        <v/>
      </c>
      <c r="BP432" t="str">
        <f t="shared" si="192"/>
        <v/>
      </c>
      <c r="BQ432" t="str">
        <f t="shared" si="193"/>
        <v/>
      </c>
      <c r="BR432" t="str">
        <f t="shared" si="194"/>
        <v/>
      </c>
      <c r="BS432" t="str">
        <f t="shared" si="195"/>
        <v/>
      </c>
      <c r="BT432" t="str">
        <f t="shared" si="196"/>
        <v/>
      </c>
      <c r="BU432" t="str">
        <f t="shared" si="197"/>
        <v/>
      </c>
    </row>
    <row r="433" spans="1:73">
      <c r="A433" s="1">
        <v>111902</v>
      </c>
      <c r="B433" t="str">
        <f>VLOOKUP($A433,[1]Table!$A$2:$N607,B$1,FALSE)</f>
        <v>J05AF02</v>
      </c>
      <c r="C433" t="str">
        <f>VLOOKUP($A433,[1]Table!$A$2:$N607,C$1,FALSE)</f>
        <v>ANTIVIRALE MIDDELEN VOOR SYSTEMISCH GEBRUIK</v>
      </c>
      <c r="D433" t="str">
        <f>VLOOKUP($A433,[1]Table!$A$2:$N607,D$1,FALSE)</f>
        <v>DIRECT WERKENDE ANTIVIRALE MIDDELEN</v>
      </c>
      <c r="E433" t="str">
        <f>VLOOKUP($A433,[1]Table!$A$2:$N607,E$1,FALSE)</f>
        <v>DIDANOSINE</v>
      </c>
      <c r="F433" t="str">
        <f>VLOOKUP($A433,[1]Table!$A$2:$N607,F$1,FALSE)</f>
        <v>VIDEX EC 400 MG CAPSULE MSR</v>
      </c>
      <c r="G433" t="str">
        <f>VLOOKUP($A433,[1]Table!$A$2:$N607,G$1,FALSE)</f>
        <v>DIDANOSINE 400MG CAPS MSR</v>
      </c>
      <c r="H433" t="str">
        <f>VLOOKUP($A433,[1]Table!$A$2:$N607,H$1,FALSE)</f>
        <v>maagsapresistente capsule</v>
      </c>
      <c r="I433" t="str">
        <f>VLOOKUP($A433,[1]Table!$A$2:$N607,I$1,FALSE)</f>
        <v>or</v>
      </c>
      <c r="J433">
        <f>VLOOKUP($A433,[1]Table!$A$2:$N607,J$1,FALSE)</f>
        <v>400</v>
      </c>
      <c r="K433" t="str">
        <f>VLOOKUP($A433,[1]Table!$A$2:$N607,K$1,FALSE)</f>
        <v>mg/stuk</v>
      </c>
      <c r="L433">
        <f>VLOOKUP($A433,[1]Table!$A$2:$N607,L$1,FALSE)</f>
        <v>400</v>
      </c>
      <c r="M433" t="str">
        <f>VLOOKUP($A433,[1]Table!$A$2:$N607,M$1,FALSE)</f>
        <v>mg</v>
      </c>
      <c r="N433" t="str">
        <f>VLOOKUP($A433,[1]Table!$A$2:$N607,N$1,FALSE)</f>
        <v>HIV</v>
      </c>
      <c r="O433" t="str">
        <f>ConcatenateRange(AZ433:BU433,"||")</f>
        <v/>
      </c>
      <c r="AZ433" t="str">
        <f t="shared" si="176"/>
        <v/>
      </c>
      <c r="BA433" t="str">
        <f t="shared" si="177"/>
        <v/>
      </c>
      <c r="BB433" t="str">
        <f t="shared" si="178"/>
        <v/>
      </c>
      <c r="BC433" t="str">
        <f t="shared" si="179"/>
        <v/>
      </c>
      <c r="BD433" t="str">
        <f t="shared" si="180"/>
        <v/>
      </c>
      <c r="BE433" t="str">
        <f t="shared" si="181"/>
        <v/>
      </c>
      <c r="BF433" t="str">
        <f t="shared" si="182"/>
        <v/>
      </c>
      <c r="BG433" t="str">
        <f t="shared" si="183"/>
        <v/>
      </c>
      <c r="BH433" t="str">
        <f t="shared" si="184"/>
        <v/>
      </c>
      <c r="BI433" t="str">
        <f t="shared" si="185"/>
        <v/>
      </c>
      <c r="BJ433" t="str">
        <f t="shared" si="186"/>
        <v/>
      </c>
      <c r="BK433" t="str">
        <f t="shared" si="187"/>
        <v/>
      </c>
      <c r="BL433" t="str">
        <f t="shared" si="188"/>
        <v/>
      </c>
      <c r="BM433" t="str">
        <f t="shared" si="189"/>
        <v/>
      </c>
      <c r="BN433" t="str">
        <f t="shared" si="190"/>
        <v/>
      </c>
      <c r="BO433" t="str">
        <f t="shared" si="191"/>
        <v/>
      </c>
      <c r="BP433" t="str">
        <f t="shared" si="192"/>
        <v/>
      </c>
      <c r="BQ433" t="str">
        <f t="shared" si="193"/>
        <v/>
      </c>
      <c r="BR433" t="str">
        <f t="shared" si="194"/>
        <v/>
      </c>
      <c r="BS433" t="str">
        <f t="shared" si="195"/>
        <v/>
      </c>
      <c r="BT433" t="str">
        <f t="shared" si="196"/>
        <v/>
      </c>
      <c r="BU433" t="str">
        <f t="shared" si="197"/>
        <v/>
      </c>
    </row>
    <row r="434" spans="1:73">
      <c r="A434" s="1">
        <v>16764</v>
      </c>
      <c r="B434" t="str">
        <f>VLOOKUP($A434,[1]Table!$A$2:$N613,B$1,FALSE)</f>
        <v>C01AA05</v>
      </c>
      <c r="C434" t="str">
        <f>VLOOKUP($A434,[1]Table!$A$2:$N613,C$1,FALSE)</f>
        <v>CARDIACA</v>
      </c>
      <c r="D434" t="str">
        <f>VLOOKUP($A434,[1]Table!$A$2:$N613,D$1,FALSE)</f>
        <v>HARTGLYCOSIDEN</v>
      </c>
      <c r="E434" t="str">
        <f>VLOOKUP($A434,[1]Table!$A$2:$N613,E$1,FALSE)</f>
        <v>DIGOXINE</v>
      </c>
      <c r="F434" t="str">
        <f>VLOOKUP($A434,[1]Table!$A$2:$N613,F$1,FALSE)</f>
        <v>LANOXIN PG 50 MICROGRAM/ML ELIXIR 60ML</v>
      </c>
      <c r="G434" t="str">
        <f>VLOOKUP($A434,[1]Table!$A$2:$N613,G$1,FALSE)</f>
        <v>DIGOXINE 0,05MG/ML DRANK</v>
      </c>
      <c r="H434" t="str">
        <f>VLOOKUP($A434,[1]Table!$A$2:$N613,H$1,FALSE)</f>
        <v>drank</v>
      </c>
      <c r="I434" t="str">
        <f>VLOOKUP($A434,[1]Table!$A$2:$N613,I$1,FALSE)</f>
        <v>or</v>
      </c>
      <c r="J434">
        <f>VLOOKUP($A434,[1]Table!$A$2:$N613,J$1,FALSE)</f>
        <v>0.05</v>
      </c>
      <c r="K434" t="str">
        <f>VLOOKUP($A434,[1]Table!$A$2:$N613,K$1,FALSE)</f>
        <v>mg/ml</v>
      </c>
      <c r="L434">
        <f>VLOOKUP($A434,[1]Table!$A$2:$N613,L$1,FALSE)</f>
        <v>0.05</v>
      </c>
      <c r="M434" t="str">
        <f>VLOOKUP($A434,[1]Table!$A$2:$N613,M$1,FALSE)</f>
        <v>mg</v>
      </c>
      <c r="N434" t="str">
        <f>VLOOKUP($A434,[1]Table!$A$2:$N613,N$1,FALSE)</f>
        <v>Supraventriculaire ritmestoornissen en decompensatio cordis</v>
      </c>
      <c r="O434" t="str">
        <f>ConcatenateRange(AZ434:BU434,"||")</f>
        <v/>
      </c>
      <c r="AZ434" t="str">
        <f t="shared" si="176"/>
        <v/>
      </c>
      <c r="BA434" t="str">
        <f t="shared" si="177"/>
        <v/>
      </c>
      <c r="BB434" t="str">
        <f t="shared" si="178"/>
        <v/>
      </c>
      <c r="BC434" t="str">
        <f t="shared" si="179"/>
        <v/>
      </c>
      <c r="BD434" t="str">
        <f t="shared" si="180"/>
        <v/>
      </c>
      <c r="BE434" t="str">
        <f t="shared" si="181"/>
        <v/>
      </c>
      <c r="BF434" t="str">
        <f t="shared" si="182"/>
        <v/>
      </c>
      <c r="BG434" t="str">
        <f t="shared" si="183"/>
        <v/>
      </c>
      <c r="BH434" t="str">
        <f t="shared" si="184"/>
        <v/>
      </c>
      <c r="BI434" t="str">
        <f t="shared" si="185"/>
        <v/>
      </c>
      <c r="BJ434" t="str">
        <f t="shared" si="186"/>
        <v/>
      </c>
      <c r="BK434" t="str">
        <f t="shared" si="187"/>
        <v/>
      </c>
      <c r="BL434" t="str">
        <f t="shared" si="188"/>
        <v/>
      </c>
      <c r="BM434" t="str">
        <f t="shared" si="189"/>
        <v/>
      </c>
      <c r="BN434" t="str">
        <f t="shared" si="190"/>
        <v/>
      </c>
      <c r="BO434" t="str">
        <f t="shared" si="191"/>
        <v/>
      </c>
      <c r="BP434" t="str">
        <f t="shared" si="192"/>
        <v/>
      </c>
      <c r="BQ434" t="str">
        <f t="shared" si="193"/>
        <v/>
      </c>
      <c r="BR434" t="str">
        <f t="shared" si="194"/>
        <v/>
      </c>
      <c r="BS434" t="str">
        <f t="shared" si="195"/>
        <v/>
      </c>
      <c r="BT434" t="str">
        <f t="shared" si="196"/>
        <v/>
      </c>
      <c r="BU434" t="str">
        <f t="shared" si="197"/>
        <v/>
      </c>
    </row>
    <row r="435" spans="1:73">
      <c r="A435" s="1">
        <v>6238</v>
      </c>
      <c r="B435" t="str">
        <f>VLOOKUP($A435,[1]Table!$A$2:$N614,B$1,FALSE)</f>
        <v>C01AA05</v>
      </c>
      <c r="C435" t="str">
        <f>VLOOKUP($A435,[1]Table!$A$2:$N614,C$1,FALSE)</f>
        <v>CARDIACA</v>
      </c>
      <c r="D435" t="str">
        <f>VLOOKUP($A435,[1]Table!$A$2:$N614,D$1,FALSE)</f>
        <v>HARTGLYCOSIDEN</v>
      </c>
      <c r="E435" t="str">
        <f>VLOOKUP($A435,[1]Table!$A$2:$N614,E$1,FALSE)</f>
        <v>DIGOXINE</v>
      </c>
      <c r="F435" t="str">
        <f>VLOOKUP($A435,[1]Table!$A$2:$N614,F$1,FALSE)</f>
        <v>LANOXIN 0,25 MG/ML AMP 2 ML</v>
      </c>
      <c r="G435" t="str">
        <f>VLOOKUP($A435,[1]Table!$A$2:$N614,G$1,FALSE)</f>
        <v>DIGOXINE 0,25MG/ML INJVLST</v>
      </c>
      <c r="H435" t="str">
        <f>VLOOKUP($A435,[1]Table!$A$2:$N614,H$1,FALSE)</f>
        <v>injectievloeistof</v>
      </c>
      <c r="I435" t="str">
        <f>VLOOKUP($A435,[1]Table!$A$2:$N614,I$1,FALSE)</f>
        <v>iv</v>
      </c>
      <c r="J435">
        <f>VLOOKUP($A435,[1]Table!$A$2:$N614,J$1,FALSE)</f>
        <v>0.25</v>
      </c>
      <c r="K435" t="str">
        <f>VLOOKUP($A435,[1]Table!$A$2:$N614,K$1,FALSE)</f>
        <v>mg/ml</v>
      </c>
      <c r="L435">
        <f>VLOOKUP($A435,[1]Table!$A$2:$N614,L$1,FALSE)</f>
        <v>0.25</v>
      </c>
      <c r="M435" t="str">
        <f>VLOOKUP($A435,[1]Table!$A$2:$N614,M$1,FALSE)</f>
        <v>mg</v>
      </c>
      <c r="N435" t="str">
        <f>VLOOKUP($A435,[1]Table!$A$2:$N614,N$1,FALSE)</f>
        <v>Supraventriculaire ritmestoornissen en decompensatio cordis</v>
      </c>
      <c r="O435" t="str">
        <f>ConcatenateRange(AZ435:BU435,"||")</f>
        <v/>
      </c>
      <c r="AZ435" t="str">
        <f t="shared" si="176"/>
        <v/>
      </c>
      <c r="BA435" t="str">
        <f t="shared" si="177"/>
        <v/>
      </c>
      <c r="BB435" t="str">
        <f t="shared" si="178"/>
        <v/>
      </c>
      <c r="BC435" t="str">
        <f t="shared" si="179"/>
        <v/>
      </c>
      <c r="BD435" t="str">
        <f t="shared" si="180"/>
        <v/>
      </c>
      <c r="BE435" t="str">
        <f t="shared" si="181"/>
        <v/>
      </c>
      <c r="BF435" t="str">
        <f t="shared" si="182"/>
        <v/>
      </c>
      <c r="BG435" t="str">
        <f t="shared" si="183"/>
        <v/>
      </c>
      <c r="BH435" t="str">
        <f t="shared" si="184"/>
        <v/>
      </c>
      <c r="BI435" t="str">
        <f t="shared" si="185"/>
        <v/>
      </c>
      <c r="BJ435" t="str">
        <f t="shared" si="186"/>
        <v/>
      </c>
      <c r="BK435" t="str">
        <f t="shared" si="187"/>
        <v/>
      </c>
      <c r="BL435" t="str">
        <f t="shared" si="188"/>
        <v/>
      </c>
      <c r="BM435" t="str">
        <f t="shared" si="189"/>
        <v/>
      </c>
      <c r="BN435" t="str">
        <f t="shared" si="190"/>
        <v/>
      </c>
      <c r="BO435" t="str">
        <f t="shared" si="191"/>
        <v/>
      </c>
      <c r="BP435" t="str">
        <f t="shared" si="192"/>
        <v/>
      </c>
      <c r="BQ435" t="str">
        <f t="shared" si="193"/>
        <v/>
      </c>
      <c r="BR435" t="str">
        <f t="shared" si="194"/>
        <v/>
      </c>
      <c r="BS435" t="str">
        <f t="shared" si="195"/>
        <v/>
      </c>
      <c r="BT435" t="str">
        <f t="shared" si="196"/>
        <v/>
      </c>
      <c r="BU435" t="str">
        <f t="shared" si="197"/>
        <v/>
      </c>
    </row>
    <row r="436" spans="1:73">
      <c r="A436" s="1">
        <v>38857</v>
      </c>
      <c r="B436" t="str">
        <f>VLOOKUP($A436,[1]Table!$A$2:$N615,B$1,FALSE)</f>
        <v>C01AA05</v>
      </c>
      <c r="C436" t="str">
        <f>VLOOKUP($A436,[1]Table!$A$2:$N615,C$1,FALSE)</f>
        <v>CARDIACA</v>
      </c>
      <c r="D436" t="str">
        <f>VLOOKUP($A436,[1]Table!$A$2:$N615,D$1,FALSE)</f>
        <v>HARTGLYCOSIDEN</v>
      </c>
      <c r="E436" t="str">
        <f>VLOOKUP($A436,[1]Table!$A$2:$N615,E$1,FALSE)</f>
        <v>DIGOXINE</v>
      </c>
      <c r="F436" t="str">
        <f>VLOOKUP($A436,[1]Table!$A$2:$N615,F$1,FALSE)</f>
        <v>LANOXIN 125 MICROGRAM TABLET</v>
      </c>
      <c r="G436" t="str">
        <f>VLOOKUP($A436,[1]Table!$A$2:$N615,G$1,FALSE)</f>
        <v>DIGOXINE 0,125MG TABLET</v>
      </c>
      <c r="H436" t="str">
        <f>VLOOKUP($A436,[1]Table!$A$2:$N615,H$1,FALSE)</f>
        <v>tablet</v>
      </c>
      <c r="I436" t="str">
        <f>VLOOKUP($A436,[1]Table!$A$2:$N615,I$1,FALSE)</f>
        <v>or</v>
      </c>
      <c r="J436">
        <f>VLOOKUP($A436,[1]Table!$A$2:$N615,J$1,FALSE)</f>
        <v>0.125</v>
      </c>
      <c r="K436" t="str">
        <f>VLOOKUP($A436,[1]Table!$A$2:$N615,K$1,FALSE)</f>
        <v>mg/stuk</v>
      </c>
      <c r="L436">
        <f>VLOOKUP($A436,[1]Table!$A$2:$N615,L$1,FALSE)</f>
        <v>0.125</v>
      </c>
      <c r="M436" t="str">
        <f>VLOOKUP($A436,[1]Table!$A$2:$N615,M$1,FALSE)</f>
        <v>mg</v>
      </c>
      <c r="N436" t="str">
        <f>VLOOKUP($A436,[1]Table!$A$2:$N615,N$1,FALSE)</f>
        <v>Supraventriculaire ritmestoornissen en decompensatio cordis</v>
      </c>
      <c r="O436" t="str">
        <f>ConcatenateRange(AZ436:BU436,"||")</f>
        <v/>
      </c>
      <c r="AZ436" t="str">
        <f t="shared" si="176"/>
        <v/>
      </c>
      <c r="BA436" t="str">
        <f t="shared" si="177"/>
        <v/>
      </c>
      <c r="BB436" t="str">
        <f t="shared" si="178"/>
        <v/>
      </c>
      <c r="BC436" t="str">
        <f t="shared" si="179"/>
        <v/>
      </c>
      <c r="BD436" t="str">
        <f t="shared" si="180"/>
        <v/>
      </c>
      <c r="BE436" t="str">
        <f t="shared" si="181"/>
        <v/>
      </c>
      <c r="BF436" t="str">
        <f t="shared" si="182"/>
        <v/>
      </c>
      <c r="BG436" t="str">
        <f t="shared" si="183"/>
        <v/>
      </c>
      <c r="BH436" t="str">
        <f t="shared" si="184"/>
        <v/>
      </c>
      <c r="BI436" t="str">
        <f t="shared" si="185"/>
        <v/>
      </c>
      <c r="BJ436" t="str">
        <f t="shared" si="186"/>
        <v/>
      </c>
      <c r="BK436" t="str">
        <f t="shared" si="187"/>
        <v/>
      </c>
      <c r="BL436" t="str">
        <f t="shared" si="188"/>
        <v/>
      </c>
      <c r="BM436" t="str">
        <f t="shared" si="189"/>
        <v/>
      </c>
      <c r="BN436" t="str">
        <f t="shared" si="190"/>
        <v/>
      </c>
      <c r="BO436" t="str">
        <f t="shared" si="191"/>
        <v/>
      </c>
      <c r="BP436" t="str">
        <f t="shared" si="192"/>
        <v/>
      </c>
      <c r="BQ436" t="str">
        <f t="shared" si="193"/>
        <v/>
      </c>
      <c r="BR436" t="str">
        <f t="shared" si="194"/>
        <v/>
      </c>
      <c r="BS436" t="str">
        <f t="shared" si="195"/>
        <v/>
      </c>
      <c r="BT436" t="str">
        <f t="shared" si="196"/>
        <v/>
      </c>
      <c r="BU436" t="str">
        <f t="shared" si="197"/>
        <v/>
      </c>
    </row>
    <row r="437" spans="1:73">
      <c r="A437" s="1">
        <v>16721</v>
      </c>
      <c r="B437" t="str">
        <f>VLOOKUP($A437,[1]Table!$A$2:$N616,B$1,FALSE)</f>
        <v>C01AA05</v>
      </c>
      <c r="C437" t="str">
        <f>VLOOKUP($A437,[1]Table!$A$2:$N616,C$1,FALSE)</f>
        <v>CARDIACA</v>
      </c>
      <c r="D437" t="str">
        <f>VLOOKUP($A437,[1]Table!$A$2:$N616,D$1,FALSE)</f>
        <v>HARTGLYCOSIDEN</v>
      </c>
      <c r="E437" t="str">
        <f>VLOOKUP($A437,[1]Table!$A$2:$N616,E$1,FALSE)</f>
        <v>DIGOXINE</v>
      </c>
      <c r="F437" t="str">
        <f>VLOOKUP($A437,[1]Table!$A$2:$N616,F$1,FALSE)</f>
        <v>LANOXIN 250 MICROGRAM TABLET</v>
      </c>
      <c r="G437" t="str">
        <f>VLOOKUP($A437,[1]Table!$A$2:$N616,G$1,FALSE)</f>
        <v>DIGOXINE 0,25MG TABLET</v>
      </c>
      <c r="H437" t="str">
        <f>VLOOKUP($A437,[1]Table!$A$2:$N616,H$1,FALSE)</f>
        <v>tablet</v>
      </c>
      <c r="I437" t="str">
        <f>VLOOKUP($A437,[1]Table!$A$2:$N616,I$1,FALSE)</f>
        <v>or</v>
      </c>
      <c r="J437">
        <f>VLOOKUP($A437,[1]Table!$A$2:$N616,J$1,FALSE)</f>
        <v>0.25</v>
      </c>
      <c r="K437" t="str">
        <f>VLOOKUP($A437,[1]Table!$A$2:$N616,K$1,FALSE)</f>
        <v>mg/stuk</v>
      </c>
      <c r="L437">
        <f>VLOOKUP($A437,[1]Table!$A$2:$N616,L$1,FALSE)</f>
        <v>0.25</v>
      </c>
      <c r="M437" t="str">
        <f>VLOOKUP($A437,[1]Table!$A$2:$N616,M$1,FALSE)</f>
        <v>mg</v>
      </c>
      <c r="N437" t="str">
        <f>VLOOKUP($A437,[1]Table!$A$2:$N616,N$1,FALSE)</f>
        <v>Supraventriculaire ritmestoornissen en decompensatio cordis</v>
      </c>
      <c r="O437" t="str">
        <f>ConcatenateRange(AZ437:BU437,"||")</f>
        <v/>
      </c>
      <c r="AZ437" t="str">
        <f t="shared" si="176"/>
        <v/>
      </c>
      <c r="BA437" t="str">
        <f t="shared" si="177"/>
        <v/>
      </c>
      <c r="BB437" t="str">
        <f t="shared" si="178"/>
        <v/>
      </c>
      <c r="BC437" t="str">
        <f t="shared" si="179"/>
        <v/>
      </c>
      <c r="BD437" t="str">
        <f t="shared" si="180"/>
        <v/>
      </c>
      <c r="BE437" t="str">
        <f t="shared" si="181"/>
        <v/>
      </c>
      <c r="BF437" t="str">
        <f t="shared" si="182"/>
        <v/>
      </c>
      <c r="BG437" t="str">
        <f t="shared" si="183"/>
        <v/>
      </c>
      <c r="BH437" t="str">
        <f t="shared" si="184"/>
        <v/>
      </c>
      <c r="BI437" t="str">
        <f t="shared" si="185"/>
        <v/>
      </c>
      <c r="BJ437" t="str">
        <f t="shared" si="186"/>
        <v/>
      </c>
      <c r="BK437" t="str">
        <f t="shared" si="187"/>
        <v/>
      </c>
      <c r="BL437" t="str">
        <f t="shared" si="188"/>
        <v/>
      </c>
      <c r="BM437" t="str">
        <f t="shared" si="189"/>
        <v/>
      </c>
      <c r="BN437" t="str">
        <f t="shared" si="190"/>
        <v/>
      </c>
      <c r="BO437" t="str">
        <f t="shared" si="191"/>
        <v/>
      </c>
      <c r="BP437" t="str">
        <f t="shared" si="192"/>
        <v/>
      </c>
      <c r="BQ437" t="str">
        <f t="shared" si="193"/>
        <v/>
      </c>
      <c r="BR437" t="str">
        <f t="shared" si="194"/>
        <v/>
      </c>
      <c r="BS437" t="str">
        <f t="shared" si="195"/>
        <v/>
      </c>
      <c r="BT437" t="str">
        <f t="shared" si="196"/>
        <v/>
      </c>
      <c r="BU437" t="str">
        <f t="shared" si="197"/>
        <v/>
      </c>
    </row>
    <row r="438" spans="1:73">
      <c r="A438" s="1">
        <v>16772</v>
      </c>
      <c r="B438" t="str">
        <f>VLOOKUP($A438,[1]Table!$A$2:$N616,B$1,FALSE)</f>
        <v>C01AA05</v>
      </c>
      <c r="C438" t="str">
        <f>VLOOKUP($A438,[1]Table!$A$2:$N616,C$1,FALSE)</f>
        <v>CARDIACA</v>
      </c>
      <c r="D438" t="str">
        <f>VLOOKUP($A438,[1]Table!$A$2:$N616,D$1,FALSE)</f>
        <v>HARTGLYCOSIDEN</v>
      </c>
      <c r="E438" t="str">
        <f>VLOOKUP($A438,[1]Table!$A$2:$N616,E$1,FALSE)</f>
        <v>DIGOXINE</v>
      </c>
      <c r="F438" t="str">
        <f>VLOOKUP($A438,[1]Table!$A$2:$N616,F$1,FALSE)</f>
        <v>LANOXIN PG  62,5 MICROGRAM TABLET</v>
      </c>
      <c r="G438" t="str">
        <f>VLOOKUP($A438,[1]Table!$A$2:$N616,G$1,FALSE)</f>
        <v>DIGOXINE 62,5UG TABLET</v>
      </c>
      <c r="H438" t="str">
        <f>VLOOKUP($A438,[1]Table!$A$2:$N616,H$1,FALSE)</f>
        <v>tablet</v>
      </c>
      <c r="I438" t="str">
        <f>VLOOKUP($A438,[1]Table!$A$2:$N616,I$1,FALSE)</f>
        <v>or</v>
      </c>
      <c r="J438">
        <f>VLOOKUP($A438,[1]Table!$A$2:$N616,J$1,FALSE)</f>
        <v>62.5</v>
      </c>
      <c r="K438" t="str">
        <f>VLOOKUP($A438,[1]Table!$A$2:$N616,K$1,FALSE)</f>
        <v>mcg/stuk</v>
      </c>
      <c r="L438">
        <f>VLOOKUP($A438,[1]Table!$A$2:$N616,L$1,FALSE)</f>
        <v>62.5</v>
      </c>
      <c r="M438" t="str">
        <f>VLOOKUP($A438,[1]Table!$A$2:$N616,M$1,FALSE)</f>
        <v>mcg</v>
      </c>
      <c r="N438" t="str">
        <f>VLOOKUP($A438,[1]Table!$A$2:$N616,N$1,FALSE)</f>
        <v>Supraventriculaire ritmestoornissen en decompensatio cordis</v>
      </c>
      <c r="O438" t="str">
        <f>ConcatenateRange(AZ438:BU438,"||")</f>
        <v/>
      </c>
      <c r="AZ438" t="str">
        <f t="shared" si="176"/>
        <v/>
      </c>
      <c r="BA438" t="str">
        <f t="shared" si="177"/>
        <v/>
      </c>
      <c r="BB438" t="str">
        <f t="shared" si="178"/>
        <v/>
      </c>
      <c r="BC438" t="str">
        <f t="shared" si="179"/>
        <v/>
      </c>
      <c r="BD438" t="str">
        <f t="shared" si="180"/>
        <v/>
      </c>
      <c r="BE438" t="str">
        <f t="shared" si="181"/>
        <v/>
      </c>
      <c r="BF438" t="str">
        <f t="shared" si="182"/>
        <v/>
      </c>
      <c r="BG438" t="str">
        <f t="shared" si="183"/>
        <v/>
      </c>
      <c r="BH438" t="str">
        <f t="shared" si="184"/>
        <v/>
      </c>
      <c r="BI438" t="str">
        <f t="shared" si="185"/>
        <v/>
      </c>
      <c r="BJ438" t="str">
        <f t="shared" si="186"/>
        <v/>
      </c>
      <c r="BK438" t="str">
        <f t="shared" si="187"/>
        <v/>
      </c>
      <c r="BL438" t="str">
        <f t="shared" si="188"/>
        <v/>
      </c>
      <c r="BM438" t="str">
        <f t="shared" si="189"/>
        <v/>
      </c>
      <c r="BN438" t="str">
        <f t="shared" si="190"/>
        <v/>
      </c>
      <c r="BO438" t="str">
        <f t="shared" si="191"/>
        <v/>
      </c>
      <c r="BP438" t="str">
        <f t="shared" si="192"/>
        <v/>
      </c>
      <c r="BQ438" t="str">
        <f t="shared" si="193"/>
        <v/>
      </c>
      <c r="BR438" t="str">
        <f t="shared" si="194"/>
        <v/>
      </c>
      <c r="BS438" t="str">
        <f t="shared" si="195"/>
        <v/>
      </c>
      <c r="BT438" t="str">
        <f t="shared" si="196"/>
        <v/>
      </c>
      <c r="BU438" t="str">
        <f t="shared" si="197"/>
        <v/>
      </c>
    </row>
    <row r="439" spans="1:73">
      <c r="A439" s="1">
        <v>120693</v>
      </c>
      <c r="B439" t="str">
        <f>VLOOKUP($A439,[1]Table!$A$2:$N617,B$1,FALSE)</f>
        <v>M02AX03</v>
      </c>
      <c r="C439" t="str">
        <f>VLOOKUP($A439,[1]Table!$A$2:$N617,C$1,FALSE)</f>
        <v>LOKALE ANTIRHEUMATICA</v>
      </c>
      <c r="D439" t="str">
        <f>VLOOKUP($A439,[1]Table!$A$2:$N617,D$1,FALSE)</f>
        <v>LOKALE ANTIRHEUMATICA</v>
      </c>
      <c r="E439" t="str">
        <f>VLOOKUP($A439,[1]Table!$A$2:$N617,E$1,FALSE)</f>
        <v>DIMETHYLSULFOXIDE</v>
      </c>
      <c r="F439" t="str">
        <f>VLOOKUP($A439,[1]Table!$A$2:$N617,F$1,FALSE)</f>
        <v>DMSO 50% creme 500mg/g 50gram</v>
      </c>
      <c r="G439" t="str">
        <f>VLOOKUP($A439,[1]Table!$A$2:$N617,G$1,FALSE)</f>
        <v>DIMETHYLSULFOXIDE 500MG/G C</v>
      </c>
      <c r="H439" t="str">
        <f>VLOOKUP($A439,[1]Table!$A$2:$N617,H$1,FALSE)</f>
        <v>creme</v>
      </c>
      <c r="I439" t="str">
        <f>VLOOKUP($A439,[1]Table!$A$2:$N617,I$1,FALSE)</f>
        <v>cutaan</v>
      </c>
      <c r="J439">
        <f>VLOOKUP($A439,[1]Table!$A$2:$N617,J$1,FALSE)</f>
        <v>500</v>
      </c>
      <c r="K439" t="str">
        <f>VLOOKUP($A439,[1]Table!$A$2:$N617,K$1,FALSE)</f>
        <v>mg/gr</v>
      </c>
      <c r="L439">
        <f>VLOOKUP($A439,[1]Table!$A$2:$N617,L$1,FALSE)</f>
        <v>500</v>
      </c>
      <c r="M439" t="str">
        <f>VLOOKUP($A439,[1]Table!$A$2:$N617,M$1,FALSE)</f>
        <v>mg</v>
      </c>
      <c r="N439" t="str">
        <f>VLOOKUP($A439,[1]Table!$A$2:$N617,N$1,FALSE)</f>
        <v>Extravasatie cytostatica</v>
      </c>
      <c r="O439" t="str">
        <f>ConcatenateRange(AZ439:BU439,"||")</f>
        <v/>
      </c>
      <c r="AZ439" t="str">
        <f t="shared" si="176"/>
        <v/>
      </c>
      <c r="BA439" t="str">
        <f t="shared" si="177"/>
        <v/>
      </c>
      <c r="BB439" t="str">
        <f t="shared" si="178"/>
        <v/>
      </c>
      <c r="BC439" t="str">
        <f t="shared" si="179"/>
        <v/>
      </c>
      <c r="BD439" t="str">
        <f t="shared" si="180"/>
        <v/>
      </c>
      <c r="BE439" t="str">
        <f t="shared" si="181"/>
        <v/>
      </c>
      <c r="BF439" t="str">
        <f t="shared" si="182"/>
        <v/>
      </c>
      <c r="BG439" t="str">
        <f t="shared" si="183"/>
        <v/>
      </c>
      <c r="BH439" t="str">
        <f t="shared" si="184"/>
        <v/>
      </c>
      <c r="BI439" t="str">
        <f t="shared" si="185"/>
        <v/>
      </c>
      <c r="BJ439" t="str">
        <f t="shared" si="186"/>
        <v/>
      </c>
      <c r="BK439" t="str">
        <f t="shared" si="187"/>
        <v/>
      </c>
      <c r="BL439" t="str">
        <f t="shared" si="188"/>
        <v/>
      </c>
      <c r="BM439" t="str">
        <f t="shared" si="189"/>
        <v/>
      </c>
      <c r="BN439" t="str">
        <f t="shared" si="190"/>
        <v/>
      </c>
      <c r="BO439" t="str">
        <f t="shared" si="191"/>
        <v/>
      </c>
      <c r="BP439" t="str">
        <f t="shared" si="192"/>
        <v/>
      </c>
      <c r="BQ439" t="str">
        <f t="shared" si="193"/>
        <v/>
      </c>
      <c r="BR439" t="str">
        <f t="shared" si="194"/>
        <v/>
      </c>
      <c r="BS439" t="str">
        <f t="shared" si="195"/>
        <v/>
      </c>
      <c r="BT439" t="str">
        <f t="shared" si="196"/>
        <v/>
      </c>
      <c r="BU439" t="str">
        <f t="shared" si="197"/>
        <v/>
      </c>
    </row>
    <row r="440" spans="1:73">
      <c r="A440" s="1">
        <v>15318</v>
      </c>
      <c r="B440" t="str">
        <f>VLOOKUP($A440,[1]Table!$A$2:$N618,B$1,FALSE)</f>
        <v>R06AB03</v>
      </c>
      <c r="C440" t="str">
        <f>VLOOKUP($A440,[1]Table!$A$2:$N618,C$1,FALSE)</f>
        <v>ANTIHISTAMINICA VOOR SYSTEMISCH GEBRUIK</v>
      </c>
      <c r="D440" t="str">
        <f>VLOOKUP($A440,[1]Table!$A$2:$N618,D$1,FALSE)</f>
        <v>ANTIHISTAMINICA VOOR SYSTEMISCH GEBRUIK</v>
      </c>
      <c r="E440" t="str">
        <f>VLOOKUP($A440,[1]Table!$A$2:$N618,E$1,FALSE)</f>
        <v>DIMETINDEEN</v>
      </c>
      <c r="F440" t="str">
        <f>VLOOKUP($A440,[1]Table!$A$2:$N618,F$1,FALSE)</f>
        <v>FENISTIL 1 MG/ML DRUPPELS</v>
      </c>
      <c r="G440" t="str">
        <f>VLOOKUP($A440,[1]Table!$A$2:$N618,G$1,FALSE)</f>
        <v>DIMETINDEEN 1MG/ML DRUPPELS</v>
      </c>
      <c r="H440" t="str">
        <f>VLOOKUP($A440,[1]Table!$A$2:$N618,H$1,FALSE)</f>
        <v>druppels voor oraal gebruik</v>
      </c>
      <c r="I440" t="str">
        <f>VLOOKUP($A440,[1]Table!$A$2:$N618,I$1,FALSE)</f>
        <v>or</v>
      </c>
      <c r="J440">
        <f>VLOOKUP($A440,[1]Table!$A$2:$N618,J$1,FALSE)</f>
        <v>1</v>
      </c>
      <c r="K440" t="str">
        <f>VLOOKUP($A440,[1]Table!$A$2:$N618,K$1,FALSE)</f>
        <v>mg/ml</v>
      </c>
      <c r="L440">
        <f>VLOOKUP($A440,[1]Table!$A$2:$N618,L$1,FALSE)</f>
        <v>1</v>
      </c>
      <c r="M440" t="str">
        <f>VLOOKUP($A440,[1]Table!$A$2:$N618,M$1,FALSE)</f>
        <v>mg</v>
      </c>
      <c r="N440" t="str">
        <f>VLOOKUP($A440,[1]Table!$A$2:$N618,N$1,FALSE)</f>
        <v>Allergische aandoeningen</v>
      </c>
      <c r="O440" t="str">
        <f>ConcatenateRange(AZ440:BU440,"||")</f>
        <v/>
      </c>
      <c r="AZ440" t="str">
        <f t="shared" si="176"/>
        <v/>
      </c>
      <c r="BA440" t="str">
        <f t="shared" si="177"/>
        <v/>
      </c>
      <c r="BB440" t="str">
        <f t="shared" si="178"/>
        <v/>
      </c>
      <c r="BC440" t="str">
        <f t="shared" si="179"/>
        <v/>
      </c>
      <c r="BD440" t="str">
        <f t="shared" si="180"/>
        <v/>
      </c>
      <c r="BE440" t="str">
        <f t="shared" si="181"/>
        <v/>
      </c>
      <c r="BF440" t="str">
        <f t="shared" si="182"/>
        <v/>
      </c>
      <c r="BG440" t="str">
        <f t="shared" si="183"/>
        <v/>
      </c>
      <c r="BH440" t="str">
        <f t="shared" si="184"/>
        <v/>
      </c>
      <c r="BI440" t="str">
        <f t="shared" si="185"/>
        <v/>
      </c>
      <c r="BJ440" t="str">
        <f t="shared" si="186"/>
        <v/>
      </c>
      <c r="BK440" t="str">
        <f t="shared" si="187"/>
        <v/>
      </c>
      <c r="BL440" t="str">
        <f t="shared" si="188"/>
        <v/>
      </c>
      <c r="BM440" t="str">
        <f t="shared" si="189"/>
        <v/>
      </c>
      <c r="BN440" t="str">
        <f t="shared" si="190"/>
        <v/>
      </c>
      <c r="BO440" t="str">
        <f t="shared" si="191"/>
        <v/>
      </c>
      <c r="BP440" t="str">
        <f t="shared" si="192"/>
        <v/>
      </c>
      <c r="BQ440" t="str">
        <f t="shared" si="193"/>
        <v/>
      </c>
      <c r="BR440" t="str">
        <f t="shared" si="194"/>
        <v/>
      </c>
      <c r="BS440" t="str">
        <f t="shared" si="195"/>
        <v/>
      </c>
      <c r="BT440" t="str">
        <f t="shared" si="196"/>
        <v/>
      </c>
      <c r="BU440" t="str">
        <f t="shared" si="197"/>
        <v/>
      </c>
    </row>
    <row r="441" spans="1:73">
      <c r="A441" s="1">
        <v>129429</v>
      </c>
      <c r="B441" t="str">
        <f>VLOOKUP($A441,[1]Table!$A$2:$N612,B$1,FALSE)</f>
        <v>J07CA02</v>
      </c>
      <c r="C441" t="str">
        <f>VLOOKUP($A441,[1]Table!$A$2:$N612,C$1,FALSE)</f>
        <v>VACCINS</v>
      </c>
      <c r="D441" t="str">
        <f>VLOOKUP($A441,[1]Table!$A$2:$N612,D$1,FALSE)</f>
        <v>BACTERIELE VACCINS MET VIRALE VACCINS</v>
      </c>
      <c r="E441" t="str">
        <f>VLOOKUP($A441,[1]Table!$A$2:$N612,E$1,FALSE)</f>
        <v>DKTP VACCIN</v>
      </c>
      <c r="F441" t="str">
        <f>VLOOKUP($A441,[1]Table!$A$2:$N612,F$1,FALSE)</f>
        <v>BOOSTRIX POLIO WWSP 0,5 ML</v>
      </c>
      <c r="G441" t="str">
        <f>VLOOKUP($A441,[1]Table!$A$2:$N612,G$1,FALSE)</f>
        <v>DKTP VACCIN (BOOSTRIX POLI)</v>
      </c>
      <c r="H441" t="str">
        <f>VLOOKUP($A441,[1]Table!$A$2:$N612,H$1,FALSE)</f>
        <v>suspensie voor injectie</v>
      </c>
      <c r="I441" t="str">
        <f>VLOOKUP($A441,[1]Table!$A$2:$N612,I$1,FALSE)</f>
        <v>im</v>
      </c>
      <c r="J441">
        <f>VLOOKUP($A441,[1]Table!$A$2:$N612,J$1,FALSE)</f>
        <v>4</v>
      </c>
      <c r="K441" t="str">
        <f>VLOOKUP($A441,[1]Table!$A$2:$N612,K$1,FALSE)</f>
        <v>IE/ml</v>
      </c>
      <c r="L441">
        <f>VLOOKUP($A441,[1]Table!$A$2:$N612,L$1,FALSE)</f>
        <v>4</v>
      </c>
      <c r="M441" t="str">
        <f>VLOOKUP($A441,[1]Table!$A$2:$N612,M$1,FALSE)</f>
        <v>IE</v>
      </c>
      <c r="N441" t="str">
        <f>VLOOKUP($A441,[1]Table!$A$2:$N612,N$1,FALSE)</f>
        <v>RIJKSVACCINATIEPROGRAMMA Boostervaccinatie DKTP</v>
      </c>
      <c r="O441" t="str">
        <f>ConcatenateRange(AZ441:BU441,"||")</f>
        <v/>
      </c>
      <c r="AZ441" t="str">
        <f t="shared" si="176"/>
        <v/>
      </c>
      <c r="BA441" t="str">
        <f t="shared" si="177"/>
        <v/>
      </c>
      <c r="BB441" t="str">
        <f t="shared" si="178"/>
        <v/>
      </c>
      <c r="BC441" t="str">
        <f t="shared" si="179"/>
        <v/>
      </c>
      <c r="BD441" t="str">
        <f t="shared" si="180"/>
        <v/>
      </c>
      <c r="BE441" t="str">
        <f t="shared" si="181"/>
        <v/>
      </c>
      <c r="BF441" t="str">
        <f t="shared" si="182"/>
        <v/>
      </c>
      <c r="BG441" t="str">
        <f t="shared" si="183"/>
        <v/>
      </c>
      <c r="BH441" t="str">
        <f t="shared" si="184"/>
        <v/>
      </c>
      <c r="BI441" t="str">
        <f t="shared" si="185"/>
        <v/>
      </c>
      <c r="BJ441" t="str">
        <f t="shared" si="186"/>
        <v/>
      </c>
      <c r="BK441" t="str">
        <f t="shared" si="187"/>
        <v/>
      </c>
      <c r="BL441" t="str">
        <f t="shared" si="188"/>
        <v/>
      </c>
      <c r="BM441" t="str">
        <f t="shared" si="189"/>
        <v/>
      </c>
      <c r="BN441" t="str">
        <f t="shared" si="190"/>
        <v/>
      </c>
      <c r="BO441" t="str">
        <f t="shared" si="191"/>
        <v/>
      </c>
      <c r="BP441" t="str">
        <f t="shared" si="192"/>
        <v/>
      </c>
      <c r="BQ441" t="str">
        <f t="shared" si="193"/>
        <v/>
      </c>
      <c r="BR441" t="str">
        <f t="shared" si="194"/>
        <v/>
      </c>
      <c r="BS441" t="str">
        <f t="shared" si="195"/>
        <v/>
      </c>
      <c r="BT441" t="str">
        <f t="shared" si="196"/>
        <v/>
      </c>
      <c r="BU441" t="str">
        <f t="shared" si="197"/>
        <v/>
      </c>
    </row>
    <row r="442" spans="1:73">
      <c r="A442" s="1">
        <v>121509</v>
      </c>
      <c r="B442" t="str">
        <f>VLOOKUP($A442,[1]Table!$A$2:$N611,B$1,FALSE)</f>
        <v>J07CA09</v>
      </c>
      <c r="C442" t="str">
        <f>VLOOKUP($A442,[1]Table!$A$2:$N611,C$1,FALSE)</f>
        <v>VACCINS</v>
      </c>
      <c r="D442" t="str">
        <f>VLOOKUP($A442,[1]Table!$A$2:$N611,D$1,FALSE)</f>
        <v>BACTERIELE VACCINS MET VIRALE VACCINS</v>
      </c>
      <c r="E442" t="str">
        <f>VLOOKUP($A442,[1]Table!$A$2:$N611,E$1,FALSE)</f>
        <v>DKTP-HIB-HEPB VACCIN</v>
      </c>
      <c r="F442" t="str">
        <f>VLOOKUP($A442,[1]Table!$A$2:$N611,F$1,FALSE)</f>
        <v>INFANRIX HEXA 0,5ML (DKTP + HIB + HEPB)</v>
      </c>
      <c r="G442" t="str">
        <f>VLOOKUP($A442,[1]Table!$A$2:$N611,G$1,FALSE)</f>
        <v>DKTP-HIB-HEPB VACCIN</v>
      </c>
      <c r="H442" t="str">
        <f>VLOOKUP($A442,[1]Table!$A$2:$N611,H$1,FALSE)</f>
        <v>suspensie voor injectie</v>
      </c>
      <c r="I442" t="str">
        <f>VLOOKUP($A442,[1]Table!$A$2:$N611,I$1,FALSE)</f>
        <v>im</v>
      </c>
      <c r="J442">
        <f>VLOOKUP($A442,[1]Table!$A$2:$N611,J$1,FALSE)</f>
        <v>60</v>
      </c>
      <c r="K442" t="str">
        <f>VLOOKUP($A442,[1]Table!$A$2:$N611,K$1,FALSE)</f>
        <v>IE/ml</v>
      </c>
      <c r="L442">
        <f>VLOOKUP($A442,[1]Table!$A$2:$N611,L$1,FALSE)</f>
        <v>60</v>
      </c>
      <c r="M442" t="str">
        <f>VLOOKUP($A442,[1]Table!$A$2:$N611,M$1,FALSE)</f>
        <v>IE</v>
      </c>
      <c r="N442" t="str">
        <f>VLOOKUP($A442,[1]Table!$A$2:$N611,N$1,FALSE)</f>
        <v>RIJKSVACCINATIE PROGRAMMA DKTP-HiB-HepB (Difterie, Kinkhoest, Tetanus, Poliomyelitis, hepatitis B en infecties veroorzaakt door Haemophilus influenzae type B.)</v>
      </c>
      <c r="O442" t="str">
        <f>ConcatenateRange(AZ442:BU442,"||")</f>
        <v/>
      </c>
      <c r="AZ442" t="str">
        <f t="shared" si="176"/>
        <v/>
      </c>
      <c r="BA442" t="str">
        <f t="shared" si="177"/>
        <v/>
      </c>
      <c r="BB442" t="str">
        <f t="shared" si="178"/>
        <v/>
      </c>
      <c r="BC442" t="str">
        <f t="shared" si="179"/>
        <v/>
      </c>
      <c r="BD442" t="str">
        <f t="shared" si="180"/>
        <v/>
      </c>
      <c r="BE442" t="str">
        <f t="shared" si="181"/>
        <v/>
      </c>
      <c r="BF442" t="str">
        <f t="shared" si="182"/>
        <v/>
      </c>
      <c r="BG442" t="str">
        <f t="shared" si="183"/>
        <v/>
      </c>
      <c r="BH442" t="str">
        <f t="shared" si="184"/>
        <v/>
      </c>
      <c r="BI442" t="str">
        <f t="shared" si="185"/>
        <v/>
      </c>
      <c r="BJ442" t="str">
        <f t="shared" si="186"/>
        <v/>
      </c>
      <c r="BK442" t="str">
        <f t="shared" si="187"/>
        <v/>
      </c>
      <c r="BL442" t="str">
        <f t="shared" si="188"/>
        <v/>
      </c>
      <c r="BM442" t="str">
        <f t="shared" si="189"/>
        <v/>
      </c>
      <c r="BN442" t="str">
        <f t="shared" si="190"/>
        <v/>
      </c>
      <c r="BO442" t="str">
        <f t="shared" si="191"/>
        <v/>
      </c>
      <c r="BP442" t="str">
        <f t="shared" si="192"/>
        <v/>
      </c>
      <c r="BQ442" t="str">
        <f t="shared" si="193"/>
        <v/>
      </c>
      <c r="BR442" t="str">
        <f t="shared" si="194"/>
        <v/>
      </c>
      <c r="BS442" t="str">
        <f t="shared" si="195"/>
        <v/>
      </c>
      <c r="BT442" t="str">
        <f t="shared" si="196"/>
        <v/>
      </c>
      <c r="BU442" t="str">
        <f t="shared" si="197"/>
        <v/>
      </c>
    </row>
    <row r="443" spans="1:73">
      <c r="A443" s="1">
        <v>97713</v>
      </c>
      <c r="B443" t="str">
        <f>VLOOKUP($A443,[1]Table!$A$2:$N619,B$1,FALSE)</f>
        <v>C01CA07</v>
      </c>
      <c r="C443" t="str">
        <f>VLOOKUP($A443,[1]Table!$A$2:$N619,C$1,FALSE)</f>
        <v>CARDIACA</v>
      </c>
      <c r="D443" t="str">
        <f>VLOOKUP($A443,[1]Table!$A$2:$N619,D$1,FALSE)</f>
        <v>HARTSTIMULANTIA, EXCLUSIEF HARTGLYCOSIDEN</v>
      </c>
      <c r="E443" t="str">
        <f>VLOOKUP($A443,[1]Table!$A$2:$N619,E$1,FALSE)</f>
        <v>DOBUTAMINE</v>
      </c>
      <c r="F443" t="str">
        <f>VLOOKUP($A443,[1]Table!$A$2:$N619,F$1,FALSE)</f>
        <v>DOBUTAMINE 12.5 MG/ML AMPUL 20ML</v>
      </c>
      <c r="G443" t="str">
        <f>VLOOKUP($A443,[1]Table!$A$2:$N619,G$1,FALSE)</f>
        <v>DOBUTAMINE 12,5MG/ML INFCON</v>
      </c>
      <c r="H443" t="str">
        <f>VLOOKUP($A443,[1]Table!$A$2:$N619,H$1,FALSE)</f>
        <v>concentraat voor oplossing voor infusie</v>
      </c>
      <c r="I443" t="str">
        <f>VLOOKUP($A443,[1]Table!$A$2:$N619,I$1,FALSE)</f>
        <v>iv</v>
      </c>
      <c r="J443">
        <f>VLOOKUP($A443,[1]Table!$A$2:$N619,J$1,FALSE)</f>
        <v>12.5</v>
      </c>
      <c r="K443" t="str">
        <f>VLOOKUP($A443,[1]Table!$A$2:$N619,K$1,FALSE)</f>
        <v>mg/ml</v>
      </c>
      <c r="L443">
        <f>VLOOKUP($A443,[1]Table!$A$2:$N619,L$1,FALSE)</f>
        <v>12.5</v>
      </c>
      <c r="M443" t="str">
        <f>VLOOKUP($A443,[1]Table!$A$2:$N619,M$1,FALSE)</f>
        <v>mg</v>
      </c>
      <c r="N443" t="str">
        <f>VLOOKUP($A443,[1]Table!$A$2:$N619,N$1,FALSE)</f>
        <v>Cardiogene shock en decompensatio cordis</v>
      </c>
      <c r="O443" t="str">
        <f>ConcatenateRange(AZ443:BU443,"||")</f>
        <v/>
      </c>
      <c r="AZ443" t="str">
        <f t="shared" si="176"/>
        <v/>
      </c>
      <c r="BA443" t="str">
        <f t="shared" si="177"/>
        <v/>
      </c>
      <c r="BB443" t="str">
        <f t="shared" si="178"/>
        <v/>
      </c>
      <c r="BC443" t="str">
        <f t="shared" si="179"/>
        <v/>
      </c>
      <c r="BD443" t="str">
        <f t="shared" si="180"/>
        <v/>
      </c>
      <c r="BE443" t="str">
        <f t="shared" si="181"/>
        <v/>
      </c>
      <c r="BF443" t="str">
        <f t="shared" si="182"/>
        <v/>
      </c>
      <c r="BG443" t="str">
        <f t="shared" si="183"/>
        <v/>
      </c>
      <c r="BH443" t="str">
        <f t="shared" si="184"/>
        <v/>
      </c>
      <c r="BI443" t="str">
        <f t="shared" si="185"/>
        <v/>
      </c>
      <c r="BJ443" t="str">
        <f t="shared" si="186"/>
        <v/>
      </c>
      <c r="BK443" t="str">
        <f t="shared" si="187"/>
        <v/>
      </c>
      <c r="BL443" t="str">
        <f t="shared" si="188"/>
        <v/>
      </c>
      <c r="BM443" t="str">
        <f t="shared" si="189"/>
        <v/>
      </c>
      <c r="BN443" t="str">
        <f t="shared" si="190"/>
        <v/>
      </c>
      <c r="BO443" t="str">
        <f t="shared" si="191"/>
        <v/>
      </c>
      <c r="BP443" t="str">
        <f t="shared" si="192"/>
        <v/>
      </c>
      <c r="BQ443" t="str">
        <f t="shared" si="193"/>
        <v/>
      </c>
      <c r="BR443" t="str">
        <f t="shared" si="194"/>
        <v/>
      </c>
      <c r="BS443" t="str">
        <f t="shared" si="195"/>
        <v/>
      </c>
      <c r="BT443" t="str">
        <f t="shared" si="196"/>
        <v/>
      </c>
      <c r="BU443" t="str">
        <f t="shared" si="197"/>
        <v/>
      </c>
    </row>
    <row r="444" spans="1:73">
      <c r="A444" s="1">
        <v>111414</v>
      </c>
      <c r="B444" t="str">
        <f>VLOOKUP($A444,[1]Table!$A$2:$N620,B$1,FALSE)</f>
        <v>C01CA07</v>
      </c>
      <c r="C444" t="str">
        <f>VLOOKUP($A444,[1]Table!$A$2:$N620,C$1,FALSE)</f>
        <v>CARDIACA</v>
      </c>
      <c r="D444" t="str">
        <f>VLOOKUP($A444,[1]Table!$A$2:$N620,D$1,FALSE)</f>
        <v>HARTSTIMULANTIA, EXCLUSIEF HARTGLYCOSIDEN</v>
      </c>
      <c r="E444" t="str">
        <f>VLOOKUP($A444,[1]Table!$A$2:$N620,E$1,FALSE)</f>
        <v>DOBUTAMINE</v>
      </c>
      <c r="F444" t="str">
        <f>VLOOKUP($A444,[1]Table!$A$2:$N620,F$1,FALSE)</f>
        <v>DOBUTAMINE 5 MG/ML FLACON 50 ML</v>
      </c>
      <c r="G444" t="str">
        <f>VLOOKUP($A444,[1]Table!$A$2:$N620,G$1,FALSE)</f>
        <v>DOBUTAMINE 5MG/ML INFVLST</v>
      </c>
      <c r="H444" t="str">
        <f>VLOOKUP($A444,[1]Table!$A$2:$N620,H$1,FALSE)</f>
        <v>infusievloeistof</v>
      </c>
      <c r="I444" t="str">
        <f>VLOOKUP($A444,[1]Table!$A$2:$N620,I$1,FALSE)</f>
        <v>iv</v>
      </c>
      <c r="J444">
        <f>VLOOKUP($A444,[1]Table!$A$2:$N620,J$1,FALSE)</f>
        <v>5</v>
      </c>
      <c r="K444" t="str">
        <f>VLOOKUP($A444,[1]Table!$A$2:$N620,K$1,FALSE)</f>
        <v>mg/ml</v>
      </c>
      <c r="L444">
        <f>VLOOKUP($A444,[1]Table!$A$2:$N620,L$1,FALSE)</f>
        <v>5</v>
      </c>
      <c r="M444" t="str">
        <f>VLOOKUP($A444,[1]Table!$A$2:$N620,M$1,FALSE)</f>
        <v>mg</v>
      </c>
      <c r="N444" t="str">
        <f>VLOOKUP($A444,[1]Table!$A$2:$N620,N$1,FALSE)</f>
        <v>Cardiogene shock en decompensatio cordis</v>
      </c>
      <c r="O444" t="str">
        <f>ConcatenateRange(AZ444:BU444,"||")</f>
        <v/>
      </c>
      <c r="AZ444" t="str">
        <f t="shared" si="176"/>
        <v/>
      </c>
      <c r="BA444" t="str">
        <f t="shared" si="177"/>
        <v/>
      </c>
      <c r="BB444" t="str">
        <f t="shared" si="178"/>
        <v/>
      </c>
      <c r="BC444" t="str">
        <f t="shared" si="179"/>
        <v/>
      </c>
      <c r="BD444" t="str">
        <f t="shared" si="180"/>
        <v/>
      </c>
      <c r="BE444" t="str">
        <f t="shared" si="181"/>
        <v/>
      </c>
      <c r="BF444" t="str">
        <f t="shared" si="182"/>
        <v/>
      </c>
      <c r="BG444" t="str">
        <f t="shared" si="183"/>
        <v/>
      </c>
      <c r="BH444" t="str">
        <f t="shared" si="184"/>
        <v/>
      </c>
      <c r="BI444" t="str">
        <f t="shared" si="185"/>
        <v/>
      </c>
      <c r="BJ444" t="str">
        <f t="shared" si="186"/>
        <v/>
      </c>
      <c r="BK444" t="str">
        <f t="shared" si="187"/>
        <v/>
      </c>
      <c r="BL444" t="str">
        <f t="shared" si="188"/>
        <v/>
      </c>
      <c r="BM444" t="str">
        <f t="shared" si="189"/>
        <v/>
      </c>
      <c r="BN444" t="str">
        <f t="shared" si="190"/>
        <v/>
      </c>
      <c r="BO444" t="str">
        <f t="shared" si="191"/>
        <v/>
      </c>
      <c r="BP444" t="str">
        <f t="shared" si="192"/>
        <v/>
      </c>
      <c r="BQ444" t="str">
        <f t="shared" si="193"/>
        <v/>
      </c>
      <c r="BR444" t="str">
        <f t="shared" si="194"/>
        <v/>
      </c>
      <c r="BS444" t="str">
        <f t="shared" si="195"/>
        <v/>
      </c>
      <c r="BT444" t="str">
        <f t="shared" si="196"/>
        <v/>
      </c>
      <c r="BU444" t="str">
        <f t="shared" si="197"/>
        <v/>
      </c>
    </row>
    <row r="445" spans="1:73">
      <c r="A445" s="1">
        <v>133353</v>
      </c>
      <c r="B445" t="str">
        <f>VLOOKUP($A445,[1]Table!$A$2:$N621,B$1,FALSE)</f>
        <v>L01CD02</v>
      </c>
      <c r="C445" t="str">
        <f>VLOOKUP($A445,[1]Table!$A$2:$N621,C$1,FALSE)</f>
        <v>ONCOLYTICA</v>
      </c>
      <c r="D445" t="str">
        <f>VLOOKUP($A445,[1]Table!$A$2:$N621,D$1,FALSE)</f>
        <v>ALKALOIDEN EN OVERIGE NATUURLIJKE PRODUCTEN</v>
      </c>
      <c r="E445" t="str">
        <f>VLOOKUP($A445,[1]Table!$A$2:$N621,E$1,FALSE)</f>
        <v>DOCETAXEL</v>
      </c>
      <c r="F445" t="str">
        <f>VLOOKUP($A445,[1]Table!$A$2:$N621,F$1,FALSE)</f>
        <v>DOCETAXEL 20 MG = 1 ML INFVLST CONC</v>
      </c>
      <c r="G445" t="str">
        <f>VLOOKUP($A445,[1]Table!$A$2:$N621,G$1,FALSE)</f>
        <v>DOCETAXEL 20MG/ML INF CONC</v>
      </c>
      <c r="H445" t="str">
        <f>VLOOKUP($A445,[1]Table!$A$2:$N621,H$1,FALSE)</f>
        <v>concentraat voor oplossing voor infusie</v>
      </c>
      <c r="I445" t="str">
        <f>VLOOKUP($A445,[1]Table!$A$2:$N621,I$1,FALSE)</f>
        <v>iv</v>
      </c>
      <c r="J445">
        <f>VLOOKUP($A445,[1]Table!$A$2:$N621,J$1,FALSE)</f>
        <v>20</v>
      </c>
      <c r="K445" t="str">
        <f>VLOOKUP($A445,[1]Table!$A$2:$N621,K$1,FALSE)</f>
        <v>mg/ml</v>
      </c>
      <c r="L445">
        <f>VLOOKUP($A445,[1]Table!$A$2:$N621,L$1,FALSE)</f>
        <v>20</v>
      </c>
      <c r="M445" t="str">
        <f>VLOOKUP($A445,[1]Table!$A$2:$N621,M$1,FALSE)</f>
        <v>mg</v>
      </c>
      <c r="N445" t="str">
        <f>VLOOKUP($A445,[1]Table!$A$2:$N621,N$1,FALSE)</f>
        <v>Ewing-sarcoom, osteosarcoom en andere recidieverende/refractaire solide tumoren</v>
      </c>
      <c r="O445" t="str">
        <f>ConcatenateRange(AZ445:BU445,"||")</f>
        <v/>
      </c>
      <c r="AZ445" t="str">
        <f t="shared" si="176"/>
        <v/>
      </c>
      <c r="BA445" t="str">
        <f t="shared" si="177"/>
        <v/>
      </c>
      <c r="BB445" t="str">
        <f t="shared" si="178"/>
        <v/>
      </c>
      <c r="BC445" t="str">
        <f t="shared" si="179"/>
        <v/>
      </c>
      <c r="BD445" t="str">
        <f t="shared" si="180"/>
        <v/>
      </c>
      <c r="BE445" t="str">
        <f t="shared" si="181"/>
        <v/>
      </c>
      <c r="BF445" t="str">
        <f t="shared" si="182"/>
        <v/>
      </c>
      <c r="BG445" t="str">
        <f t="shared" si="183"/>
        <v/>
      </c>
      <c r="BH445" t="str">
        <f t="shared" si="184"/>
        <v/>
      </c>
      <c r="BI445" t="str">
        <f t="shared" si="185"/>
        <v/>
      </c>
      <c r="BJ445" t="str">
        <f t="shared" si="186"/>
        <v/>
      </c>
      <c r="BK445" t="str">
        <f t="shared" si="187"/>
        <v/>
      </c>
      <c r="BL445" t="str">
        <f t="shared" si="188"/>
        <v/>
      </c>
      <c r="BM445" t="str">
        <f t="shared" si="189"/>
        <v/>
      </c>
      <c r="BN445" t="str">
        <f t="shared" si="190"/>
        <v/>
      </c>
      <c r="BO445" t="str">
        <f t="shared" si="191"/>
        <v/>
      </c>
      <c r="BP445" t="str">
        <f t="shared" si="192"/>
        <v/>
      </c>
      <c r="BQ445" t="str">
        <f t="shared" si="193"/>
        <v/>
      </c>
      <c r="BR445" t="str">
        <f t="shared" si="194"/>
        <v/>
      </c>
      <c r="BS445" t="str">
        <f t="shared" si="195"/>
        <v/>
      </c>
      <c r="BT445" t="str">
        <f t="shared" si="196"/>
        <v/>
      </c>
      <c r="BU445" t="str">
        <f t="shared" si="197"/>
        <v/>
      </c>
    </row>
    <row r="446" spans="1:73">
      <c r="A446" s="1">
        <v>81906</v>
      </c>
      <c r="B446" t="str">
        <f>VLOOKUP($A446,[1]Table!$A$2:$N622,B$1,FALSE)</f>
        <v>A06AG10</v>
      </c>
      <c r="C446" t="str">
        <f>VLOOKUP($A446,[1]Table!$A$2:$N622,C$1,FALSE)</f>
        <v>MIDDELEN BIJ OBSTIPATIE</v>
      </c>
      <c r="D446" t="str">
        <f>VLOOKUP($A446,[1]Table!$A$2:$N622,D$1,FALSE)</f>
        <v>MIDDELEN BIJ OBSTIPATIE</v>
      </c>
      <c r="E446" t="str">
        <f>VLOOKUP($A446,[1]Table!$A$2:$N622,E$1,FALSE)</f>
        <v>DOCUSINEZUUR</v>
      </c>
      <c r="F446" t="str">
        <f>VLOOKUP($A446,[1]Table!$A$2:$N622,F$1,FALSE)</f>
        <v>NORGALAX 12MG/G KLYSMA</v>
      </c>
      <c r="G446" t="str">
        <f>VLOOKUP($A446,[1]Table!$A$2:$N622,G$1,FALSE)</f>
        <v>DOCUSINEZUUR 12MG/G KLYSMA</v>
      </c>
      <c r="H446" t="str">
        <f>VLOOKUP($A446,[1]Table!$A$2:$N622,H$1,FALSE)</f>
        <v>klysma</v>
      </c>
      <c r="I446" t="str">
        <f>VLOOKUP($A446,[1]Table!$A$2:$N622,I$1,FALSE)</f>
        <v>rect</v>
      </c>
      <c r="J446">
        <f>VLOOKUP($A446,[1]Table!$A$2:$N622,J$1,FALSE)</f>
        <v>12</v>
      </c>
      <c r="K446" t="str">
        <f>VLOOKUP($A446,[1]Table!$A$2:$N622,K$1,FALSE)</f>
        <v>mg/gr</v>
      </c>
      <c r="L446">
        <f>VLOOKUP($A446,[1]Table!$A$2:$N622,L$1,FALSE)</f>
        <v>12</v>
      </c>
      <c r="M446" t="str">
        <f>VLOOKUP($A446,[1]Table!$A$2:$N622,M$1,FALSE)</f>
        <v>mg</v>
      </c>
      <c r="N446" t="str">
        <f>VLOOKUP($A446,[1]Table!$A$2:$N622,N$1,FALSE)</f>
        <v>Obstipatie</v>
      </c>
      <c r="O446" t="str">
        <f>ConcatenateRange(AZ446:BU446,"||")</f>
        <v/>
      </c>
      <c r="AZ446" t="str">
        <f t="shared" si="176"/>
        <v/>
      </c>
      <c r="BA446" t="str">
        <f t="shared" si="177"/>
        <v/>
      </c>
      <c r="BB446" t="str">
        <f t="shared" si="178"/>
        <v/>
      </c>
      <c r="BC446" t="str">
        <f t="shared" si="179"/>
        <v/>
      </c>
      <c r="BD446" t="str">
        <f t="shared" si="180"/>
        <v/>
      </c>
      <c r="BE446" t="str">
        <f t="shared" si="181"/>
        <v/>
      </c>
      <c r="BF446" t="str">
        <f t="shared" si="182"/>
        <v/>
      </c>
      <c r="BG446" t="str">
        <f t="shared" si="183"/>
        <v/>
      </c>
      <c r="BH446" t="str">
        <f t="shared" si="184"/>
        <v/>
      </c>
      <c r="BI446" t="str">
        <f t="shared" si="185"/>
        <v/>
      </c>
      <c r="BJ446" t="str">
        <f t="shared" si="186"/>
        <v/>
      </c>
      <c r="BK446" t="str">
        <f t="shared" si="187"/>
        <v/>
      </c>
      <c r="BL446" t="str">
        <f t="shared" si="188"/>
        <v/>
      </c>
      <c r="BM446" t="str">
        <f t="shared" si="189"/>
        <v/>
      </c>
      <c r="BN446" t="str">
        <f t="shared" si="190"/>
        <v/>
      </c>
      <c r="BO446" t="str">
        <f t="shared" si="191"/>
        <v/>
      </c>
      <c r="BP446" t="str">
        <f t="shared" si="192"/>
        <v/>
      </c>
      <c r="BQ446" t="str">
        <f t="shared" si="193"/>
        <v/>
      </c>
      <c r="BR446" t="str">
        <f t="shared" si="194"/>
        <v/>
      </c>
      <c r="BS446" t="str">
        <f t="shared" si="195"/>
        <v/>
      </c>
      <c r="BT446" t="str">
        <f t="shared" si="196"/>
        <v/>
      </c>
      <c r="BU446" t="str">
        <f t="shared" si="197"/>
        <v/>
      </c>
    </row>
    <row r="447" spans="1:73">
      <c r="A447" s="1">
        <v>6165</v>
      </c>
      <c r="B447" t="str">
        <f>VLOOKUP($A447,[1]Table!$A$2:$N1516,B$1,FALSE)</f>
        <v>A06AG10</v>
      </c>
      <c r="C447" t="str">
        <f>VLOOKUP($A447,[1]Table!$A$2:$N1516,C$1,FALSE)</f>
        <v>MIDDELEN BIJ OBSTIPATIE</v>
      </c>
      <c r="D447" t="str">
        <f>VLOOKUP($A447,[1]Table!$A$2:$N1516,D$1,FALSE)</f>
        <v>MIDDELEN BIJ OBSTIPATIE</v>
      </c>
      <c r="E447" t="str">
        <f>VLOOKUP($A447,[1]Table!$A$2:$N1516,E$1,FALSE)</f>
        <v>DOCUSINEZUUR/SORBITOL</v>
      </c>
      <c r="F447" t="str">
        <f>VLOOKUP($A447,[1]Table!$A$2:$N1516,F$1,FALSE)</f>
        <v>KLYX KLYSMA</v>
      </c>
      <c r="G447" t="str">
        <f>VLOOKUP($A447,[1]Table!$A$2:$N1516,G$1,FALSE)</f>
        <v>DOCUSINEZUURSORBITOL KLYSMA</v>
      </c>
      <c r="H447" t="str">
        <f>VLOOKUP($A447,[1]Table!$A$2:$N1516,H$1,FALSE)</f>
        <v>klysma</v>
      </c>
      <c r="I447" t="str">
        <f>VLOOKUP($A447,[1]Table!$A$2:$N1516,I$1,FALSE)</f>
        <v>rect</v>
      </c>
      <c r="J447">
        <f>VLOOKUP($A447,[1]Table!$A$2:$N1516,J$1,FALSE)</f>
        <v>250</v>
      </c>
      <c r="K447" t="str">
        <f>VLOOKUP($A447,[1]Table!$A$2:$N1516,K$1,FALSE)</f>
        <v>mg/ml</v>
      </c>
      <c r="L447">
        <f>VLOOKUP($A447,[1]Table!$A$2:$N1516,L$1,FALSE)</f>
        <v>250</v>
      </c>
      <c r="M447" t="str">
        <f>VLOOKUP($A447,[1]Table!$A$2:$N1516,M$1,FALSE)</f>
        <v>mg</v>
      </c>
      <c r="N447" t="str">
        <f>VLOOKUP($A447,[1]Table!$A$2:$N1516,N$1,FALSE)</f>
        <v>Obstipatie</v>
      </c>
      <c r="O447" t="str">
        <f>ConcatenateRange(AZ447:BU447,"||")</f>
        <v/>
      </c>
      <c r="AZ447" t="str">
        <f t="shared" si="176"/>
        <v/>
      </c>
      <c r="BA447" t="str">
        <f t="shared" si="177"/>
        <v/>
      </c>
      <c r="BB447" t="str">
        <f t="shared" si="178"/>
        <v/>
      </c>
      <c r="BC447" t="str">
        <f t="shared" si="179"/>
        <v/>
      </c>
      <c r="BD447" t="str">
        <f t="shared" si="180"/>
        <v/>
      </c>
      <c r="BE447" t="str">
        <f t="shared" si="181"/>
        <v/>
      </c>
      <c r="BF447" t="str">
        <f t="shared" si="182"/>
        <v/>
      </c>
      <c r="BG447" t="str">
        <f t="shared" si="183"/>
        <v/>
      </c>
      <c r="BH447" t="str">
        <f t="shared" si="184"/>
        <v/>
      </c>
      <c r="BI447" t="str">
        <f t="shared" si="185"/>
        <v/>
      </c>
      <c r="BJ447" t="str">
        <f t="shared" si="186"/>
        <v/>
      </c>
      <c r="BK447" t="str">
        <f t="shared" si="187"/>
        <v/>
      </c>
      <c r="BL447" t="str">
        <f t="shared" si="188"/>
        <v/>
      </c>
      <c r="BM447" t="str">
        <f t="shared" si="189"/>
        <v/>
      </c>
      <c r="BN447" t="str">
        <f t="shared" si="190"/>
        <v/>
      </c>
      <c r="BO447" t="str">
        <f t="shared" si="191"/>
        <v/>
      </c>
      <c r="BP447" t="str">
        <f t="shared" si="192"/>
        <v/>
      </c>
      <c r="BQ447" t="str">
        <f t="shared" si="193"/>
        <v/>
      </c>
      <c r="BR447" t="str">
        <f t="shared" si="194"/>
        <v/>
      </c>
      <c r="BS447" t="str">
        <f t="shared" si="195"/>
        <v/>
      </c>
      <c r="BT447" t="str">
        <f t="shared" si="196"/>
        <v/>
      </c>
      <c r="BU447" t="str">
        <f t="shared" si="197"/>
        <v/>
      </c>
    </row>
    <row r="448" spans="1:73">
      <c r="A448" s="1">
        <v>150231</v>
      </c>
      <c r="B448" t="str">
        <f>VLOOKUP($A448,[1]Table!$A$2:$N623,B$1,FALSE)</f>
        <v>J05AX12</v>
      </c>
      <c r="C448" t="str">
        <f>VLOOKUP($A448,[1]Table!$A$2:$N623,C$1,FALSE)</f>
        <v>ANTIVIRALE MIDDELEN VOOR SYSTEMISCH GEBRUIK</v>
      </c>
      <c r="D448" t="str">
        <f>VLOOKUP($A448,[1]Table!$A$2:$N623,D$1,FALSE)</f>
        <v>DIRECT WERKENDE ANTIVIRALE MIDDELEN</v>
      </c>
      <c r="E448" t="str">
        <f>VLOOKUP($A448,[1]Table!$A$2:$N623,E$1,FALSE)</f>
        <v>DOLUTEGRAVIR</v>
      </c>
      <c r="F448" t="str">
        <f>VLOOKUP($A448,[1]Table!$A$2:$N623,F$1,FALSE)</f>
        <v>TIVICAY 50 MG TABLET</v>
      </c>
      <c r="G448" t="str">
        <f>VLOOKUP($A448,[1]Table!$A$2:$N623,G$1,FALSE)</f>
        <v>DOLUTEGRAVIR 50MG TABLET</v>
      </c>
      <c r="H448" t="str">
        <f>VLOOKUP($A448,[1]Table!$A$2:$N623,H$1,FALSE)</f>
        <v>tablet</v>
      </c>
      <c r="I448" t="str">
        <f>VLOOKUP($A448,[1]Table!$A$2:$N623,I$1,FALSE)</f>
        <v>or</v>
      </c>
      <c r="J448">
        <f>VLOOKUP($A448,[1]Table!$A$2:$N623,J$1,FALSE)</f>
        <v>50</v>
      </c>
      <c r="K448" t="str">
        <f>VLOOKUP($A448,[1]Table!$A$2:$N623,K$1,FALSE)</f>
        <v>mg/stuk</v>
      </c>
      <c r="L448">
        <f>VLOOKUP($A448,[1]Table!$A$2:$N623,L$1,FALSE)</f>
        <v>50</v>
      </c>
      <c r="M448" t="str">
        <f>VLOOKUP($A448,[1]Table!$A$2:$N623,M$1,FALSE)</f>
        <v>mg</v>
      </c>
      <c r="N448" t="str">
        <f>VLOOKUP($A448,[1]Table!$A$2:$N623,N$1,FALSE)</f>
        <v>HIV</v>
      </c>
      <c r="O448" t="str">
        <f>ConcatenateRange(AZ448:BU448,"||")</f>
        <v/>
      </c>
      <c r="AZ448" t="str">
        <f t="shared" si="176"/>
        <v/>
      </c>
      <c r="BA448" t="str">
        <f t="shared" si="177"/>
        <v/>
      </c>
      <c r="BB448" t="str">
        <f t="shared" si="178"/>
        <v/>
      </c>
      <c r="BC448" t="str">
        <f t="shared" si="179"/>
        <v/>
      </c>
      <c r="BD448" t="str">
        <f t="shared" si="180"/>
        <v/>
      </c>
      <c r="BE448" t="str">
        <f t="shared" si="181"/>
        <v/>
      </c>
      <c r="BF448" t="str">
        <f t="shared" si="182"/>
        <v/>
      </c>
      <c r="BG448" t="str">
        <f t="shared" si="183"/>
        <v/>
      </c>
      <c r="BH448" t="str">
        <f t="shared" si="184"/>
        <v/>
      </c>
      <c r="BI448" t="str">
        <f t="shared" si="185"/>
        <v/>
      </c>
      <c r="BJ448" t="str">
        <f t="shared" si="186"/>
        <v/>
      </c>
      <c r="BK448" t="str">
        <f t="shared" si="187"/>
        <v/>
      </c>
      <c r="BL448" t="str">
        <f t="shared" si="188"/>
        <v/>
      </c>
      <c r="BM448" t="str">
        <f t="shared" si="189"/>
        <v/>
      </c>
      <c r="BN448" t="str">
        <f t="shared" si="190"/>
        <v/>
      </c>
      <c r="BO448" t="str">
        <f t="shared" si="191"/>
        <v/>
      </c>
      <c r="BP448" t="str">
        <f t="shared" si="192"/>
        <v/>
      </c>
      <c r="BQ448" t="str">
        <f t="shared" si="193"/>
        <v/>
      </c>
      <c r="BR448" t="str">
        <f t="shared" si="194"/>
        <v/>
      </c>
      <c r="BS448" t="str">
        <f t="shared" si="195"/>
        <v/>
      </c>
      <c r="BT448" t="str">
        <f t="shared" si="196"/>
        <v/>
      </c>
      <c r="BU448" t="str">
        <f t="shared" si="197"/>
        <v/>
      </c>
    </row>
    <row r="449" spans="1:73">
      <c r="A449" s="1">
        <v>165603</v>
      </c>
      <c r="B449" t="str">
        <f>VLOOKUP($A449,[1]Table!$A$2:$N984,B$1,FALSE)</f>
        <v>J05AR13</v>
      </c>
      <c r="C449" t="str">
        <f>VLOOKUP($A449,[1]Table!$A$2:$N984,C$1,FALSE)</f>
        <v>ANTIVIRALE MIDDELEN VOOR SYSTEMISCH GEBRUIK</v>
      </c>
      <c r="D449" t="str">
        <f>VLOOKUP($A449,[1]Table!$A$2:$N984,D$1,FALSE)</f>
        <v>DIRECT WERKENDE ANTIVIRALE MIDDELEN</v>
      </c>
      <c r="E449" t="str">
        <f>VLOOKUP($A449,[1]Table!$A$2:$N984,E$1,FALSE)</f>
        <v>DOLUTEGRAVIR/ABACAVIR/LAMIVUDINE</v>
      </c>
      <c r="F449" t="str">
        <f>VLOOKUP($A449,[1]Table!$A$2:$N984,F$1,FALSE)</f>
        <v>TRIUMEQ  TABLET (50/600/300MG)</v>
      </c>
      <c r="G449" t="str">
        <f>VLOOKUP($A449,[1]Table!$A$2:$N984,G$1,FALSE)</f>
        <v>DOLU/ABA/LAM T 50/600/300MG</v>
      </c>
      <c r="H449" t="str">
        <f>VLOOKUP($A449,[1]Table!$A$2:$N984,H$1,FALSE)</f>
        <v>tablet</v>
      </c>
      <c r="I449" t="str">
        <f>VLOOKUP($A449,[1]Table!$A$2:$N984,I$1,FALSE)</f>
        <v>or</v>
      </c>
      <c r="J449">
        <f>VLOOKUP($A449,[1]Table!$A$2:$N984,J$1,FALSE)</f>
        <v>300</v>
      </c>
      <c r="K449" t="str">
        <f>VLOOKUP($A449,[1]Table!$A$2:$N984,K$1,FALSE)</f>
        <v>mg/stuk</v>
      </c>
      <c r="L449">
        <f>VLOOKUP($A449,[1]Table!$A$2:$N984,L$1,FALSE)</f>
        <v>300</v>
      </c>
      <c r="M449" t="str">
        <f>VLOOKUP($A449,[1]Table!$A$2:$N984,M$1,FALSE)</f>
        <v>mg</v>
      </c>
      <c r="N449" t="str">
        <f>VLOOKUP($A449,[1]Table!$A$2:$N984,N$1,FALSE)</f>
        <v>HIV</v>
      </c>
      <c r="O449" t="str">
        <f>ConcatenateRange(AZ449:BU449,"||")</f>
        <v/>
      </c>
      <c r="AZ449" t="str">
        <f t="shared" si="176"/>
        <v/>
      </c>
      <c r="BA449" t="str">
        <f t="shared" si="177"/>
        <v/>
      </c>
      <c r="BB449" t="str">
        <f t="shared" si="178"/>
        <v/>
      </c>
      <c r="BC449" t="str">
        <f t="shared" si="179"/>
        <v/>
      </c>
      <c r="BD449" t="str">
        <f t="shared" si="180"/>
        <v/>
      </c>
      <c r="BE449" t="str">
        <f t="shared" si="181"/>
        <v/>
      </c>
      <c r="BF449" t="str">
        <f t="shared" si="182"/>
        <v/>
      </c>
      <c r="BG449" t="str">
        <f t="shared" si="183"/>
        <v/>
      </c>
      <c r="BH449" t="str">
        <f t="shared" si="184"/>
        <v/>
      </c>
      <c r="BI449" t="str">
        <f t="shared" si="185"/>
        <v/>
      </c>
      <c r="BJ449" t="str">
        <f t="shared" si="186"/>
        <v/>
      </c>
      <c r="BK449" t="str">
        <f t="shared" si="187"/>
        <v/>
      </c>
      <c r="BL449" t="str">
        <f t="shared" si="188"/>
        <v/>
      </c>
      <c r="BM449" t="str">
        <f t="shared" si="189"/>
        <v/>
      </c>
      <c r="BN449" t="str">
        <f t="shared" si="190"/>
        <v/>
      </c>
      <c r="BO449" t="str">
        <f t="shared" si="191"/>
        <v/>
      </c>
      <c r="BP449" t="str">
        <f t="shared" si="192"/>
        <v/>
      </c>
      <c r="BQ449" t="str">
        <f t="shared" si="193"/>
        <v/>
      </c>
      <c r="BR449" t="str">
        <f t="shared" si="194"/>
        <v/>
      </c>
      <c r="BS449" t="str">
        <f t="shared" si="195"/>
        <v/>
      </c>
      <c r="BT449" t="str">
        <f t="shared" si="196"/>
        <v/>
      </c>
      <c r="BU449" t="str">
        <f t="shared" si="197"/>
        <v/>
      </c>
    </row>
    <row r="450" spans="1:73">
      <c r="A450" s="1">
        <v>74179</v>
      </c>
      <c r="B450" t="str">
        <f>VLOOKUP($A450,[1]Table!$A$2:$N624,B$1,FALSE)</f>
        <v>A03FA03</v>
      </c>
      <c r="C450" t="str">
        <f>VLOOKUP($A450,[1]Table!$A$2:$N624,C$1,FALSE)</f>
        <v>MIDDELEN BIJ FUNCTIONELE MAAGDARMSTOORNISSEN</v>
      </c>
      <c r="D450" t="str">
        <f>VLOOKUP($A450,[1]Table!$A$2:$N624,D$1,FALSE)</f>
        <v>MOTILITEITSBEVORDERENDE MIDDELEN</v>
      </c>
      <c r="E450" t="str">
        <f>VLOOKUP($A450,[1]Table!$A$2:$N624,E$1,FALSE)</f>
        <v>DOMPERIDON</v>
      </c>
      <c r="F450" t="str">
        <f>VLOOKUP($A450,[1]Table!$A$2:$N624,F$1,FALSE)</f>
        <v>MOTILIUM 1 MG/ML SUSPENSIE 200ML</v>
      </c>
      <c r="G450" t="str">
        <f>VLOOKUP($A450,[1]Table!$A$2:$N624,G$1,FALSE)</f>
        <v>DOMPERIDON 1MG/ML SUSPENSIE</v>
      </c>
      <c r="H450" t="str">
        <f>VLOOKUP($A450,[1]Table!$A$2:$N624,H$1,FALSE)</f>
        <v>suspensie voor oraal gebruik</v>
      </c>
      <c r="I450" t="str">
        <f>VLOOKUP($A450,[1]Table!$A$2:$N624,I$1,FALSE)</f>
        <v>or</v>
      </c>
      <c r="J450">
        <f>VLOOKUP($A450,[1]Table!$A$2:$N624,J$1,FALSE)</f>
        <v>1</v>
      </c>
      <c r="K450" t="str">
        <f>VLOOKUP($A450,[1]Table!$A$2:$N624,K$1,FALSE)</f>
        <v>mg/ml</v>
      </c>
      <c r="L450">
        <f>VLOOKUP($A450,[1]Table!$A$2:$N624,L$1,FALSE)</f>
        <v>1</v>
      </c>
      <c r="M450" t="str">
        <f>VLOOKUP($A450,[1]Table!$A$2:$N624,M$1,FALSE)</f>
        <v>mg</v>
      </c>
      <c r="N450" t="str">
        <f>VLOOKUP($A450,[1]Table!$A$2:$N624,N$1,FALSE)</f>
        <v>Gastro-oesofageale reflux ||Ernstige misselijkheid en braken, bijvoorbeeld bij oncologische aandoeningen (niet effectief bij braken met een cerebrale oorsprong)</v>
      </c>
      <c r="O450" t="str">
        <f>ConcatenateRange(AZ450:BU450,"||")</f>
        <v/>
      </c>
      <c r="AZ450" t="str">
        <f t="shared" si="176"/>
        <v/>
      </c>
      <c r="BA450" t="str">
        <f t="shared" si="177"/>
        <v/>
      </c>
      <c r="BB450" t="str">
        <f t="shared" si="178"/>
        <v/>
      </c>
      <c r="BC450" t="str">
        <f t="shared" si="179"/>
        <v/>
      </c>
      <c r="BD450" t="str">
        <f t="shared" si="180"/>
        <v/>
      </c>
      <c r="BE450" t="str">
        <f t="shared" si="181"/>
        <v/>
      </c>
      <c r="BF450" t="str">
        <f t="shared" si="182"/>
        <v/>
      </c>
      <c r="BG450" t="str">
        <f t="shared" si="183"/>
        <v/>
      </c>
      <c r="BH450" t="str">
        <f t="shared" si="184"/>
        <v/>
      </c>
      <c r="BI450" t="str">
        <f t="shared" si="185"/>
        <v/>
      </c>
      <c r="BJ450" t="str">
        <f t="shared" si="186"/>
        <v/>
      </c>
      <c r="BK450" t="str">
        <f t="shared" si="187"/>
        <v/>
      </c>
      <c r="BL450" t="str">
        <f t="shared" si="188"/>
        <v/>
      </c>
      <c r="BM450" t="str">
        <f t="shared" si="189"/>
        <v/>
      </c>
      <c r="BN450" t="str">
        <f t="shared" si="190"/>
        <v/>
      </c>
      <c r="BO450" t="str">
        <f t="shared" si="191"/>
        <v/>
      </c>
      <c r="BP450" t="str">
        <f t="shared" si="192"/>
        <v/>
      </c>
      <c r="BQ450" t="str">
        <f t="shared" si="193"/>
        <v/>
      </c>
      <c r="BR450" t="str">
        <f t="shared" si="194"/>
        <v/>
      </c>
      <c r="BS450" t="str">
        <f t="shared" si="195"/>
        <v/>
      </c>
      <c r="BT450" t="str">
        <f t="shared" si="196"/>
        <v/>
      </c>
      <c r="BU450" t="str">
        <f t="shared" si="197"/>
        <v/>
      </c>
    </row>
    <row r="451" spans="1:73">
      <c r="A451" s="1">
        <v>69159</v>
      </c>
      <c r="B451" t="str">
        <f>VLOOKUP($A451,[1]Table!$A$2:$N625,B$1,FALSE)</f>
        <v>A03FA03</v>
      </c>
      <c r="C451" t="str">
        <f>VLOOKUP($A451,[1]Table!$A$2:$N625,C$1,FALSE)</f>
        <v>MIDDELEN BIJ FUNCTIONELE MAAGDARMSTOORNISSEN</v>
      </c>
      <c r="D451" t="str">
        <f>VLOOKUP($A451,[1]Table!$A$2:$N625,D$1,FALSE)</f>
        <v>MOTILITEITSBEVORDERENDE MIDDELEN</v>
      </c>
      <c r="E451" t="str">
        <f>VLOOKUP($A451,[1]Table!$A$2:$N625,E$1,FALSE)</f>
        <v>DOMPERIDON</v>
      </c>
      <c r="F451" t="str">
        <f>VLOOKUP($A451,[1]Table!$A$2:$N625,F$1,FALSE)</f>
        <v>DOMPERIDON 10 MG TABLET</v>
      </c>
      <c r="G451" t="str">
        <f>VLOOKUP($A451,[1]Table!$A$2:$N625,G$1,FALSE)</f>
        <v>DOMPERIDON 10MG TABLET</v>
      </c>
      <c r="H451" t="str">
        <f>VLOOKUP($A451,[1]Table!$A$2:$N625,H$1,FALSE)</f>
        <v>tablet</v>
      </c>
      <c r="I451" t="str">
        <f>VLOOKUP($A451,[1]Table!$A$2:$N625,I$1,FALSE)</f>
        <v>or</v>
      </c>
      <c r="J451">
        <f>VLOOKUP($A451,[1]Table!$A$2:$N625,J$1,FALSE)</f>
        <v>10</v>
      </c>
      <c r="K451" t="str">
        <f>VLOOKUP($A451,[1]Table!$A$2:$N625,K$1,FALSE)</f>
        <v>mg/stuk</v>
      </c>
      <c r="L451">
        <f>VLOOKUP($A451,[1]Table!$A$2:$N625,L$1,FALSE)</f>
        <v>10</v>
      </c>
      <c r="M451" t="str">
        <f>VLOOKUP($A451,[1]Table!$A$2:$N625,M$1,FALSE)</f>
        <v>mg</v>
      </c>
      <c r="N451" t="str">
        <f>VLOOKUP($A451,[1]Table!$A$2:$N625,N$1,FALSE)</f>
        <v>Gastro-oesofageale reflux ||Ernstige misselijkheid en braken, bijvoorbeeld bij oncologische aandoeningen (niet effectief bij braken met een cerebrale oorsprong)</v>
      </c>
      <c r="O451" t="str">
        <f>ConcatenateRange(AZ451:BU451,"||")</f>
        <v/>
      </c>
      <c r="AZ451" t="str">
        <f t="shared" si="176"/>
        <v/>
      </c>
      <c r="BA451" t="str">
        <f t="shared" si="177"/>
        <v/>
      </c>
      <c r="BB451" t="str">
        <f t="shared" si="178"/>
        <v/>
      </c>
      <c r="BC451" t="str">
        <f t="shared" si="179"/>
        <v/>
      </c>
      <c r="BD451" t="str">
        <f t="shared" si="180"/>
        <v/>
      </c>
      <c r="BE451" t="str">
        <f t="shared" si="181"/>
        <v/>
      </c>
      <c r="BF451" t="str">
        <f t="shared" si="182"/>
        <v/>
      </c>
      <c r="BG451" t="str">
        <f t="shared" si="183"/>
        <v/>
      </c>
      <c r="BH451" t="str">
        <f t="shared" si="184"/>
        <v/>
      </c>
      <c r="BI451" t="str">
        <f t="shared" si="185"/>
        <v/>
      </c>
      <c r="BJ451" t="str">
        <f t="shared" si="186"/>
        <v/>
      </c>
      <c r="BK451" t="str">
        <f t="shared" si="187"/>
        <v/>
      </c>
      <c r="BL451" t="str">
        <f t="shared" si="188"/>
        <v/>
      </c>
      <c r="BM451" t="str">
        <f t="shared" si="189"/>
        <v/>
      </c>
      <c r="BN451" t="str">
        <f t="shared" si="190"/>
        <v/>
      </c>
      <c r="BO451" t="str">
        <f t="shared" si="191"/>
        <v/>
      </c>
      <c r="BP451" t="str">
        <f t="shared" si="192"/>
        <v/>
      </c>
      <c r="BQ451" t="str">
        <f t="shared" si="193"/>
        <v/>
      </c>
      <c r="BR451" t="str">
        <f t="shared" si="194"/>
        <v/>
      </c>
      <c r="BS451" t="str">
        <f t="shared" si="195"/>
        <v/>
      </c>
      <c r="BT451" t="str">
        <f t="shared" si="196"/>
        <v/>
      </c>
      <c r="BU451" t="str">
        <f t="shared" si="197"/>
        <v/>
      </c>
    </row>
    <row r="452" spans="1:73">
      <c r="A452" s="1">
        <v>16438</v>
      </c>
      <c r="B452" t="str">
        <f>VLOOKUP($A452,[1]Table!$A$2:$N626,B$1,FALSE)</f>
        <v>C01CA04</v>
      </c>
      <c r="C452" t="str">
        <f>VLOOKUP($A452,[1]Table!$A$2:$N626,C$1,FALSE)</f>
        <v>CARDIACA</v>
      </c>
      <c r="D452" t="str">
        <f>VLOOKUP($A452,[1]Table!$A$2:$N626,D$1,FALSE)</f>
        <v>HARTSTIMULANTIA, EXCLUSIEF HARTGLYCOSIDEN</v>
      </c>
      <c r="E452" t="str">
        <f>VLOOKUP($A452,[1]Table!$A$2:$N626,E$1,FALSE)</f>
        <v>DOPAMINE</v>
      </c>
      <c r="F452" t="str">
        <f>VLOOKUP($A452,[1]Table!$A$2:$N626,F$1,FALSE)</f>
        <v>DOPAMINE 40 MG/ML INFVLST AMPUL 5ML</v>
      </c>
      <c r="G452" t="str">
        <f>VLOOKUP($A452,[1]Table!$A$2:$N626,G$1,FALSE)</f>
        <v>DOPAMINE 40MG/ML INF CONC</v>
      </c>
      <c r="H452" t="str">
        <f>VLOOKUP($A452,[1]Table!$A$2:$N626,H$1,FALSE)</f>
        <v>concentraat voor oplossing voor infusie</v>
      </c>
      <c r="I452" t="str">
        <f>VLOOKUP($A452,[1]Table!$A$2:$N626,I$1,FALSE)</f>
        <v>iv</v>
      </c>
      <c r="J452">
        <f>VLOOKUP($A452,[1]Table!$A$2:$N626,J$1,FALSE)</f>
        <v>40</v>
      </c>
      <c r="K452" t="str">
        <f>VLOOKUP($A452,[1]Table!$A$2:$N626,K$1,FALSE)</f>
        <v>mg/ml</v>
      </c>
      <c r="L452">
        <f>VLOOKUP($A452,[1]Table!$A$2:$N626,L$1,FALSE)</f>
        <v>40</v>
      </c>
      <c r="M452" t="str">
        <f>VLOOKUP($A452,[1]Table!$A$2:$N626,M$1,FALSE)</f>
        <v>mg</v>
      </c>
      <c r="N452" t="str">
        <f>VLOOKUP($A452,[1]Table!$A$2:$N626,N$1,FALSE)</f>
        <v>Toename nierperfusie||Hypotensie/verhogen hartminuutvolume</v>
      </c>
      <c r="O452" t="str">
        <f>ConcatenateRange(AZ452:BU452,"||")</f>
        <v/>
      </c>
      <c r="AZ452" t="str">
        <f t="shared" si="176"/>
        <v/>
      </c>
      <c r="BA452" t="str">
        <f t="shared" si="177"/>
        <v/>
      </c>
      <c r="BB452" t="str">
        <f t="shared" si="178"/>
        <v/>
      </c>
      <c r="BC452" t="str">
        <f t="shared" si="179"/>
        <v/>
      </c>
      <c r="BD452" t="str">
        <f t="shared" si="180"/>
        <v/>
      </c>
      <c r="BE452" t="str">
        <f t="shared" si="181"/>
        <v/>
      </c>
      <c r="BF452" t="str">
        <f t="shared" si="182"/>
        <v/>
      </c>
      <c r="BG452" t="str">
        <f t="shared" si="183"/>
        <v/>
      </c>
      <c r="BH452" t="str">
        <f t="shared" si="184"/>
        <v/>
      </c>
      <c r="BI452" t="str">
        <f t="shared" si="185"/>
        <v/>
      </c>
      <c r="BJ452" t="str">
        <f t="shared" si="186"/>
        <v/>
      </c>
      <c r="BK452" t="str">
        <f t="shared" si="187"/>
        <v/>
      </c>
      <c r="BL452" t="str">
        <f t="shared" si="188"/>
        <v/>
      </c>
      <c r="BM452" t="str">
        <f t="shared" si="189"/>
        <v/>
      </c>
      <c r="BN452" t="str">
        <f t="shared" si="190"/>
        <v/>
      </c>
      <c r="BO452" t="str">
        <f t="shared" si="191"/>
        <v/>
      </c>
      <c r="BP452" t="str">
        <f t="shared" si="192"/>
        <v/>
      </c>
      <c r="BQ452" t="str">
        <f t="shared" si="193"/>
        <v/>
      </c>
      <c r="BR452" t="str">
        <f t="shared" si="194"/>
        <v/>
      </c>
      <c r="BS452" t="str">
        <f t="shared" si="195"/>
        <v/>
      </c>
      <c r="BT452" t="str">
        <f t="shared" si="196"/>
        <v/>
      </c>
      <c r="BU452" t="str">
        <f t="shared" si="197"/>
        <v/>
      </c>
    </row>
    <row r="453" spans="1:73">
      <c r="A453" s="1">
        <v>92835</v>
      </c>
      <c r="B453" t="str">
        <f>VLOOKUP($A453,[1]Table!$A$2:$N627,B$1,FALSE)</f>
        <v>R05CB13</v>
      </c>
      <c r="C453" t="str">
        <f>VLOOKUP($A453,[1]Table!$A$2:$N627,C$1,FALSE)</f>
        <v>HOEST- EN VERKOUDHEIDSMIDDELEN</v>
      </c>
      <c r="D453" t="str">
        <f>VLOOKUP($A453,[1]Table!$A$2:$N627,D$1,FALSE)</f>
        <v>EXPECTORANTIA, EXCL COMB.PREP. MET HOESTPRIKKELDEMP.MIDD.</v>
      </c>
      <c r="E453" t="str">
        <f>VLOOKUP($A453,[1]Table!$A$2:$N627,E$1,FALSE)</f>
        <v>DORNASE</v>
      </c>
      <c r="F453" t="str">
        <f>VLOOKUP($A453,[1]Table!$A$2:$N627,F$1,FALSE)</f>
        <v>PULMOZYME 1 MG/ML AMPUL 2.5ML  INHVLST</v>
      </c>
      <c r="G453" t="str">
        <f>VLOOKUP($A453,[1]Table!$A$2:$N627,G$1,FALSE)</f>
        <v>DORNASE 1MG/ML VERNEVELVLST</v>
      </c>
      <c r="H453" t="str">
        <f>VLOOKUP($A453,[1]Table!$A$2:$N627,H$1,FALSE)</f>
        <v>vernevelvloeistof</v>
      </c>
      <c r="I453" t="str">
        <f>VLOOKUP($A453,[1]Table!$A$2:$N627,I$1,FALSE)</f>
        <v>inh</v>
      </c>
      <c r="J453">
        <f>VLOOKUP($A453,[1]Table!$A$2:$N627,J$1,FALSE)</f>
        <v>1</v>
      </c>
      <c r="K453" t="str">
        <f>VLOOKUP($A453,[1]Table!$A$2:$N627,K$1,FALSE)</f>
        <v>mg/ml</v>
      </c>
      <c r="L453">
        <f>VLOOKUP($A453,[1]Table!$A$2:$N627,L$1,FALSE)</f>
        <v>1</v>
      </c>
      <c r="M453" t="str">
        <f>VLOOKUP($A453,[1]Table!$A$2:$N627,M$1,FALSE)</f>
        <v>mg</v>
      </c>
      <c r="N453" t="str">
        <f>VLOOKUP($A453,[1]Table!$A$2:$N627,N$1,FALSE)</f>
        <v>Cystic Fibrosis</v>
      </c>
      <c r="O453" t="str">
        <f>ConcatenateRange(AZ453:BU453,"||")</f>
        <v/>
      </c>
      <c r="AZ453" t="str">
        <f t="shared" si="176"/>
        <v/>
      </c>
      <c r="BA453" t="str">
        <f t="shared" si="177"/>
        <v/>
      </c>
      <c r="BB453" t="str">
        <f t="shared" si="178"/>
        <v/>
      </c>
      <c r="BC453" t="str">
        <f t="shared" si="179"/>
        <v/>
      </c>
      <c r="BD453" t="str">
        <f t="shared" si="180"/>
        <v/>
      </c>
      <c r="BE453" t="str">
        <f t="shared" si="181"/>
        <v/>
      </c>
      <c r="BF453" t="str">
        <f t="shared" si="182"/>
        <v/>
      </c>
      <c r="BG453" t="str">
        <f t="shared" si="183"/>
        <v/>
      </c>
      <c r="BH453" t="str">
        <f t="shared" si="184"/>
        <v/>
      </c>
      <c r="BI453" t="str">
        <f t="shared" si="185"/>
        <v/>
      </c>
      <c r="BJ453" t="str">
        <f t="shared" si="186"/>
        <v/>
      </c>
      <c r="BK453" t="str">
        <f t="shared" si="187"/>
        <v/>
      </c>
      <c r="BL453" t="str">
        <f t="shared" si="188"/>
        <v/>
      </c>
      <c r="BM453" t="str">
        <f t="shared" si="189"/>
        <v/>
      </c>
      <c r="BN453" t="str">
        <f t="shared" si="190"/>
        <v/>
      </c>
      <c r="BO453" t="str">
        <f t="shared" si="191"/>
        <v/>
      </c>
      <c r="BP453" t="str">
        <f t="shared" si="192"/>
        <v/>
      </c>
      <c r="BQ453" t="str">
        <f t="shared" si="193"/>
        <v/>
      </c>
      <c r="BR453" t="str">
        <f t="shared" si="194"/>
        <v/>
      </c>
      <c r="BS453" t="str">
        <f t="shared" si="195"/>
        <v/>
      </c>
      <c r="BT453" t="str">
        <f t="shared" si="196"/>
        <v/>
      </c>
      <c r="BU453" t="str">
        <f t="shared" si="197"/>
        <v/>
      </c>
    </row>
    <row r="454" spans="1:73">
      <c r="A454" s="1">
        <v>95575</v>
      </c>
      <c r="B454" t="str">
        <f>VLOOKUP($A454,[1]Table!$A$2:$N628,B$1,FALSE)</f>
        <v>S01EC03</v>
      </c>
      <c r="C454" t="str">
        <f>VLOOKUP($A454,[1]Table!$A$2:$N628,C$1,FALSE)</f>
        <v>MIDDELEN VOOR OOGHEELKUNDIG GEBRUIK</v>
      </c>
      <c r="D454" t="str">
        <f>VLOOKUP($A454,[1]Table!$A$2:$N628,D$1,FALSE)</f>
        <v>GLAUCOOMMIDDELEN EN MIOTICA</v>
      </c>
      <c r="E454" t="str">
        <f>VLOOKUP($A454,[1]Table!$A$2:$N628,E$1,FALSE)</f>
        <v>DORZOLAMIDE</v>
      </c>
      <c r="F454" t="str">
        <f>VLOOKUP($A454,[1]Table!$A$2:$N628,F$1,FALSE)</f>
        <v>DORZOLAMIDE 20MG/ML OOGDRUPPELS FLACON 5ML</v>
      </c>
      <c r="G454" t="str">
        <f>VLOOKUP($A454,[1]Table!$A$2:$N628,G$1,FALSE)</f>
        <v>DORZOLAMIDE 20MG/ML OOGDR</v>
      </c>
      <c r="H454" t="str">
        <f>VLOOKUP($A454,[1]Table!$A$2:$N628,H$1,FALSE)</f>
        <v>oogdruppels</v>
      </c>
      <c r="I454" t="str">
        <f>VLOOKUP($A454,[1]Table!$A$2:$N628,I$1,FALSE)</f>
        <v>oog</v>
      </c>
      <c r="J454">
        <f>VLOOKUP($A454,[1]Table!$A$2:$N628,J$1,FALSE)</f>
        <v>20</v>
      </c>
      <c r="K454" t="str">
        <f>VLOOKUP($A454,[1]Table!$A$2:$N628,K$1,FALSE)</f>
        <v>mg/ml</v>
      </c>
      <c r="L454">
        <f>VLOOKUP($A454,[1]Table!$A$2:$N628,L$1,FALSE)</f>
        <v>20</v>
      </c>
      <c r="M454" t="str">
        <f>VLOOKUP($A454,[1]Table!$A$2:$N628,M$1,FALSE)</f>
        <v>mg</v>
      </c>
      <c r="N454" t="str">
        <f>VLOOKUP($A454,[1]Table!$A$2:$N628,N$1,FALSE)</f>
        <v>Glaucoom</v>
      </c>
      <c r="O454" t="str">
        <f>ConcatenateRange(AZ454:BU454,"||")</f>
        <v/>
      </c>
      <c r="AZ454" t="str">
        <f t="shared" si="176"/>
        <v/>
      </c>
      <c r="BA454" t="str">
        <f t="shared" si="177"/>
        <v/>
      </c>
      <c r="BB454" t="str">
        <f t="shared" si="178"/>
        <v/>
      </c>
      <c r="BC454" t="str">
        <f t="shared" si="179"/>
        <v/>
      </c>
      <c r="BD454" t="str">
        <f t="shared" si="180"/>
        <v/>
      </c>
      <c r="BE454" t="str">
        <f t="shared" si="181"/>
        <v/>
      </c>
      <c r="BF454" t="str">
        <f t="shared" si="182"/>
        <v/>
      </c>
      <c r="BG454" t="str">
        <f t="shared" si="183"/>
        <v/>
      </c>
      <c r="BH454" t="str">
        <f t="shared" si="184"/>
        <v/>
      </c>
      <c r="BI454" t="str">
        <f t="shared" si="185"/>
        <v/>
      </c>
      <c r="BJ454" t="str">
        <f t="shared" si="186"/>
        <v/>
      </c>
      <c r="BK454" t="str">
        <f t="shared" si="187"/>
        <v/>
      </c>
      <c r="BL454" t="str">
        <f t="shared" si="188"/>
        <v/>
      </c>
      <c r="BM454" t="str">
        <f t="shared" si="189"/>
        <v/>
      </c>
      <c r="BN454" t="str">
        <f t="shared" si="190"/>
        <v/>
      </c>
      <c r="BO454" t="str">
        <f t="shared" si="191"/>
        <v/>
      </c>
      <c r="BP454" t="str">
        <f t="shared" si="192"/>
        <v/>
      </c>
      <c r="BQ454" t="str">
        <f t="shared" si="193"/>
        <v/>
      </c>
      <c r="BR454" t="str">
        <f t="shared" si="194"/>
        <v/>
      </c>
      <c r="BS454" t="str">
        <f t="shared" si="195"/>
        <v/>
      </c>
      <c r="BT454" t="str">
        <f t="shared" si="196"/>
        <v/>
      </c>
      <c r="BU454" t="str">
        <f t="shared" si="197"/>
        <v/>
      </c>
    </row>
    <row r="455" spans="1:73">
      <c r="A455" s="1">
        <v>93416</v>
      </c>
      <c r="B455" t="str">
        <f>VLOOKUP($A455,[1]Table!$A$2:$N629,B$1,FALSE)</f>
        <v>R07AB01</v>
      </c>
      <c r="C455" t="str">
        <f>VLOOKUP($A455,[1]Table!$A$2:$N629,C$1,FALSE)</f>
        <v>OVERIGE MIDDELEN VOOR HET ADEMHALINGSSTELSEL</v>
      </c>
      <c r="D455" t="str">
        <f>VLOOKUP($A455,[1]Table!$A$2:$N629,D$1,FALSE)</f>
        <v>OVERIGE MIDDELEN VOOR HET ADEMHALINGSSTELSEL</v>
      </c>
      <c r="E455" t="str">
        <f>VLOOKUP($A455,[1]Table!$A$2:$N629,E$1,FALSE)</f>
        <v>DOXAPRAM</v>
      </c>
      <c r="F455" t="str">
        <f>VLOOKUP($A455,[1]Table!$A$2:$N629,F$1,FALSE)</f>
        <v>DOPRAM 2 MG/ML INFUSIEZAK 500ML</v>
      </c>
      <c r="G455" t="str">
        <f>VLOOKUP($A455,[1]Table!$A$2:$N629,G$1,FALSE)</f>
        <v>DOXAPRAM 2MG/ML INFVLST</v>
      </c>
      <c r="H455" t="str">
        <f>VLOOKUP($A455,[1]Table!$A$2:$N629,H$1,FALSE)</f>
        <v>infusievloeistof</v>
      </c>
      <c r="I455" t="s">
        <v>88</v>
      </c>
      <c r="J455">
        <f>VLOOKUP($A455,[1]Table!$A$2:$N629,J$1,FALSE)</f>
        <v>2</v>
      </c>
      <c r="K455" t="str">
        <f>VLOOKUP($A455,[1]Table!$A$2:$N629,K$1,FALSE)</f>
        <v>mg/ml</v>
      </c>
      <c r="L455">
        <f>VLOOKUP($A455,[1]Table!$A$2:$N629,L$1,FALSE)</f>
        <v>2</v>
      </c>
      <c r="M455" t="str">
        <f>VLOOKUP($A455,[1]Table!$A$2:$N629,M$1,FALSE)</f>
        <v>mg</v>
      </c>
      <c r="N455" t="str">
        <f>VLOOKUP($A455,[1]Table!$A$2:$N629,N$1,FALSE)</f>
        <v>Idiopathische apnoe (niet reagerend op maximale coffeïne)</v>
      </c>
      <c r="O455" t="str">
        <f>ConcatenateRange(AZ455:BU455,"||")</f>
        <v/>
      </c>
      <c r="AZ455" t="str">
        <f t="shared" si="176"/>
        <v/>
      </c>
      <c r="BA455" t="str">
        <f t="shared" si="177"/>
        <v/>
      </c>
      <c r="BB455" t="str">
        <f t="shared" si="178"/>
        <v/>
      </c>
      <c r="BC455" t="str">
        <f t="shared" si="179"/>
        <v/>
      </c>
      <c r="BD455" t="str">
        <f t="shared" si="180"/>
        <v/>
      </c>
      <c r="BE455" t="str">
        <f t="shared" si="181"/>
        <v/>
      </c>
      <c r="BF455" t="str">
        <f t="shared" si="182"/>
        <v/>
      </c>
      <c r="BG455" t="str">
        <f t="shared" si="183"/>
        <v/>
      </c>
      <c r="BH455" t="str">
        <f t="shared" si="184"/>
        <v/>
      </c>
      <c r="BI455" t="str">
        <f t="shared" si="185"/>
        <v/>
      </c>
      <c r="BJ455" t="str">
        <f t="shared" si="186"/>
        <v/>
      </c>
      <c r="BK455" t="str">
        <f t="shared" si="187"/>
        <v/>
      </c>
      <c r="BL455" t="str">
        <f t="shared" si="188"/>
        <v/>
      </c>
      <c r="BM455" t="str">
        <f t="shared" si="189"/>
        <v/>
      </c>
      <c r="BN455" t="str">
        <f t="shared" si="190"/>
        <v/>
      </c>
      <c r="BO455" t="str">
        <f t="shared" si="191"/>
        <v/>
      </c>
      <c r="BP455" t="str">
        <f t="shared" si="192"/>
        <v/>
      </c>
      <c r="BQ455" t="str">
        <f t="shared" si="193"/>
        <v/>
      </c>
      <c r="BR455" t="str">
        <f t="shared" si="194"/>
        <v/>
      </c>
      <c r="BS455" t="str">
        <f t="shared" si="195"/>
        <v/>
      </c>
      <c r="BT455" t="str">
        <f t="shared" si="196"/>
        <v/>
      </c>
      <c r="BU455" t="str">
        <f t="shared" si="197"/>
        <v/>
      </c>
    </row>
    <row r="456" spans="1:73">
      <c r="A456" s="1">
        <v>154156</v>
      </c>
      <c r="B456" t="str">
        <f>VLOOKUP($A456,[1]Table!$A$2:$N630,B$1,FALSE)</f>
        <v>L01DB01</v>
      </c>
      <c r="C456" t="str">
        <f>VLOOKUP($A456,[1]Table!$A$2:$N630,C$1,FALSE)</f>
        <v>ONCOLYTICA</v>
      </c>
      <c r="D456" t="str">
        <f>VLOOKUP($A456,[1]Table!$A$2:$N630,D$1,FALSE)</f>
        <v>CYTOTOXISCHE ANTIBIOTICA  EN VERWANTE VERBINDINGEN</v>
      </c>
      <c r="E456" t="str">
        <f>VLOOKUP($A456,[1]Table!$A$2:$N630,E$1,FALSE)</f>
        <v>DOXORUBICINE</v>
      </c>
      <c r="F456" t="str">
        <f>VLOOKUP($A456,[1]Table!$A$2:$N630,F$1,FALSE)</f>
        <v>CAELYX 20 MG = 10 ML FLACON</v>
      </c>
      <c r="G456" t="str">
        <f>VLOOKUP($A456,[1]Table!$A$2:$N630,G$1,FALSE)</f>
        <v>DOXORUBICINE 2MG/ML INFOPL</v>
      </c>
      <c r="H456" t="str">
        <f>VLOOKUP($A456,[1]Table!$A$2:$N630,H$1,FALSE)</f>
        <v>concentraat voor oplossing voor infusie</v>
      </c>
      <c r="I456" t="str">
        <f>VLOOKUP($A456,[1]Table!$A$2:$N630,I$1,FALSE)</f>
        <v>iv</v>
      </c>
      <c r="J456">
        <f>VLOOKUP($A456,[1]Table!$A$2:$N630,J$1,FALSE)</f>
        <v>2</v>
      </c>
      <c r="K456" t="str">
        <f>VLOOKUP($A456,[1]Table!$A$2:$N630,K$1,FALSE)</f>
        <v>mg/ml</v>
      </c>
      <c r="L456">
        <f>VLOOKUP($A456,[1]Table!$A$2:$N630,L$1,FALSE)</f>
        <v>2</v>
      </c>
      <c r="M456" t="str">
        <f>VLOOKUP($A456,[1]Table!$A$2:$N630,M$1,FALSE)</f>
        <v>mg</v>
      </c>
      <c r="N456" t="str">
        <f>VLOOKUP($A456,[1]Table!$A$2:$N630,N$1,FALSE)</f>
        <v>Oncologische aandoeningen</v>
      </c>
      <c r="O456" t="str">
        <f>ConcatenateRange(AZ456:BU456,"||")</f>
        <v/>
      </c>
      <c r="AZ456" t="str">
        <f t="shared" si="176"/>
        <v/>
      </c>
      <c r="BA456" t="str">
        <f t="shared" si="177"/>
        <v/>
      </c>
      <c r="BB456" t="str">
        <f t="shared" si="178"/>
        <v/>
      </c>
      <c r="BC456" t="str">
        <f t="shared" si="179"/>
        <v/>
      </c>
      <c r="BD456" t="str">
        <f t="shared" si="180"/>
        <v/>
      </c>
      <c r="BE456" t="str">
        <f t="shared" si="181"/>
        <v/>
      </c>
      <c r="BF456" t="str">
        <f t="shared" si="182"/>
        <v/>
      </c>
      <c r="BG456" t="str">
        <f t="shared" si="183"/>
        <v/>
      </c>
      <c r="BH456" t="str">
        <f t="shared" si="184"/>
        <v/>
      </c>
      <c r="BI456" t="str">
        <f t="shared" si="185"/>
        <v/>
      </c>
      <c r="BJ456" t="str">
        <f t="shared" si="186"/>
        <v/>
      </c>
      <c r="BK456" t="str">
        <f t="shared" si="187"/>
        <v/>
      </c>
      <c r="BL456" t="str">
        <f t="shared" si="188"/>
        <v/>
      </c>
      <c r="BM456" t="str">
        <f t="shared" si="189"/>
        <v/>
      </c>
      <c r="BN456" t="str">
        <f t="shared" si="190"/>
        <v/>
      </c>
      <c r="BO456" t="str">
        <f t="shared" si="191"/>
        <v/>
      </c>
      <c r="BP456" t="str">
        <f t="shared" si="192"/>
        <v/>
      </c>
      <c r="BQ456" t="str">
        <f t="shared" si="193"/>
        <v/>
      </c>
      <c r="BR456" t="str">
        <f t="shared" si="194"/>
        <v/>
      </c>
      <c r="BS456" t="str">
        <f t="shared" si="195"/>
        <v/>
      </c>
      <c r="BT456" t="str">
        <f t="shared" si="196"/>
        <v/>
      </c>
      <c r="BU456" t="str">
        <f t="shared" si="197"/>
        <v/>
      </c>
    </row>
    <row r="457" spans="1:73">
      <c r="A457" s="1">
        <v>81302</v>
      </c>
      <c r="B457" t="str">
        <f>VLOOKUP($A457,[1]Table!$A$2:$N631,B$1,FALSE)</f>
        <v>L01DB01</v>
      </c>
      <c r="C457" t="str">
        <f>VLOOKUP($A457,[1]Table!$A$2:$N631,C$1,FALSE)</f>
        <v>ONCOLYTICA</v>
      </c>
      <c r="D457" t="str">
        <f>VLOOKUP($A457,[1]Table!$A$2:$N631,D$1,FALSE)</f>
        <v>CYTOTOXISCHE ANTIBIOTICA  EN VERWANTE VERBINDINGEN</v>
      </c>
      <c r="E457" t="str">
        <f>VLOOKUP($A457,[1]Table!$A$2:$N631,E$1,FALSE)</f>
        <v>DOXORUBICINE</v>
      </c>
      <c r="F457" t="str">
        <f>VLOOKUP($A457,[1]Table!$A$2:$N631,F$1,FALSE)</f>
        <v>DOXORUBICINE HCL 10 MG = 5 ML  INFVLST CONC</v>
      </c>
      <c r="G457" t="str">
        <f>VLOOKUP($A457,[1]Table!$A$2:$N631,G$1,FALSE)</f>
        <v>DOXORUBICINE 2MG/ML INJVLST</v>
      </c>
      <c r="H457" t="str">
        <f>VLOOKUP($A457,[1]Table!$A$2:$N631,H$1,FALSE)</f>
        <v>injectievloeistof</v>
      </c>
      <c r="I457" t="str">
        <f>VLOOKUP($A457,[1]Table!$A$2:$N631,I$1,FALSE)</f>
        <v>iv||intravesic</v>
      </c>
      <c r="J457">
        <f>VLOOKUP($A457,[1]Table!$A$2:$N631,J$1,FALSE)</f>
        <v>2</v>
      </c>
      <c r="K457" t="str">
        <f>VLOOKUP($A457,[1]Table!$A$2:$N631,K$1,FALSE)</f>
        <v>mg/ml</v>
      </c>
      <c r="L457">
        <f>VLOOKUP($A457,[1]Table!$A$2:$N631,L$1,FALSE)</f>
        <v>2</v>
      </c>
      <c r="M457" t="str">
        <f>VLOOKUP($A457,[1]Table!$A$2:$N631,M$1,FALSE)</f>
        <v>mg</v>
      </c>
      <c r="N457" t="str">
        <f>VLOOKUP($A457,[1]Table!$A$2:$N631,N$1,FALSE)</f>
        <v>Oncologische aandoeningen</v>
      </c>
      <c r="O457" t="str">
        <f>ConcatenateRange(AZ457:BU457,"||")</f>
        <v/>
      </c>
      <c r="AZ457" t="str">
        <f t="shared" si="176"/>
        <v/>
      </c>
      <c r="BA457" t="str">
        <f t="shared" si="177"/>
        <v/>
      </c>
      <c r="BB457" t="str">
        <f t="shared" si="178"/>
        <v/>
      </c>
      <c r="BC457" t="str">
        <f t="shared" si="179"/>
        <v/>
      </c>
      <c r="BD457" t="str">
        <f t="shared" si="180"/>
        <v/>
      </c>
      <c r="BE457" t="str">
        <f t="shared" si="181"/>
        <v/>
      </c>
      <c r="BF457" t="str">
        <f t="shared" si="182"/>
        <v/>
      </c>
      <c r="BG457" t="str">
        <f t="shared" si="183"/>
        <v/>
      </c>
      <c r="BH457" t="str">
        <f t="shared" si="184"/>
        <v/>
      </c>
      <c r="BI457" t="str">
        <f t="shared" si="185"/>
        <v/>
      </c>
      <c r="BJ457" t="str">
        <f t="shared" si="186"/>
        <v/>
      </c>
      <c r="BK457" t="str">
        <f t="shared" si="187"/>
        <v/>
      </c>
      <c r="BL457" t="str">
        <f t="shared" si="188"/>
        <v/>
      </c>
      <c r="BM457" t="str">
        <f t="shared" si="189"/>
        <v/>
      </c>
      <c r="BN457" t="str">
        <f t="shared" si="190"/>
        <v/>
      </c>
      <c r="BO457" t="str">
        <f t="shared" si="191"/>
        <v/>
      </c>
      <c r="BP457" t="str">
        <f t="shared" si="192"/>
        <v/>
      </c>
      <c r="BQ457" t="str">
        <f t="shared" si="193"/>
        <v/>
      </c>
      <c r="BR457" t="str">
        <f t="shared" si="194"/>
        <v/>
      </c>
      <c r="BS457" t="str">
        <f t="shared" si="195"/>
        <v/>
      </c>
      <c r="BT457" t="str">
        <f t="shared" si="196"/>
        <v/>
      </c>
      <c r="BU457" t="str">
        <f t="shared" si="197"/>
        <v/>
      </c>
    </row>
    <row r="458" spans="1:73">
      <c r="A458" s="1">
        <v>2089</v>
      </c>
      <c r="B458" t="str">
        <f>VLOOKUP($A458,[1]Table!$A$2:$N633,B$1,FALSE)</f>
        <v>J01AA02</v>
      </c>
      <c r="C458" t="str">
        <f>VLOOKUP($A458,[1]Table!$A$2:$N633,C$1,FALSE)</f>
        <v>ANTIBACTERIELE MIDDELEN VOOR SYSTEMISCH GEBRUIK</v>
      </c>
      <c r="D458" t="str">
        <f>VLOOKUP($A458,[1]Table!$A$2:$N633,D$1,FALSE)</f>
        <v>TETRACYCLINES</v>
      </c>
      <c r="E458" t="str">
        <f>VLOOKUP($A458,[1]Table!$A$2:$N633,E$1,FALSE)</f>
        <v>DOXYCYCLINE</v>
      </c>
      <c r="F458" t="str">
        <f>VLOOKUP($A458,[1]Table!$A$2:$N633,F$1,FALSE)</f>
        <v>VIBRAMYCIN SF 20MG/ML AMPUL 5ML</v>
      </c>
      <c r="G458" t="str">
        <f>VLOOKUP($A458,[1]Table!$A$2:$N633,G$1,FALSE)</f>
        <v>DOXYCYCLINE 20MG/ML INJVLST</v>
      </c>
      <c r="H458" t="str">
        <f>VLOOKUP($A458,[1]Table!$A$2:$N633,H$1,FALSE)</f>
        <v>injectievloeistof</v>
      </c>
      <c r="I458" t="str">
        <f>VLOOKUP($A458,[1]Table!$A$2:$N633,I$1,FALSE)</f>
        <v>iv</v>
      </c>
      <c r="J458">
        <f>VLOOKUP($A458,[1]Table!$A$2:$N633,J$1,FALSE)</f>
        <v>20</v>
      </c>
      <c r="K458" t="str">
        <f>VLOOKUP($A458,[1]Table!$A$2:$N633,K$1,FALSE)</f>
        <v>mg/ml</v>
      </c>
      <c r="L458">
        <f>VLOOKUP($A458,[1]Table!$A$2:$N633,L$1,FALSE)</f>
        <v>20</v>
      </c>
      <c r="M458" t="str">
        <f>VLOOKUP($A458,[1]Table!$A$2:$N633,M$1,FALSE)</f>
        <v>mg</v>
      </c>
      <c r="N458" t="str">
        <f>VLOOKUP($A458,[1]Table!$A$2:$N633,N$1,FALSE)</f>
        <v>Infecties||Ernstige infecties||Infecties bij Cystic Fibrosis||Vroege gelokaliseerde, gedissemineerde en late lymeziekte||Profylaxe na een tekenbeet||Behandeling malaria tropica||Profylaxe malaria</v>
      </c>
      <c r="O458" t="str">
        <f>ConcatenateRange(AZ458:BU458,"||")</f>
        <v/>
      </c>
      <c r="AZ458" t="str">
        <f t="shared" si="176"/>
        <v/>
      </c>
      <c r="BA458" t="str">
        <f t="shared" si="177"/>
        <v/>
      </c>
      <c r="BB458" t="str">
        <f t="shared" si="178"/>
        <v/>
      </c>
      <c r="BC458" t="str">
        <f t="shared" si="179"/>
        <v/>
      </c>
      <c r="BD458" t="str">
        <f t="shared" si="180"/>
        <v/>
      </c>
      <c r="BE458" t="str">
        <f t="shared" si="181"/>
        <v/>
      </c>
      <c r="BF458" t="str">
        <f t="shared" si="182"/>
        <v/>
      </c>
      <c r="BG458" t="str">
        <f t="shared" si="183"/>
        <v/>
      </c>
      <c r="BH458" t="str">
        <f t="shared" si="184"/>
        <v/>
      </c>
      <c r="BI458" t="str">
        <f t="shared" si="185"/>
        <v/>
      </c>
      <c r="BJ458" t="str">
        <f t="shared" si="186"/>
        <v/>
      </c>
      <c r="BK458" t="str">
        <f t="shared" si="187"/>
        <v/>
      </c>
      <c r="BL458" t="str">
        <f t="shared" si="188"/>
        <v/>
      </c>
      <c r="BM458" t="str">
        <f t="shared" si="189"/>
        <v/>
      </c>
      <c r="BN458" t="str">
        <f t="shared" si="190"/>
        <v/>
      </c>
      <c r="BO458" t="str">
        <f t="shared" si="191"/>
        <v/>
      </c>
      <c r="BP458" t="str">
        <f t="shared" si="192"/>
        <v/>
      </c>
      <c r="BQ458" t="str">
        <f t="shared" si="193"/>
        <v/>
      </c>
      <c r="BR458" t="str">
        <f t="shared" si="194"/>
        <v/>
      </c>
      <c r="BS458" t="str">
        <f t="shared" si="195"/>
        <v/>
      </c>
      <c r="BT458" t="str">
        <f t="shared" si="196"/>
        <v/>
      </c>
      <c r="BU458" t="str">
        <f t="shared" si="197"/>
        <v/>
      </c>
    </row>
    <row r="459" spans="1:73">
      <c r="A459" s="1">
        <v>117048</v>
      </c>
      <c r="B459" t="str">
        <f>VLOOKUP($A459,[1]Table!$A$2:$N632,B$1,FALSE)</f>
        <v>J01AA02</v>
      </c>
      <c r="C459" t="str">
        <f>VLOOKUP($A459,[1]Table!$A$2:$N632,C$1,FALSE)</f>
        <v>ANTIBACTERIELE MIDDELEN VOOR SYSTEMISCH GEBRUIK</v>
      </c>
      <c r="D459" t="str">
        <f>VLOOKUP($A459,[1]Table!$A$2:$N632,D$1,FALSE)</f>
        <v>TETRACYCLINES</v>
      </c>
      <c r="E459" t="str">
        <f>VLOOKUP($A459,[1]Table!$A$2:$N632,E$1,FALSE)</f>
        <v>DOXYCYCLINE DISPER</v>
      </c>
      <c r="F459" t="str">
        <f>VLOOKUP($A459,[1]Table!$A$2:$N632,F$1,FALSE)</f>
        <v>DOXYCYCLINE 100 MG DISPER TABLET</v>
      </c>
      <c r="G459" t="str">
        <f>VLOOKUP($A459,[1]Table!$A$2:$N632,G$1,FALSE)</f>
        <v>DOXYCYCLINE 100MG DISPERTAB</v>
      </c>
      <c r="H459" t="str">
        <f>VLOOKUP($A459,[1]Table!$A$2:$N632,H$1,FALSE)</f>
        <v>dispergeerbare tablet</v>
      </c>
      <c r="I459" t="str">
        <f>VLOOKUP($A459,[1]Table!$A$2:$N632,I$1,FALSE)</f>
        <v>or</v>
      </c>
      <c r="J459">
        <f>VLOOKUP($A459,[1]Table!$A$2:$N632,J$1,FALSE)</f>
        <v>100</v>
      </c>
      <c r="K459" t="str">
        <f>VLOOKUP($A459,[1]Table!$A$2:$N632,K$1,FALSE)</f>
        <v>mg/stuk</v>
      </c>
      <c r="L459">
        <f>VLOOKUP($A459,[1]Table!$A$2:$N632,L$1,FALSE)</f>
        <v>100</v>
      </c>
      <c r="M459" t="str">
        <f>VLOOKUP($A459,[1]Table!$A$2:$N632,M$1,FALSE)</f>
        <v>mg</v>
      </c>
      <c r="N459" t="str">
        <f>VLOOKUP($A459,[1]Table!$A$2:$N632,N$1,FALSE)</f>
        <v>Infecties||Ernstige infecties||Infecties bij Cystic Fibrosis||Vroege gelokaliseerde, gedissemineerde en late lymeziekte||Profylaxe na een tekenbeet||Behandeling malaria tropica||Profylaxe malaria</v>
      </c>
      <c r="O459" t="str">
        <f>ConcatenateRange(AZ459:BU459,"||")</f>
        <v/>
      </c>
      <c r="AZ459" t="str">
        <f t="shared" si="176"/>
        <v/>
      </c>
      <c r="BA459" t="str">
        <f t="shared" si="177"/>
        <v/>
      </c>
      <c r="BB459" t="str">
        <f t="shared" si="178"/>
        <v/>
      </c>
      <c r="BC459" t="str">
        <f t="shared" si="179"/>
        <v/>
      </c>
      <c r="BD459" t="str">
        <f t="shared" si="180"/>
        <v/>
      </c>
      <c r="BE459" t="str">
        <f t="shared" si="181"/>
        <v/>
      </c>
      <c r="BF459" t="str">
        <f t="shared" si="182"/>
        <v/>
      </c>
      <c r="BG459" t="str">
        <f t="shared" si="183"/>
        <v/>
      </c>
      <c r="BH459" t="str">
        <f t="shared" si="184"/>
        <v/>
      </c>
      <c r="BI459" t="str">
        <f t="shared" si="185"/>
        <v/>
      </c>
      <c r="BJ459" t="str">
        <f t="shared" si="186"/>
        <v/>
      </c>
      <c r="BK459" t="str">
        <f t="shared" si="187"/>
        <v/>
      </c>
      <c r="BL459" t="str">
        <f t="shared" si="188"/>
        <v/>
      </c>
      <c r="BM459" t="str">
        <f t="shared" si="189"/>
        <v/>
      </c>
      <c r="BN459" t="str">
        <f t="shared" si="190"/>
        <v/>
      </c>
      <c r="BO459" t="str">
        <f t="shared" si="191"/>
        <v/>
      </c>
      <c r="BP459" t="str">
        <f t="shared" si="192"/>
        <v/>
      </c>
      <c r="BQ459" t="str">
        <f t="shared" si="193"/>
        <v/>
      </c>
      <c r="BR459" t="str">
        <f t="shared" si="194"/>
        <v/>
      </c>
      <c r="BS459" t="str">
        <f t="shared" si="195"/>
        <v/>
      </c>
      <c r="BT459" t="str">
        <f t="shared" si="196"/>
        <v/>
      </c>
      <c r="BU459" t="str">
        <f t="shared" si="197"/>
        <v/>
      </c>
    </row>
    <row r="460" spans="1:73">
      <c r="A460" s="1">
        <v>116602</v>
      </c>
      <c r="B460" t="str">
        <f>VLOOKUP($A460,[1]Table!$A$2:$N608,B$1,FALSE)</f>
        <v>J07CA01</v>
      </c>
      <c r="C460" t="str">
        <f>VLOOKUP($A460,[1]Table!$A$2:$N608,C$1,FALSE)</f>
        <v>VACCINS</v>
      </c>
      <c r="D460" t="str">
        <f>VLOOKUP($A460,[1]Table!$A$2:$N608,D$1,FALSE)</f>
        <v>BACTERIELE VACCINS MET VIRALE VACCINS</v>
      </c>
      <c r="E460" t="str">
        <f>VLOOKUP($A460,[1]Table!$A$2:$N608,E$1,FALSE)</f>
        <v>DTP VACCIN</v>
      </c>
      <c r="F460" t="str">
        <f>VLOOKUP($A460,[1]Table!$A$2:$N608,F$1,FALSE)</f>
        <v>REVAXIS WWSP 0,5 ML</v>
      </c>
      <c r="G460" t="str">
        <f>VLOOKUP($A460,[1]Table!$A$2:$N608,G$1,FALSE)</f>
        <v>DTP VACCIN (REVAXIS)</v>
      </c>
      <c r="H460" t="str">
        <f>VLOOKUP($A460,[1]Table!$A$2:$N608,H$1,FALSE)</f>
        <v>suspensie voor injectie</v>
      </c>
      <c r="I460" t="str">
        <f>VLOOKUP($A460,[1]Table!$A$2:$N608,I$1,FALSE)</f>
        <v>im</v>
      </c>
      <c r="J460">
        <f>VLOOKUP($A460,[1]Table!$A$2:$N608,J$1,FALSE)</f>
        <v>4</v>
      </c>
      <c r="K460" t="str">
        <f>VLOOKUP($A460,[1]Table!$A$2:$N608,K$1,FALSE)</f>
        <v>IE/ml</v>
      </c>
      <c r="L460">
        <f>VLOOKUP($A460,[1]Table!$A$2:$N608,L$1,FALSE)</f>
        <v>4</v>
      </c>
      <c r="M460" t="str">
        <f>VLOOKUP($A460,[1]Table!$A$2:$N608,M$1,FALSE)</f>
        <v>IE</v>
      </c>
      <c r="N460" t="str">
        <f>VLOOKUP($A460,[1]Table!$A$2:$N608,N$1,FALSE)</f>
        <v>RIJKSVACCINATIEPROGRAMMA DTP (Difterie-Tetanus-Polio )||Primaire immunisatie</v>
      </c>
      <c r="O460" t="str">
        <f>ConcatenateRange(AZ460:BU460,"||")</f>
        <v/>
      </c>
      <c r="AZ460" t="str">
        <f t="shared" si="176"/>
        <v/>
      </c>
      <c r="BA460" t="str">
        <f t="shared" si="177"/>
        <v/>
      </c>
      <c r="BB460" t="str">
        <f t="shared" si="178"/>
        <v/>
      </c>
      <c r="BC460" t="str">
        <f t="shared" si="179"/>
        <v/>
      </c>
      <c r="BD460" t="str">
        <f t="shared" si="180"/>
        <v/>
      </c>
      <c r="BE460" t="str">
        <f t="shared" si="181"/>
        <v/>
      </c>
      <c r="BF460" t="str">
        <f t="shared" si="182"/>
        <v/>
      </c>
      <c r="BG460" t="str">
        <f t="shared" si="183"/>
        <v/>
      </c>
      <c r="BH460" t="str">
        <f t="shared" si="184"/>
        <v/>
      </c>
      <c r="BI460" t="str">
        <f t="shared" si="185"/>
        <v/>
      </c>
      <c r="BJ460" t="str">
        <f t="shared" si="186"/>
        <v/>
      </c>
      <c r="BK460" t="str">
        <f t="shared" si="187"/>
        <v/>
      </c>
      <c r="BL460" t="str">
        <f t="shared" si="188"/>
        <v/>
      </c>
      <c r="BM460" t="str">
        <f t="shared" si="189"/>
        <v/>
      </c>
      <c r="BN460" t="str">
        <f t="shared" si="190"/>
        <v/>
      </c>
      <c r="BO460" t="str">
        <f t="shared" si="191"/>
        <v/>
      </c>
      <c r="BP460" t="str">
        <f t="shared" si="192"/>
        <v/>
      </c>
      <c r="BQ460" t="str">
        <f t="shared" si="193"/>
        <v/>
      </c>
      <c r="BR460" t="str">
        <f t="shared" si="194"/>
        <v/>
      </c>
      <c r="BS460" t="str">
        <f t="shared" si="195"/>
        <v/>
      </c>
      <c r="BT460" t="str">
        <f t="shared" si="196"/>
        <v/>
      </c>
      <c r="BU460" t="str">
        <f t="shared" si="197"/>
        <v/>
      </c>
    </row>
    <row r="461" spans="1:73">
      <c r="A461" s="1">
        <v>123005</v>
      </c>
      <c r="B461" t="str">
        <f>VLOOKUP($A461,[1]Table!$A$2:$N609,B$1,FALSE)</f>
        <v>J07CA01</v>
      </c>
      <c r="C461" t="str">
        <f>VLOOKUP($A461,[1]Table!$A$2:$N609,C$1,FALSE)</f>
        <v>VACCINS</v>
      </c>
      <c r="D461" t="str">
        <f>VLOOKUP($A461,[1]Table!$A$2:$N609,D$1,FALSE)</f>
        <v>BACTERIELE VACCINS MET VIRALE VACCINS</v>
      </c>
      <c r="E461" t="str">
        <f>VLOOKUP($A461,[1]Table!$A$2:$N609,E$1,FALSE)</f>
        <v>DTP VACCIN</v>
      </c>
      <c r="F461" t="str">
        <f>VLOOKUP($A461,[1]Table!$A$2:$N609,F$1,FALSE)</f>
        <v>DTP    VACCIN RIVM WEGWERPSPUIT 1ML</v>
      </c>
      <c r="G461" t="str">
        <f>VLOOKUP($A461,[1]Table!$A$2:$N609,G$1,FALSE)</f>
        <v>DTP VACCIN (NVI)</v>
      </c>
      <c r="H461" t="str">
        <f>VLOOKUP($A461,[1]Table!$A$2:$N609,H$1,FALSE)</f>
        <v>suspensie voor injectie</v>
      </c>
      <c r="I461" t="str">
        <f>VLOOKUP($A461,[1]Table!$A$2:$N609,I$1,FALSE)</f>
        <v>im</v>
      </c>
      <c r="J461">
        <f>VLOOKUP($A461,[1]Table!$A$2:$N609,J$1,FALSE)</f>
        <v>5</v>
      </c>
      <c r="K461" t="str">
        <f>VLOOKUP($A461,[1]Table!$A$2:$N609,K$1,FALSE)</f>
        <v>IE/ml</v>
      </c>
      <c r="L461">
        <f>VLOOKUP($A461,[1]Table!$A$2:$N609,L$1,FALSE)</f>
        <v>5</v>
      </c>
      <c r="M461" t="str">
        <f>VLOOKUP($A461,[1]Table!$A$2:$N609,M$1,FALSE)</f>
        <v>IE</v>
      </c>
      <c r="N461" t="str">
        <f>VLOOKUP($A461,[1]Table!$A$2:$N609,N$1,FALSE)</f>
        <v>RIJKSVACCINATIEPROGRAMMA DTP (Difterie-Tetanus-Polio )||Primaire immunisatie</v>
      </c>
      <c r="O461" t="str">
        <f>ConcatenateRange(AZ461:BU461,"||")</f>
        <v/>
      </c>
      <c r="AZ461" t="str">
        <f t="shared" si="176"/>
        <v/>
      </c>
      <c r="BA461" t="str">
        <f t="shared" si="177"/>
        <v/>
      </c>
      <c r="BB461" t="str">
        <f t="shared" si="178"/>
        <v/>
      </c>
      <c r="BC461" t="str">
        <f t="shared" si="179"/>
        <v/>
      </c>
      <c r="BD461" t="str">
        <f t="shared" si="180"/>
        <v/>
      </c>
      <c r="BE461" t="str">
        <f t="shared" si="181"/>
        <v/>
      </c>
      <c r="BF461" t="str">
        <f t="shared" si="182"/>
        <v/>
      </c>
      <c r="BG461" t="str">
        <f t="shared" si="183"/>
        <v/>
      </c>
      <c r="BH461" t="str">
        <f t="shared" si="184"/>
        <v/>
      </c>
      <c r="BI461" t="str">
        <f t="shared" si="185"/>
        <v/>
      </c>
      <c r="BJ461" t="str">
        <f t="shared" si="186"/>
        <v/>
      </c>
      <c r="BK461" t="str">
        <f t="shared" si="187"/>
        <v/>
      </c>
      <c r="BL461" t="str">
        <f t="shared" si="188"/>
        <v/>
      </c>
      <c r="BM461" t="str">
        <f t="shared" si="189"/>
        <v/>
      </c>
      <c r="BN461" t="str">
        <f t="shared" si="190"/>
        <v/>
      </c>
      <c r="BO461" t="str">
        <f t="shared" si="191"/>
        <v/>
      </c>
      <c r="BP461" t="str">
        <f t="shared" si="192"/>
        <v/>
      </c>
      <c r="BQ461" t="str">
        <f t="shared" si="193"/>
        <v/>
      </c>
      <c r="BR461" t="str">
        <f t="shared" si="194"/>
        <v/>
      </c>
      <c r="BS461" t="str">
        <f t="shared" si="195"/>
        <v/>
      </c>
      <c r="BT461" t="str">
        <f t="shared" si="196"/>
        <v/>
      </c>
      <c r="BU461" t="str">
        <f t="shared" si="197"/>
        <v/>
      </c>
    </row>
    <row r="462" spans="1:73">
      <c r="A462" s="1">
        <v>114855</v>
      </c>
      <c r="B462" t="str">
        <f>VLOOKUP($A462,[1]Table!$A$2:$N634,B$1,FALSE)</f>
        <v>J05AG03</v>
      </c>
      <c r="C462" t="str">
        <f>VLOOKUP($A462,[1]Table!$A$2:$N634,C$1,FALSE)</f>
        <v>ANTIVIRALE MIDDELEN VOOR SYSTEMISCH GEBRUIK</v>
      </c>
      <c r="D462" t="str">
        <f>VLOOKUP($A462,[1]Table!$A$2:$N634,D$1,FALSE)</f>
        <v>DIRECT WERKENDE ANTIVIRALE MIDDELEN</v>
      </c>
      <c r="E462" t="str">
        <f>VLOOKUP($A462,[1]Table!$A$2:$N634,E$1,FALSE)</f>
        <v>EFAVIRENZ</v>
      </c>
      <c r="F462" t="str">
        <f>VLOOKUP($A462,[1]Table!$A$2:$N634,F$1,FALSE)</f>
        <v>STOCRIN 30 MG/ML DRANK 180ML</v>
      </c>
      <c r="G462" t="str">
        <f>VLOOKUP($A462,[1]Table!$A$2:$N634,G$1,FALSE)</f>
        <v>EFAVIRENZ 30MG/ML DRANK</v>
      </c>
      <c r="H462" t="str">
        <f>VLOOKUP($A462,[1]Table!$A$2:$N634,H$1,FALSE)</f>
        <v>drank</v>
      </c>
      <c r="I462" t="str">
        <f>VLOOKUP($A462,[1]Table!$A$2:$N634,I$1,FALSE)</f>
        <v>or</v>
      </c>
      <c r="J462">
        <f>VLOOKUP($A462,[1]Table!$A$2:$N634,J$1,FALSE)</f>
        <v>30</v>
      </c>
      <c r="K462" t="str">
        <f>VLOOKUP($A462,[1]Table!$A$2:$N634,K$1,FALSE)</f>
        <v>mg/ml</v>
      </c>
      <c r="L462">
        <f>VLOOKUP($A462,[1]Table!$A$2:$N634,L$1,FALSE)</f>
        <v>30</v>
      </c>
      <c r="M462" t="str">
        <f>VLOOKUP($A462,[1]Table!$A$2:$N634,M$1,FALSE)</f>
        <v>mg</v>
      </c>
      <c r="N462" t="str">
        <f>VLOOKUP($A462,[1]Table!$A$2:$N634,N$1,FALSE)</f>
        <v>HIV</v>
      </c>
      <c r="O462" t="str">
        <f>ConcatenateRange(AZ462:BU462,"||")</f>
        <v/>
      </c>
      <c r="AZ462" t="str">
        <f t="shared" si="176"/>
        <v/>
      </c>
      <c r="BA462" t="str">
        <f t="shared" si="177"/>
        <v/>
      </c>
      <c r="BB462" t="str">
        <f t="shared" si="178"/>
        <v/>
      </c>
      <c r="BC462" t="str">
        <f t="shared" si="179"/>
        <v/>
      </c>
      <c r="BD462" t="str">
        <f t="shared" si="180"/>
        <v/>
      </c>
      <c r="BE462" t="str">
        <f t="shared" si="181"/>
        <v/>
      </c>
      <c r="BF462" t="str">
        <f t="shared" si="182"/>
        <v/>
      </c>
      <c r="BG462" t="str">
        <f t="shared" si="183"/>
        <v/>
      </c>
      <c r="BH462" t="str">
        <f t="shared" si="184"/>
        <v/>
      </c>
      <c r="BI462" t="str">
        <f t="shared" si="185"/>
        <v/>
      </c>
      <c r="BJ462" t="str">
        <f t="shared" si="186"/>
        <v/>
      </c>
      <c r="BK462" t="str">
        <f t="shared" si="187"/>
        <v/>
      </c>
      <c r="BL462" t="str">
        <f t="shared" si="188"/>
        <v/>
      </c>
      <c r="BM462" t="str">
        <f t="shared" si="189"/>
        <v/>
      </c>
      <c r="BN462" t="str">
        <f t="shared" si="190"/>
        <v/>
      </c>
      <c r="BO462" t="str">
        <f t="shared" si="191"/>
        <v/>
      </c>
      <c r="BP462" t="str">
        <f t="shared" si="192"/>
        <v/>
      </c>
      <c r="BQ462" t="str">
        <f t="shared" si="193"/>
        <v/>
      </c>
      <c r="BR462" t="str">
        <f t="shared" si="194"/>
        <v/>
      </c>
      <c r="BS462" t="str">
        <f t="shared" si="195"/>
        <v/>
      </c>
      <c r="BT462" t="str">
        <f t="shared" si="196"/>
        <v/>
      </c>
      <c r="BU462" t="str">
        <f t="shared" si="197"/>
        <v/>
      </c>
    </row>
    <row r="463" spans="1:73">
      <c r="A463" s="1">
        <v>128198</v>
      </c>
      <c r="B463" t="str">
        <f>VLOOKUP($A463,[1]Table!$A$2:$N635,B$1,FALSE)</f>
        <v>J05AG03</v>
      </c>
      <c r="C463" t="str">
        <f>VLOOKUP($A463,[1]Table!$A$2:$N635,C$1,FALSE)</f>
        <v>ANTIVIRALE MIDDELEN VOOR SYSTEMISCH GEBRUIK</v>
      </c>
      <c r="D463" t="str">
        <f>VLOOKUP($A463,[1]Table!$A$2:$N635,D$1,FALSE)</f>
        <v>DIRECT WERKENDE ANTIVIRALE MIDDELEN</v>
      </c>
      <c r="E463" t="str">
        <f>VLOOKUP($A463,[1]Table!$A$2:$N635,E$1,FALSE)</f>
        <v>EFAVIRENZ</v>
      </c>
      <c r="F463" t="str">
        <f>VLOOKUP($A463,[1]Table!$A$2:$N635,F$1,FALSE)</f>
        <v>STOCRIN 50 MG TABLET FILMOMHULD</v>
      </c>
      <c r="G463" t="str">
        <f>VLOOKUP($A463,[1]Table!$A$2:$N635,G$1,FALSE)</f>
        <v>EFAVIRENZ 50MG TABLET FO</v>
      </c>
      <c r="H463" t="str">
        <f>VLOOKUP($A463,[1]Table!$A$2:$N635,H$1,FALSE)</f>
        <v>filmomhulde tablet</v>
      </c>
      <c r="I463" t="str">
        <f>VLOOKUP($A463,[1]Table!$A$2:$N635,I$1,FALSE)</f>
        <v>or</v>
      </c>
      <c r="J463">
        <f>VLOOKUP($A463,[1]Table!$A$2:$N635,J$1,FALSE)</f>
        <v>50</v>
      </c>
      <c r="K463" t="str">
        <f>VLOOKUP($A463,[1]Table!$A$2:$N635,K$1,FALSE)</f>
        <v>mg/stuk</v>
      </c>
      <c r="L463">
        <f>VLOOKUP($A463,[1]Table!$A$2:$N635,L$1,FALSE)</f>
        <v>50</v>
      </c>
      <c r="M463" t="str">
        <f>VLOOKUP($A463,[1]Table!$A$2:$N635,M$1,FALSE)</f>
        <v>mg</v>
      </c>
      <c r="N463" t="str">
        <f>VLOOKUP($A463,[1]Table!$A$2:$N635,N$1,FALSE)</f>
        <v>HIV</v>
      </c>
      <c r="O463" t="str">
        <f>ConcatenateRange(AZ463:BU463,"||")</f>
        <v/>
      </c>
      <c r="AZ463" t="str">
        <f t="shared" si="176"/>
        <v/>
      </c>
      <c r="BA463" t="str">
        <f t="shared" si="177"/>
        <v/>
      </c>
      <c r="BB463" t="str">
        <f t="shared" si="178"/>
        <v/>
      </c>
      <c r="BC463" t="str">
        <f t="shared" si="179"/>
        <v/>
      </c>
      <c r="BD463" t="str">
        <f t="shared" si="180"/>
        <v/>
      </c>
      <c r="BE463" t="str">
        <f t="shared" si="181"/>
        <v/>
      </c>
      <c r="BF463" t="str">
        <f t="shared" si="182"/>
        <v/>
      </c>
      <c r="BG463" t="str">
        <f t="shared" si="183"/>
        <v/>
      </c>
      <c r="BH463" t="str">
        <f t="shared" si="184"/>
        <v/>
      </c>
      <c r="BI463" t="str">
        <f t="shared" si="185"/>
        <v/>
      </c>
      <c r="BJ463" t="str">
        <f t="shared" si="186"/>
        <v/>
      </c>
      <c r="BK463" t="str">
        <f t="shared" si="187"/>
        <v/>
      </c>
      <c r="BL463" t="str">
        <f t="shared" si="188"/>
        <v/>
      </c>
      <c r="BM463" t="str">
        <f t="shared" si="189"/>
        <v/>
      </c>
      <c r="BN463" t="str">
        <f t="shared" si="190"/>
        <v/>
      </c>
      <c r="BO463" t="str">
        <f t="shared" si="191"/>
        <v/>
      </c>
      <c r="BP463" t="str">
        <f t="shared" si="192"/>
        <v/>
      </c>
      <c r="BQ463" t="str">
        <f t="shared" si="193"/>
        <v/>
      </c>
      <c r="BR463" t="str">
        <f t="shared" si="194"/>
        <v/>
      </c>
      <c r="BS463" t="str">
        <f t="shared" si="195"/>
        <v/>
      </c>
      <c r="BT463" t="str">
        <f t="shared" si="196"/>
        <v/>
      </c>
      <c r="BU463" t="str">
        <f t="shared" si="197"/>
        <v/>
      </c>
    </row>
    <row r="464" spans="1:73">
      <c r="A464" s="1">
        <v>128333</v>
      </c>
      <c r="B464" t="str">
        <f>VLOOKUP($A464,[1]Table!$A$2:$N636,B$1,FALSE)</f>
        <v>J05AG03</v>
      </c>
      <c r="C464" t="str">
        <f>VLOOKUP($A464,[1]Table!$A$2:$N636,C$1,FALSE)</f>
        <v>ANTIVIRALE MIDDELEN VOOR SYSTEMISCH GEBRUIK</v>
      </c>
      <c r="D464" t="str">
        <f>VLOOKUP($A464,[1]Table!$A$2:$N636,D$1,FALSE)</f>
        <v>DIRECT WERKENDE ANTIVIRALE MIDDELEN</v>
      </c>
      <c r="E464" t="str">
        <f>VLOOKUP($A464,[1]Table!$A$2:$N636,E$1,FALSE)</f>
        <v>EFAVIRENZ</v>
      </c>
      <c r="F464" t="str">
        <f>VLOOKUP($A464,[1]Table!$A$2:$N636,F$1,FALSE)</f>
        <v>STOCRIN 200 MG TABLET FILMOMHULD</v>
      </c>
      <c r="G464" t="str">
        <f>VLOOKUP($A464,[1]Table!$A$2:$N636,G$1,FALSE)</f>
        <v>EFAVIRENZ 200MG TABLET FO</v>
      </c>
      <c r="H464" t="str">
        <f>VLOOKUP($A464,[1]Table!$A$2:$N636,H$1,FALSE)</f>
        <v>filmomhulde tablet</v>
      </c>
      <c r="I464" t="str">
        <f>VLOOKUP($A464,[1]Table!$A$2:$N636,I$1,FALSE)</f>
        <v>or</v>
      </c>
      <c r="J464">
        <f>VLOOKUP($A464,[1]Table!$A$2:$N636,J$1,FALSE)</f>
        <v>200</v>
      </c>
      <c r="K464" t="str">
        <f>VLOOKUP($A464,[1]Table!$A$2:$N636,K$1,FALSE)</f>
        <v>mg/stuk</v>
      </c>
      <c r="L464">
        <f>VLOOKUP($A464,[1]Table!$A$2:$N636,L$1,FALSE)</f>
        <v>200</v>
      </c>
      <c r="M464" t="str">
        <f>VLOOKUP($A464,[1]Table!$A$2:$N636,M$1,FALSE)</f>
        <v>mg</v>
      </c>
      <c r="N464" t="str">
        <f>VLOOKUP($A464,[1]Table!$A$2:$N636,N$1,FALSE)</f>
        <v>HIV</v>
      </c>
      <c r="O464" t="str">
        <f>ConcatenateRange(AZ464:BU464,"||")</f>
        <v/>
      </c>
      <c r="AZ464" t="str">
        <f t="shared" si="176"/>
        <v/>
      </c>
      <c r="BA464" t="str">
        <f t="shared" si="177"/>
        <v/>
      </c>
      <c r="BB464" t="str">
        <f t="shared" si="178"/>
        <v/>
      </c>
      <c r="BC464" t="str">
        <f t="shared" si="179"/>
        <v/>
      </c>
      <c r="BD464" t="str">
        <f t="shared" si="180"/>
        <v/>
      </c>
      <c r="BE464" t="str">
        <f t="shared" si="181"/>
        <v/>
      </c>
      <c r="BF464" t="str">
        <f t="shared" si="182"/>
        <v/>
      </c>
      <c r="BG464" t="str">
        <f t="shared" si="183"/>
        <v/>
      </c>
      <c r="BH464" t="str">
        <f t="shared" si="184"/>
        <v/>
      </c>
      <c r="BI464" t="str">
        <f t="shared" si="185"/>
        <v/>
      </c>
      <c r="BJ464" t="str">
        <f t="shared" si="186"/>
        <v/>
      </c>
      <c r="BK464" t="str">
        <f t="shared" si="187"/>
        <v/>
      </c>
      <c r="BL464" t="str">
        <f t="shared" si="188"/>
        <v/>
      </c>
      <c r="BM464" t="str">
        <f t="shared" si="189"/>
        <v/>
      </c>
      <c r="BN464" t="str">
        <f t="shared" si="190"/>
        <v/>
      </c>
      <c r="BO464" t="str">
        <f t="shared" si="191"/>
        <v/>
      </c>
      <c r="BP464" t="str">
        <f t="shared" si="192"/>
        <v/>
      </c>
      <c r="BQ464" t="str">
        <f t="shared" si="193"/>
        <v/>
      </c>
      <c r="BR464" t="str">
        <f t="shared" si="194"/>
        <v/>
      </c>
      <c r="BS464" t="str">
        <f t="shared" si="195"/>
        <v/>
      </c>
      <c r="BT464" t="str">
        <f t="shared" si="196"/>
        <v/>
      </c>
      <c r="BU464" t="str">
        <f t="shared" si="197"/>
        <v/>
      </c>
    </row>
    <row r="465" spans="1:73">
      <c r="A465" s="1">
        <v>115975</v>
      </c>
      <c r="B465" t="str">
        <f>VLOOKUP($A465,[1]Table!$A$2:$N637,B$1,FALSE)</f>
        <v>J05AG03</v>
      </c>
      <c r="C465" t="str">
        <f>VLOOKUP($A465,[1]Table!$A$2:$N637,C$1,FALSE)</f>
        <v>ANTIVIRALE MIDDELEN VOOR SYSTEMISCH GEBRUIK</v>
      </c>
      <c r="D465" t="str">
        <f>VLOOKUP($A465,[1]Table!$A$2:$N637,D$1,FALSE)</f>
        <v>DIRECT WERKENDE ANTIVIRALE MIDDELEN</v>
      </c>
      <c r="E465" t="str">
        <f>VLOOKUP($A465,[1]Table!$A$2:$N637,E$1,FALSE)</f>
        <v>EFAVIRENZ</v>
      </c>
      <c r="F465" t="str">
        <f>VLOOKUP($A465,[1]Table!$A$2:$N637,F$1,FALSE)</f>
        <v>STOCRIN 600 MG TABLET FILMOMHULD</v>
      </c>
      <c r="G465" t="str">
        <f>VLOOKUP($A465,[1]Table!$A$2:$N637,G$1,FALSE)</f>
        <v>EFAVIRENZ 600MG TABLET FO</v>
      </c>
      <c r="H465" t="str">
        <f>VLOOKUP($A465,[1]Table!$A$2:$N637,H$1,FALSE)</f>
        <v>filmomhulde tablet</v>
      </c>
      <c r="I465" t="str">
        <f>VLOOKUP($A465,[1]Table!$A$2:$N637,I$1,FALSE)</f>
        <v>or</v>
      </c>
      <c r="J465">
        <f>VLOOKUP($A465,[1]Table!$A$2:$N637,J$1,FALSE)</f>
        <v>600</v>
      </c>
      <c r="K465" t="str">
        <f>VLOOKUP($A465,[1]Table!$A$2:$N637,K$1,FALSE)</f>
        <v>mg/stuk</v>
      </c>
      <c r="L465">
        <f>VLOOKUP($A465,[1]Table!$A$2:$N637,L$1,FALSE)</f>
        <v>600</v>
      </c>
      <c r="M465" t="str">
        <f>VLOOKUP($A465,[1]Table!$A$2:$N637,M$1,FALSE)</f>
        <v>mg</v>
      </c>
      <c r="N465" t="str">
        <f>VLOOKUP($A465,[1]Table!$A$2:$N637,N$1,FALSE)</f>
        <v>HIV</v>
      </c>
      <c r="O465" t="str">
        <f>ConcatenateRange(AZ465:BU465,"||")</f>
        <v/>
      </c>
      <c r="AZ465" t="str">
        <f t="shared" si="176"/>
        <v/>
      </c>
      <c r="BA465" t="str">
        <f t="shared" si="177"/>
        <v/>
      </c>
      <c r="BB465" t="str">
        <f t="shared" si="178"/>
        <v/>
      </c>
      <c r="BC465" t="str">
        <f t="shared" si="179"/>
        <v/>
      </c>
      <c r="BD465" t="str">
        <f t="shared" si="180"/>
        <v/>
      </c>
      <c r="BE465" t="str">
        <f t="shared" si="181"/>
        <v/>
      </c>
      <c r="BF465" t="str">
        <f t="shared" si="182"/>
        <v/>
      </c>
      <c r="BG465" t="str">
        <f t="shared" si="183"/>
        <v/>
      </c>
      <c r="BH465" t="str">
        <f t="shared" si="184"/>
        <v/>
      </c>
      <c r="BI465" t="str">
        <f t="shared" si="185"/>
        <v/>
      </c>
      <c r="BJ465" t="str">
        <f t="shared" si="186"/>
        <v/>
      </c>
      <c r="BK465" t="str">
        <f t="shared" si="187"/>
        <v/>
      </c>
      <c r="BL465" t="str">
        <f t="shared" si="188"/>
        <v/>
      </c>
      <c r="BM465" t="str">
        <f t="shared" si="189"/>
        <v/>
      </c>
      <c r="BN465" t="str">
        <f t="shared" si="190"/>
        <v/>
      </c>
      <c r="BO465" t="str">
        <f t="shared" si="191"/>
        <v/>
      </c>
      <c r="BP465" t="str">
        <f t="shared" si="192"/>
        <v/>
      </c>
      <c r="BQ465" t="str">
        <f t="shared" si="193"/>
        <v/>
      </c>
      <c r="BR465" t="str">
        <f t="shared" si="194"/>
        <v/>
      </c>
      <c r="BS465" t="str">
        <f t="shared" si="195"/>
        <v/>
      </c>
      <c r="BT465" t="str">
        <f t="shared" si="196"/>
        <v/>
      </c>
      <c r="BU465" t="str">
        <f t="shared" si="197"/>
        <v/>
      </c>
    </row>
    <row r="466" spans="1:73">
      <c r="A466" s="1">
        <v>162620</v>
      </c>
      <c r="B466" t="str">
        <f>VLOOKUP($A466,[1]Table!$A$2:$N638,B$1,FALSE)</f>
        <v>B02BD04</v>
      </c>
      <c r="C466" t="str">
        <f>VLOOKUP($A466,[1]Table!$A$2:$N638,C$1,FALSE)</f>
        <v>ANTIHAEMORRHAGICA</v>
      </c>
      <c r="D466" t="str">
        <f>VLOOKUP($A466,[1]Table!$A$2:$N638,D$1,FALSE)</f>
        <v>VITAMINE K EN OVERIGE HAEMOSTATICA</v>
      </c>
      <c r="E466" t="str">
        <f>VLOOKUP($A466,[1]Table!$A$2:$N638,E$1,FALSE)</f>
        <v>EFTRENONACOG ALFA</v>
      </c>
      <c r="F466" t="str">
        <f>VLOOKUP($A466,[1]Table!$A$2:$N638,F$1,FALSE)</f>
        <v>ALPROLIX 250 IE  INJPDR + SOLVENS 5ML + TOEBEHOREN</v>
      </c>
      <c r="G466" t="str">
        <f>VLOOKUP($A466,[1]Table!$A$2:$N638,G$1,FALSE)</f>
        <v>EFTRENONACOG ALF 250IE INJ</v>
      </c>
      <c r="H466" t="str">
        <f>VLOOKUP($A466,[1]Table!$A$2:$N638,H$1,FALSE)</f>
        <v>poeder voor injectievloeistof</v>
      </c>
      <c r="I466" t="str">
        <f>VLOOKUP($A466,[1]Table!$A$2:$N638,I$1,FALSE)</f>
        <v>iv</v>
      </c>
      <c r="J466">
        <f>VLOOKUP($A466,[1]Table!$A$2:$N638,J$1,FALSE)</f>
        <v>250</v>
      </c>
      <c r="K466" t="str">
        <f>VLOOKUP($A466,[1]Table!$A$2:$N638,K$1,FALSE)</f>
        <v>IE/stuk</v>
      </c>
      <c r="L466">
        <f>VLOOKUP($A466,[1]Table!$A$2:$N638,L$1,FALSE)</f>
        <v>250</v>
      </c>
      <c r="M466" t="str">
        <f>VLOOKUP($A466,[1]Table!$A$2:$N638,M$1,FALSE)</f>
        <v>IE</v>
      </c>
      <c r="N466" t="str">
        <f>VLOOKUP($A466,[1]Table!$A$2:$N638,N$1,FALSE)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6" t="str">
        <f>ConcatenateRange(AZ466:BU466,"||")</f>
        <v/>
      </c>
      <c r="AZ466" t="str">
        <f t="shared" si="176"/>
        <v/>
      </c>
      <c r="BA466" t="str">
        <f t="shared" si="177"/>
        <v/>
      </c>
      <c r="BB466" t="str">
        <f t="shared" si="178"/>
        <v/>
      </c>
      <c r="BC466" t="str">
        <f t="shared" si="179"/>
        <v/>
      </c>
      <c r="BD466" t="str">
        <f t="shared" si="180"/>
        <v/>
      </c>
      <c r="BE466" t="str">
        <f t="shared" si="181"/>
        <v/>
      </c>
      <c r="BF466" t="str">
        <f t="shared" si="182"/>
        <v/>
      </c>
      <c r="BG466" t="str">
        <f t="shared" si="183"/>
        <v/>
      </c>
      <c r="BH466" t="str">
        <f t="shared" si="184"/>
        <v/>
      </c>
      <c r="BI466" t="str">
        <f t="shared" si="185"/>
        <v/>
      </c>
      <c r="BJ466" t="str">
        <f t="shared" si="186"/>
        <v/>
      </c>
      <c r="BK466" t="str">
        <f t="shared" si="187"/>
        <v/>
      </c>
      <c r="BL466" t="str">
        <f t="shared" si="188"/>
        <v/>
      </c>
      <c r="BM466" t="str">
        <f t="shared" si="189"/>
        <v/>
      </c>
      <c r="BN466" t="str">
        <f t="shared" si="190"/>
        <v/>
      </c>
      <c r="BO466" t="str">
        <f t="shared" si="191"/>
        <v/>
      </c>
      <c r="BP466" t="str">
        <f t="shared" si="192"/>
        <v/>
      </c>
      <c r="BQ466" t="str">
        <f t="shared" si="193"/>
        <v/>
      </c>
      <c r="BR466" t="str">
        <f t="shared" si="194"/>
        <v/>
      </c>
      <c r="BS466" t="str">
        <f t="shared" si="195"/>
        <v/>
      </c>
      <c r="BT466" t="str">
        <f t="shared" si="196"/>
        <v/>
      </c>
      <c r="BU466" t="str">
        <f t="shared" si="197"/>
        <v/>
      </c>
    </row>
    <row r="467" spans="1:73">
      <c r="A467" s="1">
        <v>162639</v>
      </c>
      <c r="B467" t="str">
        <f>VLOOKUP($A467,[1]Table!$A$2:$N639,B$1,FALSE)</f>
        <v>B02BD04</v>
      </c>
      <c r="C467" t="str">
        <f>VLOOKUP($A467,[1]Table!$A$2:$N639,C$1,FALSE)</f>
        <v>ANTIHAEMORRHAGICA</v>
      </c>
      <c r="D467" t="str">
        <f>VLOOKUP($A467,[1]Table!$A$2:$N639,D$1,FALSE)</f>
        <v>VITAMINE K EN OVERIGE HAEMOSTATICA</v>
      </c>
      <c r="E467" t="str">
        <f>VLOOKUP($A467,[1]Table!$A$2:$N639,E$1,FALSE)</f>
        <v>EFTRENONACOG ALFA</v>
      </c>
      <c r="F467" t="str">
        <f>VLOOKUP($A467,[1]Table!$A$2:$N639,F$1,FALSE)</f>
        <v>ALPROLIX 500 IE INJPDR + SOLVENS 5ML + TOEBEHOREN</v>
      </c>
      <c r="G467" t="str">
        <f>VLOOKUP($A467,[1]Table!$A$2:$N639,G$1,FALSE)</f>
        <v>EFTRENONACOG ALF 500IE INJ</v>
      </c>
      <c r="H467" t="str">
        <f>VLOOKUP($A467,[1]Table!$A$2:$N639,H$1,FALSE)</f>
        <v>poeder voor injectievloeistof</v>
      </c>
      <c r="I467" t="str">
        <f>VLOOKUP($A467,[1]Table!$A$2:$N639,I$1,FALSE)</f>
        <v>iv</v>
      </c>
      <c r="J467">
        <f>VLOOKUP($A467,[1]Table!$A$2:$N639,J$1,FALSE)</f>
        <v>500</v>
      </c>
      <c r="K467" t="str">
        <f>VLOOKUP($A467,[1]Table!$A$2:$N639,K$1,FALSE)</f>
        <v>IE/stuk</v>
      </c>
      <c r="L467">
        <f>VLOOKUP($A467,[1]Table!$A$2:$N639,L$1,FALSE)</f>
        <v>500</v>
      </c>
      <c r="M467" t="str">
        <f>VLOOKUP($A467,[1]Table!$A$2:$N639,M$1,FALSE)</f>
        <v>IE</v>
      </c>
      <c r="N467" t="str">
        <f>VLOOKUP($A467,[1]Table!$A$2:$N639,N$1,FALSE)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7" t="str">
        <f>ConcatenateRange(AZ467:BU467,"||")</f>
        <v/>
      </c>
      <c r="AZ467" t="str">
        <f t="shared" si="176"/>
        <v/>
      </c>
      <c r="BA467" t="str">
        <f t="shared" si="177"/>
        <v/>
      </c>
      <c r="BB467" t="str">
        <f t="shared" si="178"/>
        <v/>
      </c>
      <c r="BC467" t="str">
        <f t="shared" si="179"/>
        <v/>
      </c>
      <c r="BD467" t="str">
        <f t="shared" si="180"/>
        <v/>
      </c>
      <c r="BE467" t="str">
        <f t="shared" si="181"/>
        <v/>
      </c>
      <c r="BF467" t="str">
        <f t="shared" si="182"/>
        <v/>
      </c>
      <c r="BG467" t="str">
        <f t="shared" si="183"/>
        <v/>
      </c>
      <c r="BH467" t="str">
        <f t="shared" si="184"/>
        <v/>
      </c>
      <c r="BI467" t="str">
        <f t="shared" si="185"/>
        <v/>
      </c>
      <c r="BJ467" t="str">
        <f t="shared" si="186"/>
        <v/>
      </c>
      <c r="BK467" t="str">
        <f t="shared" si="187"/>
        <v/>
      </c>
      <c r="BL467" t="str">
        <f t="shared" si="188"/>
        <v/>
      </c>
      <c r="BM467" t="str">
        <f t="shared" si="189"/>
        <v/>
      </c>
      <c r="BN467" t="str">
        <f t="shared" si="190"/>
        <v/>
      </c>
      <c r="BO467" t="str">
        <f t="shared" si="191"/>
        <v/>
      </c>
      <c r="BP467" t="str">
        <f t="shared" si="192"/>
        <v/>
      </c>
      <c r="BQ467" t="str">
        <f t="shared" si="193"/>
        <v/>
      </c>
      <c r="BR467" t="str">
        <f t="shared" si="194"/>
        <v/>
      </c>
      <c r="BS467" t="str">
        <f t="shared" si="195"/>
        <v/>
      </c>
      <c r="BT467" t="str">
        <f t="shared" si="196"/>
        <v/>
      </c>
      <c r="BU467" t="str">
        <f t="shared" si="197"/>
        <v/>
      </c>
    </row>
    <row r="468" spans="1:73">
      <c r="A468" s="1">
        <v>162647</v>
      </c>
      <c r="B468" t="str">
        <f>VLOOKUP($A468,[1]Table!$A$2:$N640,B$1,FALSE)</f>
        <v>B02BD04</v>
      </c>
      <c r="C468" t="str">
        <f>VLOOKUP($A468,[1]Table!$A$2:$N640,C$1,FALSE)</f>
        <v>ANTIHAEMORRHAGICA</v>
      </c>
      <c r="D468" t="str">
        <f>VLOOKUP($A468,[1]Table!$A$2:$N640,D$1,FALSE)</f>
        <v>VITAMINE K EN OVERIGE HAEMOSTATICA</v>
      </c>
      <c r="E468" t="str">
        <f>VLOOKUP($A468,[1]Table!$A$2:$N640,E$1,FALSE)</f>
        <v>EFTRENONACOG ALFA</v>
      </c>
      <c r="F468" t="str">
        <f>VLOOKUP($A468,[1]Table!$A$2:$N640,F$1,FALSE)</f>
        <v>ALPROLIX 1000 IE  INJPDR + SOLVENS 5ML + TOEBEHOREN</v>
      </c>
      <c r="G468" t="str">
        <f>VLOOKUP($A468,[1]Table!$A$2:$N640,G$1,FALSE)</f>
        <v>EFTRENONACOG ALF 1000IE INJ</v>
      </c>
      <c r="H468" t="str">
        <f>VLOOKUP($A468,[1]Table!$A$2:$N640,H$1,FALSE)</f>
        <v>poeder voor injectievloeistof</v>
      </c>
      <c r="I468" t="str">
        <f>VLOOKUP($A468,[1]Table!$A$2:$N640,I$1,FALSE)</f>
        <v>iv</v>
      </c>
      <c r="J468">
        <f>VLOOKUP($A468,[1]Table!$A$2:$N640,J$1,FALSE)</f>
        <v>1000</v>
      </c>
      <c r="K468" t="str">
        <f>VLOOKUP($A468,[1]Table!$A$2:$N640,K$1,FALSE)</f>
        <v>IE/stuk</v>
      </c>
      <c r="L468">
        <f>VLOOKUP($A468,[1]Table!$A$2:$N640,L$1,FALSE)</f>
        <v>1000</v>
      </c>
      <c r="M468" t="str">
        <f>VLOOKUP($A468,[1]Table!$A$2:$N640,M$1,FALSE)</f>
        <v>IE</v>
      </c>
      <c r="N468" t="str">
        <f>VLOOKUP($A468,[1]Table!$A$2:$N640,N$1,FALSE)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8" t="str">
        <f>ConcatenateRange(AZ468:BU468,"||")</f>
        <v/>
      </c>
      <c r="AZ468" t="str">
        <f t="shared" si="176"/>
        <v/>
      </c>
      <c r="BA468" t="str">
        <f t="shared" si="177"/>
        <v/>
      </c>
      <c r="BB468" t="str">
        <f t="shared" si="178"/>
        <v/>
      </c>
      <c r="BC468" t="str">
        <f t="shared" si="179"/>
        <v/>
      </c>
      <c r="BD468" t="str">
        <f t="shared" si="180"/>
        <v/>
      </c>
      <c r="BE468" t="str">
        <f t="shared" si="181"/>
        <v/>
      </c>
      <c r="BF468" t="str">
        <f t="shared" si="182"/>
        <v/>
      </c>
      <c r="BG468" t="str">
        <f t="shared" si="183"/>
        <v/>
      </c>
      <c r="BH468" t="str">
        <f t="shared" si="184"/>
        <v/>
      </c>
      <c r="BI468" t="str">
        <f t="shared" si="185"/>
        <v/>
      </c>
      <c r="BJ468" t="str">
        <f t="shared" si="186"/>
        <v/>
      </c>
      <c r="BK468" t="str">
        <f t="shared" si="187"/>
        <v/>
      </c>
      <c r="BL468" t="str">
        <f t="shared" si="188"/>
        <v/>
      </c>
      <c r="BM468" t="str">
        <f t="shared" si="189"/>
        <v/>
      </c>
      <c r="BN468" t="str">
        <f t="shared" si="190"/>
        <v/>
      </c>
      <c r="BO468" t="str">
        <f t="shared" si="191"/>
        <v/>
      </c>
      <c r="BP468" t="str">
        <f t="shared" si="192"/>
        <v/>
      </c>
      <c r="BQ468" t="str">
        <f t="shared" si="193"/>
        <v/>
      </c>
      <c r="BR468" t="str">
        <f t="shared" si="194"/>
        <v/>
      </c>
      <c r="BS468" t="str">
        <f t="shared" si="195"/>
        <v/>
      </c>
      <c r="BT468" t="str">
        <f t="shared" si="196"/>
        <v/>
      </c>
      <c r="BU468" t="str">
        <f t="shared" si="197"/>
        <v/>
      </c>
    </row>
    <row r="469" spans="1:73">
      <c r="A469" s="1">
        <v>162655</v>
      </c>
      <c r="B469" t="str">
        <f>VLOOKUP($A469,[1]Table!$A$2:$N641,B$1,FALSE)</f>
        <v>B02BD04</v>
      </c>
      <c r="C469" t="str">
        <f>VLOOKUP($A469,[1]Table!$A$2:$N641,C$1,FALSE)</f>
        <v>ANTIHAEMORRHAGICA</v>
      </c>
      <c r="D469" t="str">
        <f>VLOOKUP($A469,[1]Table!$A$2:$N641,D$1,FALSE)</f>
        <v>VITAMINE K EN OVERIGE HAEMOSTATICA</v>
      </c>
      <c r="E469" t="str">
        <f>VLOOKUP($A469,[1]Table!$A$2:$N641,E$1,FALSE)</f>
        <v>EFTRENONACOG ALFA</v>
      </c>
      <c r="F469" t="str">
        <f>VLOOKUP($A469,[1]Table!$A$2:$N641,F$1,FALSE)</f>
        <v>ALPROLIX 2000 IE INJPDR + SOLVENS 5ML + TOEBEHOREN</v>
      </c>
      <c r="G469" t="str">
        <f>VLOOKUP($A469,[1]Table!$A$2:$N641,G$1,FALSE)</f>
        <v>EFTRENONACOG ALF 2000IE INJ</v>
      </c>
      <c r="H469" t="str">
        <f>VLOOKUP($A469,[1]Table!$A$2:$N641,H$1,FALSE)</f>
        <v>poeder voor injectievloeistof</v>
      </c>
      <c r="I469" t="str">
        <f>VLOOKUP($A469,[1]Table!$A$2:$N641,I$1,FALSE)</f>
        <v>iv</v>
      </c>
      <c r="J469">
        <f>VLOOKUP($A469,[1]Table!$A$2:$N641,J$1,FALSE)</f>
        <v>2000</v>
      </c>
      <c r="K469" t="str">
        <f>VLOOKUP($A469,[1]Table!$A$2:$N641,K$1,FALSE)</f>
        <v>IE/stuk</v>
      </c>
      <c r="L469">
        <f>VLOOKUP($A469,[1]Table!$A$2:$N641,L$1,FALSE)</f>
        <v>2000</v>
      </c>
      <c r="M469" t="str">
        <f>VLOOKUP($A469,[1]Table!$A$2:$N641,M$1,FALSE)</f>
        <v>IE</v>
      </c>
      <c r="N469" t="str">
        <f>VLOOKUP($A469,[1]Table!$A$2:$N641,N$1,FALSE)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9" t="str">
        <f>ConcatenateRange(AZ469:BU469,"||")</f>
        <v/>
      </c>
      <c r="AZ469" t="str">
        <f t="shared" si="176"/>
        <v/>
      </c>
      <c r="BA469" t="str">
        <f t="shared" si="177"/>
        <v/>
      </c>
      <c r="BB469" t="str">
        <f t="shared" si="178"/>
        <v/>
      </c>
      <c r="BC469" t="str">
        <f t="shared" si="179"/>
        <v/>
      </c>
      <c r="BD469" t="str">
        <f t="shared" si="180"/>
        <v/>
      </c>
      <c r="BE469" t="str">
        <f t="shared" si="181"/>
        <v/>
      </c>
      <c r="BF469" t="str">
        <f t="shared" si="182"/>
        <v/>
      </c>
      <c r="BG469" t="str">
        <f t="shared" si="183"/>
        <v/>
      </c>
      <c r="BH469" t="str">
        <f t="shared" si="184"/>
        <v/>
      </c>
      <c r="BI469" t="str">
        <f t="shared" si="185"/>
        <v/>
      </c>
      <c r="BJ469" t="str">
        <f t="shared" si="186"/>
        <v/>
      </c>
      <c r="BK469" t="str">
        <f t="shared" si="187"/>
        <v/>
      </c>
      <c r="BL469" t="str">
        <f t="shared" si="188"/>
        <v/>
      </c>
      <c r="BM469" t="str">
        <f t="shared" si="189"/>
        <v/>
      </c>
      <c r="BN469" t="str">
        <f t="shared" si="190"/>
        <v/>
      </c>
      <c r="BO469" t="str">
        <f t="shared" si="191"/>
        <v/>
      </c>
      <c r="BP469" t="str">
        <f t="shared" si="192"/>
        <v/>
      </c>
      <c r="BQ469" t="str">
        <f t="shared" si="193"/>
        <v/>
      </c>
      <c r="BR469" t="str">
        <f t="shared" si="194"/>
        <v/>
      </c>
      <c r="BS469" t="str">
        <f t="shared" si="195"/>
        <v/>
      </c>
      <c r="BT469" t="str">
        <f t="shared" si="196"/>
        <v/>
      </c>
      <c r="BU469" t="str">
        <f t="shared" si="197"/>
        <v/>
      </c>
    </row>
    <row r="470" spans="1:73">
      <c r="A470" s="1">
        <v>133949</v>
      </c>
      <c r="B470" t="str">
        <f>VLOOKUP($A470,[1]Table!$A$2:$N641,B$1,FALSE)</f>
        <v>B02BX05</v>
      </c>
      <c r="C470" t="str">
        <f>VLOOKUP($A470,[1]Table!$A$2:$N641,C$1,FALSE)</f>
        <v>ANTIHAEMORRHAGICA</v>
      </c>
      <c r="D470" t="str">
        <f>VLOOKUP($A470,[1]Table!$A$2:$N641,D$1,FALSE)</f>
        <v>VITAMINE K EN OVERIGE HAEMOSTATICA</v>
      </c>
      <c r="E470" t="str">
        <f>VLOOKUP($A470,[1]Table!$A$2:$N641,E$1,FALSE)</f>
        <v>ELTROMBOPAG</v>
      </c>
      <c r="F470" t="str">
        <f>VLOOKUP($A470,[1]Table!$A$2:$N641,F$1,FALSE)</f>
        <v>REVOLADE 25  MG TABLET</v>
      </c>
      <c r="G470" t="str">
        <f>VLOOKUP($A470,[1]Table!$A$2:$N641,G$1,FALSE)</f>
        <v>ELTROMBOPAG 25MG TABLET</v>
      </c>
      <c r="H470" t="str">
        <f>VLOOKUP($A470,[1]Table!$A$2:$N641,H$1,FALSE)</f>
        <v>tablet</v>
      </c>
      <c r="I470" t="str">
        <f>VLOOKUP($A470,[1]Table!$A$2:$N641,I$1,FALSE)</f>
        <v>or</v>
      </c>
      <c r="J470">
        <f>VLOOKUP($A470,[1]Table!$A$2:$N641,J$1,FALSE)</f>
        <v>25</v>
      </c>
      <c r="K470" t="str">
        <f>VLOOKUP($A470,[1]Table!$A$2:$N641,K$1,FALSE)</f>
        <v>mg/stuk</v>
      </c>
      <c r="L470">
        <f>VLOOKUP($A470,[1]Table!$A$2:$N641,L$1,FALSE)</f>
        <v>25</v>
      </c>
      <c r="M470" t="str">
        <f>VLOOKUP($A470,[1]Table!$A$2:$N641,M$1,FALSE)</f>
        <v>mg</v>
      </c>
      <c r="N470" t="str">
        <f>VLOOKUP($A470,[1]Table!$A$2:$N641,N$1,FALSE)</f>
        <v>Chronische refractaire immuun (idiopathische) trombocytopenische purpura (ITP) met een ernstige verhoogde bloedingsneiging en refractrair voor andere behandelingen</v>
      </c>
      <c r="O470" t="str">
        <f>ConcatenateRange(AZ470:BU470,"||")</f>
        <v/>
      </c>
      <c r="AZ470" t="str">
        <f t="shared" si="176"/>
        <v/>
      </c>
      <c r="BA470" t="str">
        <f t="shared" si="177"/>
        <v/>
      </c>
      <c r="BB470" t="str">
        <f t="shared" si="178"/>
        <v/>
      </c>
      <c r="BC470" t="str">
        <f t="shared" si="179"/>
        <v/>
      </c>
      <c r="BD470" t="str">
        <f t="shared" si="180"/>
        <v/>
      </c>
      <c r="BE470" t="str">
        <f t="shared" si="181"/>
        <v/>
      </c>
      <c r="BF470" t="str">
        <f t="shared" si="182"/>
        <v/>
      </c>
      <c r="BG470" t="str">
        <f t="shared" si="183"/>
        <v/>
      </c>
      <c r="BH470" t="str">
        <f t="shared" si="184"/>
        <v/>
      </c>
      <c r="BI470" t="str">
        <f t="shared" si="185"/>
        <v/>
      </c>
      <c r="BJ470" t="str">
        <f t="shared" si="186"/>
        <v/>
      </c>
      <c r="BK470" t="str">
        <f t="shared" si="187"/>
        <v/>
      </c>
      <c r="BL470" t="str">
        <f t="shared" si="188"/>
        <v/>
      </c>
      <c r="BM470" t="str">
        <f t="shared" si="189"/>
        <v/>
      </c>
      <c r="BN470" t="str">
        <f t="shared" si="190"/>
        <v/>
      </c>
      <c r="BO470" t="str">
        <f t="shared" si="191"/>
        <v/>
      </c>
      <c r="BP470" t="str">
        <f t="shared" si="192"/>
        <v/>
      </c>
      <c r="BQ470" t="str">
        <f t="shared" si="193"/>
        <v/>
      </c>
      <c r="BR470" t="str">
        <f t="shared" si="194"/>
        <v/>
      </c>
      <c r="BS470" t="str">
        <f t="shared" si="195"/>
        <v/>
      </c>
      <c r="BT470" t="str">
        <f t="shared" si="196"/>
        <v/>
      </c>
      <c r="BU470" t="str">
        <f t="shared" si="197"/>
        <v/>
      </c>
    </row>
    <row r="471" spans="1:73">
      <c r="A471" s="1">
        <v>106461</v>
      </c>
      <c r="B471" t="str">
        <f>VLOOKUP($A471,[1]Table!$A$2:$N642,B$1,FALSE)</f>
        <v>S01GX06</v>
      </c>
      <c r="C471" t="str">
        <f>VLOOKUP($A471,[1]Table!$A$2:$N642,C$1,FALSE)</f>
        <v>MIDDELEN VOOR OOGHEELKUNDIG GEBRUIK</v>
      </c>
      <c r="D471" t="str">
        <f>VLOOKUP($A471,[1]Table!$A$2:$N642,D$1,FALSE)</f>
        <v>DECONGESTIVA EN ALLERGIEMIDDELEN</v>
      </c>
      <c r="E471" t="str">
        <f>VLOOKUP($A471,[1]Table!$A$2:$N642,E$1,FALSE)</f>
        <v>EMEDASTINE</v>
      </c>
      <c r="F471" t="str">
        <f>VLOOKUP($A471,[1]Table!$A$2:$N642,F$1,FALSE)</f>
        <v>EMADINE 0.05 % OOGDRUPPELS 5ML</v>
      </c>
      <c r="G471" t="str">
        <f>VLOOKUP($A471,[1]Table!$A$2:$N642,G$1,FALSE)</f>
        <v>EMEDASTINE 0,5MG/ML OOGDRUP</v>
      </c>
      <c r="H471" t="str">
        <f>VLOOKUP($A471,[1]Table!$A$2:$N642,H$1,FALSE)</f>
        <v>oogdruppels</v>
      </c>
      <c r="I471" t="str">
        <f>VLOOKUP($A471,[1]Table!$A$2:$N642,I$1,FALSE)</f>
        <v>oog</v>
      </c>
      <c r="J471">
        <f>VLOOKUP($A471,[1]Table!$A$2:$N642,J$1,FALSE)</f>
        <v>0.5</v>
      </c>
      <c r="K471" t="str">
        <f>VLOOKUP($A471,[1]Table!$A$2:$N642,K$1,FALSE)</f>
        <v>mg/ml</v>
      </c>
      <c r="L471">
        <f>VLOOKUP($A471,[1]Table!$A$2:$N642,L$1,FALSE)</f>
        <v>0.5</v>
      </c>
      <c r="M471" t="str">
        <f>VLOOKUP($A471,[1]Table!$A$2:$N642,M$1,FALSE)</f>
        <v>mg</v>
      </c>
      <c r="N471" t="str">
        <f>VLOOKUP($A471,[1]Table!$A$2:$N642,N$1,FALSE)</f>
        <v>Allergische conjunctivitis, conjunctivitis vernalis</v>
      </c>
      <c r="O471" t="str">
        <f>ConcatenateRange(AZ471:BU471,"||")</f>
        <v/>
      </c>
      <c r="AZ471" t="str">
        <f t="shared" si="176"/>
        <v/>
      </c>
      <c r="BA471" t="str">
        <f t="shared" si="177"/>
        <v/>
      </c>
      <c r="BB471" t="str">
        <f t="shared" si="178"/>
        <v/>
      </c>
      <c r="BC471" t="str">
        <f t="shared" si="179"/>
        <v/>
      </c>
      <c r="BD471" t="str">
        <f t="shared" si="180"/>
        <v/>
      </c>
      <c r="BE471" t="str">
        <f t="shared" si="181"/>
        <v/>
      </c>
      <c r="BF471" t="str">
        <f t="shared" si="182"/>
        <v/>
      </c>
      <c r="BG471" t="str">
        <f t="shared" si="183"/>
        <v/>
      </c>
      <c r="BH471" t="str">
        <f t="shared" si="184"/>
        <v/>
      </c>
      <c r="BI471" t="str">
        <f t="shared" si="185"/>
        <v/>
      </c>
      <c r="BJ471" t="str">
        <f t="shared" si="186"/>
        <v/>
      </c>
      <c r="BK471" t="str">
        <f t="shared" si="187"/>
        <v/>
      </c>
      <c r="BL471" t="str">
        <f t="shared" si="188"/>
        <v/>
      </c>
      <c r="BM471" t="str">
        <f t="shared" si="189"/>
        <v/>
      </c>
      <c r="BN471" t="str">
        <f t="shared" si="190"/>
        <v/>
      </c>
      <c r="BO471" t="str">
        <f t="shared" si="191"/>
        <v/>
      </c>
      <c r="BP471" t="str">
        <f t="shared" si="192"/>
        <v/>
      </c>
      <c r="BQ471" t="str">
        <f t="shared" si="193"/>
        <v/>
      </c>
      <c r="BR471" t="str">
        <f t="shared" si="194"/>
        <v/>
      </c>
      <c r="BS471" t="str">
        <f t="shared" si="195"/>
        <v/>
      </c>
      <c r="BT471" t="str">
        <f t="shared" si="196"/>
        <v/>
      </c>
      <c r="BU471" t="str">
        <f t="shared" si="197"/>
        <v/>
      </c>
    </row>
    <row r="472" spans="1:73">
      <c r="A472" s="1">
        <v>121096</v>
      </c>
      <c r="B472" t="str">
        <f>VLOOKUP($A472,[1]Table!$A$2:$N643,B$1,FALSE)</f>
        <v>J05AF09</v>
      </c>
      <c r="C472" t="str">
        <f>VLOOKUP($A472,[1]Table!$A$2:$N643,C$1,FALSE)</f>
        <v>ANTIVIRALE MIDDELEN VOOR SYSTEMISCH GEBRUIK</v>
      </c>
      <c r="D472" t="str">
        <f>VLOOKUP($A472,[1]Table!$A$2:$N643,D$1,FALSE)</f>
        <v>DIRECT WERKENDE ANTIVIRALE MIDDELEN</v>
      </c>
      <c r="E472" t="str">
        <f>VLOOKUP($A472,[1]Table!$A$2:$N643,E$1,FALSE)</f>
        <v>EMTRICITABINE</v>
      </c>
      <c r="F472" t="str">
        <f>VLOOKUP($A472,[1]Table!$A$2:$N643,F$1,FALSE)</f>
        <v>EMTRIVA 200MG CAPSULE</v>
      </c>
      <c r="G472" t="str">
        <f>VLOOKUP($A472,[1]Table!$A$2:$N643,G$1,FALSE)</f>
        <v>EMTRICITABINE 200MG CAPSULE</v>
      </c>
      <c r="H472" t="str">
        <f>VLOOKUP($A472,[1]Table!$A$2:$N643,H$1,FALSE)</f>
        <v>capsule</v>
      </c>
      <c r="I472" t="str">
        <f>VLOOKUP($A472,[1]Table!$A$2:$N643,I$1,FALSE)</f>
        <v>or</v>
      </c>
      <c r="J472">
        <f>VLOOKUP($A472,[1]Table!$A$2:$N643,J$1,FALSE)</f>
        <v>200</v>
      </c>
      <c r="K472" t="str">
        <f>VLOOKUP($A472,[1]Table!$A$2:$N643,K$1,FALSE)</f>
        <v>mg/stuk</v>
      </c>
      <c r="L472">
        <f>VLOOKUP($A472,[1]Table!$A$2:$N643,L$1,FALSE)</f>
        <v>200</v>
      </c>
      <c r="M472" t="str">
        <f>VLOOKUP($A472,[1]Table!$A$2:$N643,M$1,FALSE)</f>
        <v>mg</v>
      </c>
      <c r="N472" t="str">
        <f>VLOOKUP($A472,[1]Table!$A$2:$N643,N$1,FALSE)</f>
        <v>HIV</v>
      </c>
      <c r="O472" t="str">
        <f>ConcatenateRange(AZ472:BU472,"||")</f>
        <v/>
      </c>
      <c r="AZ472" t="str">
        <f t="shared" si="176"/>
        <v/>
      </c>
      <c r="BA472" t="str">
        <f t="shared" si="177"/>
        <v/>
      </c>
      <c r="BB472" t="str">
        <f t="shared" si="178"/>
        <v/>
      </c>
      <c r="BC472" t="str">
        <f t="shared" si="179"/>
        <v/>
      </c>
      <c r="BD472" t="str">
        <f t="shared" si="180"/>
        <v/>
      </c>
      <c r="BE472" t="str">
        <f t="shared" si="181"/>
        <v/>
      </c>
      <c r="BF472" t="str">
        <f t="shared" si="182"/>
        <v/>
      </c>
      <c r="BG472" t="str">
        <f t="shared" si="183"/>
        <v/>
      </c>
      <c r="BH472" t="str">
        <f t="shared" si="184"/>
        <v/>
      </c>
      <c r="BI472" t="str">
        <f t="shared" si="185"/>
        <v/>
      </c>
      <c r="BJ472" t="str">
        <f t="shared" si="186"/>
        <v/>
      </c>
      <c r="BK472" t="str">
        <f t="shared" si="187"/>
        <v/>
      </c>
      <c r="BL472" t="str">
        <f t="shared" si="188"/>
        <v/>
      </c>
      <c r="BM472" t="str">
        <f t="shared" si="189"/>
        <v/>
      </c>
      <c r="BN472" t="str">
        <f t="shared" si="190"/>
        <v/>
      </c>
      <c r="BO472" t="str">
        <f t="shared" si="191"/>
        <v/>
      </c>
      <c r="BP472" t="str">
        <f t="shared" si="192"/>
        <v/>
      </c>
      <c r="BQ472" t="str">
        <f t="shared" si="193"/>
        <v/>
      </c>
      <c r="BR472" t="str">
        <f t="shared" si="194"/>
        <v/>
      </c>
      <c r="BS472" t="str">
        <f t="shared" si="195"/>
        <v/>
      </c>
      <c r="BT472" t="str">
        <f t="shared" si="196"/>
        <v/>
      </c>
      <c r="BU472" t="str">
        <f t="shared" si="197"/>
        <v/>
      </c>
    </row>
    <row r="473" spans="1:73">
      <c r="A473" s="1">
        <v>126705</v>
      </c>
      <c r="B473" t="str">
        <f>VLOOKUP($A473,[1]Table!$A$2:$N645,B$1,FALSE)</f>
        <v>C09AA02</v>
      </c>
      <c r="C473" t="str">
        <f>VLOOKUP($A473,[1]Table!$A$2:$N645,C$1,FALSE)</f>
        <v>MIDDELEN AANGRIJPEND OP HET RENINE-ANGIOTENSINESYSTEEM</v>
      </c>
      <c r="D473" t="str">
        <f>VLOOKUP($A473,[1]Table!$A$2:$N645,D$1,FALSE)</f>
        <v>ACE-REMMERS</v>
      </c>
      <c r="E473" t="str">
        <f>VLOOKUP($A473,[1]Table!$A$2:$N645,E$1,FALSE)</f>
        <v>ENALAPRIL</v>
      </c>
      <c r="F473" t="str">
        <f>VLOOKUP($A473,[1]Table!$A$2:$N645,F$1,FALSE)</f>
        <v>ENALAPRIL 1 MG/ML DRANK 100ML</v>
      </c>
      <c r="G473" t="str">
        <f>VLOOKUP($A473,[1]Table!$A$2:$N645,G$1,FALSE)</f>
        <v>ENALAPRIL 1MG/ML DRANK</v>
      </c>
      <c r="H473" t="str">
        <f>VLOOKUP($A473,[1]Table!$A$2:$N645,H$1,FALSE)</f>
        <v>drank</v>
      </c>
      <c r="I473" t="str">
        <f>VLOOKUP($A473,[1]Table!$A$2:$N645,I$1,FALSE)</f>
        <v>or</v>
      </c>
      <c r="J473">
        <f>VLOOKUP($A473,[1]Table!$A$2:$N645,J$1,FALSE)</f>
        <v>1</v>
      </c>
      <c r="K473" t="str">
        <f>VLOOKUP($A473,[1]Table!$A$2:$N645,K$1,FALSE)</f>
        <v>mg/ml</v>
      </c>
      <c r="L473">
        <f>VLOOKUP($A473,[1]Table!$A$2:$N645,L$1,FALSE)</f>
        <v>1</v>
      </c>
      <c r="M473" t="str">
        <f>VLOOKUP($A473,[1]Table!$A$2:$N645,M$1,FALSE)</f>
        <v>mg</v>
      </c>
      <c r="N473" t="str">
        <f>VLOOKUP($A473,[1]Table!$A$2:$N645,N$1,FALSE)</f>
        <v xml:space="preserve">Hypertensie, proteïnurie, hartfalen </v>
      </c>
      <c r="O473" t="str">
        <f>ConcatenateRange(AZ473:BU473,"||")</f>
        <v/>
      </c>
      <c r="AZ473" t="str">
        <f t="shared" si="176"/>
        <v/>
      </c>
      <c r="BA473" t="str">
        <f t="shared" si="177"/>
        <v/>
      </c>
      <c r="BB473" t="str">
        <f t="shared" si="178"/>
        <v/>
      </c>
      <c r="BC473" t="str">
        <f t="shared" si="179"/>
        <v/>
      </c>
      <c r="BD473" t="str">
        <f t="shared" si="180"/>
        <v/>
      </c>
      <c r="BE473" t="str">
        <f t="shared" si="181"/>
        <v/>
      </c>
      <c r="BF473" t="str">
        <f t="shared" si="182"/>
        <v/>
      </c>
      <c r="BG473" t="str">
        <f t="shared" si="183"/>
        <v/>
      </c>
      <c r="BH473" t="str">
        <f t="shared" si="184"/>
        <v/>
      </c>
      <c r="BI473" t="str">
        <f t="shared" si="185"/>
        <v/>
      </c>
      <c r="BJ473" t="str">
        <f t="shared" si="186"/>
        <v/>
      </c>
      <c r="BK473" t="str">
        <f t="shared" si="187"/>
        <v/>
      </c>
      <c r="BL473" t="str">
        <f t="shared" si="188"/>
        <v/>
      </c>
      <c r="BM473" t="str">
        <f t="shared" si="189"/>
        <v/>
      </c>
      <c r="BN473" t="str">
        <f t="shared" si="190"/>
        <v/>
      </c>
      <c r="BO473" t="str">
        <f t="shared" si="191"/>
        <v/>
      </c>
      <c r="BP473" t="str">
        <f t="shared" si="192"/>
        <v/>
      </c>
      <c r="BQ473" t="str">
        <f t="shared" si="193"/>
        <v/>
      </c>
      <c r="BR473" t="str">
        <f t="shared" si="194"/>
        <v/>
      </c>
      <c r="BS473" t="str">
        <f t="shared" si="195"/>
        <v/>
      </c>
      <c r="BT473" t="str">
        <f t="shared" si="196"/>
        <v/>
      </c>
      <c r="BU473" t="str">
        <f t="shared" si="197"/>
        <v/>
      </c>
    </row>
    <row r="474" spans="1:73">
      <c r="A474" s="1">
        <v>55387</v>
      </c>
      <c r="B474" t="str">
        <f>VLOOKUP($A474,[1]Table!$A$2:$N646,B$1,FALSE)</f>
        <v>C09AA02</v>
      </c>
      <c r="C474" t="str">
        <f>VLOOKUP($A474,[1]Table!$A$2:$N646,C$1,FALSE)</f>
        <v>MIDDELEN AANGRIJPEND OP HET RENINE-ANGIOTENSINESYSTEEM</v>
      </c>
      <c r="D474" t="str">
        <f>VLOOKUP($A474,[1]Table!$A$2:$N646,D$1,FALSE)</f>
        <v>ACE-REMMERS</v>
      </c>
      <c r="E474" t="str">
        <f>VLOOKUP($A474,[1]Table!$A$2:$N646,E$1,FALSE)</f>
        <v>ENALAPRIL</v>
      </c>
      <c r="F474" t="str">
        <f>VLOOKUP($A474,[1]Table!$A$2:$N646,F$1,FALSE)</f>
        <v>ENALAPRIL MALEAAT 5 MG TABLET</v>
      </c>
      <c r="G474" t="str">
        <f>VLOOKUP($A474,[1]Table!$A$2:$N646,G$1,FALSE)</f>
        <v>ENALAPRIL 5MG TABLET</v>
      </c>
      <c r="H474" t="str">
        <f>VLOOKUP($A474,[1]Table!$A$2:$N646,H$1,FALSE)</f>
        <v>tablet</v>
      </c>
      <c r="I474" t="str">
        <f>VLOOKUP($A474,[1]Table!$A$2:$N646,I$1,FALSE)</f>
        <v>or</v>
      </c>
      <c r="J474">
        <f>VLOOKUP($A474,[1]Table!$A$2:$N646,J$1,FALSE)</f>
        <v>5</v>
      </c>
      <c r="K474" t="str">
        <f>VLOOKUP($A474,[1]Table!$A$2:$N646,K$1,FALSE)</f>
        <v>mg/stuk</v>
      </c>
      <c r="L474">
        <f>VLOOKUP($A474,[1]Table!$A$2:$N646,L$1,FALSE)</f>
        <v>2.5</v>
      </c>
      <c r="M474" t="str">
        <f>VLOOKUP($A474,[1]Table!$A$2:$N646,M$1,FALSE)</f>
        <v>mg</v>
      </c>
      <c r="N474" t="str">
        <f>VLOOKUP($A474,[1]Table!$A$2:$N646,N$1,FALSE)</f>
        <v xml:space="preserve">Hypertensie, proteïnurie, hartfalen </v>
      </c>
      <c r="O474" t="str">
        <f>ConcatenateRange(AZ474:BU474,"||")</f>
        <v/>
      </c>
      <c r="AZ474" t="str">
        <f t="shared" si="176"/>
        <v/>
      </c>
      <c r="BA474" t="str">
        <f t="shared" si="177"/>
        <v/>
      </c>
      <c r="BB474" t="str">
        <f t="shared" si="178"/>
        <v/>
      </c>
      <c r="BC474" t="str">
        <f t="shared" si="179"/>
        <v/>
      </c>
      <c r="BD474" t="str">
        <f t="shared" si="180"/>
        <v/>
      </c>
      <c r="BE474" t="str">
        <f t="shared" si="181"/>
        <v/>
      </c>
      <c r="BF474" t="str">
        <f t="shared" si="182"/>
        <v/>
      </c>
      <c r="BG474" t="str">
        <f t="shared" si="183"/>
        <v/>
      </c>
      <c r="BH474" t="str">
        <f t="shared" si="184"/>
        <v/>
      </c>
      <c r="BI474" t="str">
        <f t="shared" si="185"/>
        <v/>
      </c>
      <c r="BJ474" t="str">
        <f t="shared" si="186"/>
        <v/>
      </c>
      <c r="BK474" t="str">
        <f t="shared" si="187"/>
        <v/>
      </c>
      <c r="BL474" t="str">
        <f t="shared" si="188"/>
        <v/>
      </c>
      <c r="BM474" t="str">
        <f t="shared" si="189"/>
        <v/>
      </c>
      <c r="BN474" t="str">
        <f t="shared" si="190"/>
        <v/>
      </c>
      <c r="BO474" t="str">
        <f t="shared" si="191"/>
        <v/>
      </c>
      <c r="BP474" t="str">
        <f t="shared" si="192"/>
        <v/>
      </c>
      <c r="BQ474" t="str">
        <f t="shared" si="193"/>
        <v/>
      </c>
      <c r="BR474" t="str">
        <f t="shared" si="194"/>
        <v/>
      </c>
      <c r="BS474" t="str">
        <f t="shared" si="195"/>
        <v/>
      </c>
      <c r="BT474" t="str">
        <f t="shared" si="196"/>
        <v/>
      </c>
      <c r="BU474" t="str">
        <f t="shared" si="197"/>
        <v/>
      </c>
    </row>
    <row r="475" spans="1:73">
      <c r="A475" s="1">
        <v>51586</v>
      </c>
      <c r="B475" t="str">
        <f>VLOOKUP($A475,[1]Table!$A$2:$N647,B$1,FALSE)</f>
        <v>C09AA02</v>
      </c>
      <c r="C475" t="str">
        <f>VLOOKUP($A475,[1]Table!$A$2:$N647,C$1,FALSE)</f>
        <v>MIDDELEN AANGRIJPEND OP HET RENINE-ANGIOTENSINESYSTEEM</v>
      </c>
      <c r="D475" t="str">
        <f>VLOOKUP($A475,[1]Table!$A$2:$N647,D$1,FALSE)</f>
        <v>ACE-REMMERS</v>
      </c>
      <c r="E475" t="str">
        <f>VLOOKUP($A475,[1]Table!$A$2:$N647,E$1,FALSE)</f>
        <v>ENALAPRIL</v>
      </c>
      <c r="F475" t="str">
        <f>VLOOKUP($A475,[1]Table!$A$2:$N647,F$1,FALSE)</f>
        <v>ENALAPRIL MALEAAT 10 MG TABLET</v>
      </c>
      <c r="G475" t="str">
        <f>VLOOKUP($A475,[1]Table!$A$2:$N647,G$1,FALSE)</f>
        <v>ENALAPRIL 10MG TABLET</v>
      </c>
      <c r="H475" t="str">
        <f>VLOOKUP($A475,[1]Table!$A$2:$N647,H$1,FALSE)</f>
        <v>tablet</v>
      </c>
      <c r="I475" t="str">
        <f>VLOOKUP($A475,[1]Table!$A$2:$N647,I$1,FALSE)</f>
        <v>or</v>
      </c>
      <c r="J475">
        <f>VLOOKUP($A475,[1]Table!$A$2:$N647,J$1,FALSE)</f>
        <v>10</v>
      </c>
      <c r="K475" t="str">
        <f>VLOOKUP($A475,[1]Table!$A$2:$N647,K$1,FALSE)</f>
        <v>mg/stuk</v>
      </c>
      <c r="L475">
        <f>VLOOKUP($A475,[1]Table!$A$2:$N647,L$1,FALSE)</f>
        <v>5</v>
      </c>
      <c r="M475" t="str">
        <f>VLOOKUP($A475,[1]Table!$A$2:$N647,M$1,FALSE)</f>
        <v>mg</v>
      </c>
      <c r="N475" t="str">
        <f>VLOOKUP($A475,[1]Table!$A$2:$N647,N$1,FALSE)</f>
        <v xml:space="preserve">Hypertensie, proteïnurie, hartfalen </v>
      </c>
      <c r="O475" t="str">
        <f>ConcatenateRange(AZ475:BU475,"||")</f>
        <v/>
      </c>
      <c r="AZ475" t="str">
        <f t="shared" si="176"/>
        <v/>
      </c>
      <c r="BA475" t="str">
        <f t="shared" si="177"/>
        <v/>
      </c>
      <c r="BB475" t="str">
        <f t="shared" si="178"/>
        <v/>
      </c>
      <c r="BC475" t="str">
        <f t="shared" si="179"/>
        <v/>
      </c>
      <c r="BD475" t="str">
        <f t="shared" si="180"/>
        <v/>
      </c>
      <c r="BE475" t="str">
        <f t="shared" si="181"/>
        <v/>
      </c>
      <c r="BF475" t="str">
        <f t="shared" si="182"/>
        <v/>
      </c>
      <c r="BG475" t="str">
        <f t="shared" si="183"/>
        <v/>
      </c>
      <c r="BH475" t="str">
        <f t="shared" si="184"/>
        <v/>
      </c>
      <c r="BI475" t="str">
        <f t="shared" si="185"/>
        <v/>
      </c>
      <c r="BJ475" t="str">
        <f t="shared" si="186"/>
        <v/>
      </c>
      <c r="BK475" t="str">
        <f t="shared" si="187"/>
        <v/>
      </c>
      <c r="BL475" t="str">
        <f t="shared" si="188"/>
        <v/>
      </c>
      <c r="BM475" t="str">
        <f t="shared" si="189"/>
        <v/>
      </c>
      <c r="BN475" t="str">
        <f t="shared" si="190"/>
        <v/>
      </c>
      <c r="BO475" t="str">
        <f t="shared" si="191"/>
        <v/>
      </c>
      <c r="BP475" t="str">
        <f t="shared" si="192"/>
        <v/>
      </c>
      <c r="BQ475" t="str">
        <f t="shared" si="193"/>
        <v/>
      </c>
      <c r="BR475" t="str">
        <f t="shared" si="194"/>
        <v/>
      </c>
      <c r="BS475" t="str">
        <f t="shared" si="195"/>
        <v/>
      </c>
      <c r="BT475" t="str">
        <f t="shared" si="196"/>
        <v/>
      </c>
      <c r="BU475" t="str">
        <f t="shared" si="197"/>
        <v/>
      </c>
    </row>
    <row r="476" spans="1:73">
      <c r="A476" s="1">
        <v>51578</v>
      </c>
      <c r="B476" t="str">
        <f>VLOOKUP($A476,[1]Table!$A$2:$N648,B$1,FALSE)</f>
        <v>C09AA02</v>
      </c>
      <c r="C476" t="str">
        <f>VLOOKUP($A476,[1]Table!$A$2:$N648,C$1,FALSE)</f>
        <v>MIDDELEN AANGRIJPEND OP HET RENINE-ANGIOTENSINESYSTEEM</v>
      </c>
      <c r="D476" t="str">
        <f>VLOOKUP($A476,[1]Table!$A$2:$N648,D$1,FALSE)</f>
        <v>ACE-REMMERS</v>
      </c>
      <c r="E476" t="str">
        <f>VLOOKUP($A476,[1]Table!$A$2:$N648,E$1,FALSE)</f>
        <v>ENALAPRIL</v>
      </c>
      <c r="F476" t="str">
        <f>VLOOKUP($A476,[1]Table!$A$2:$N648,F$1,FALSE)</f>
        <v>ENALAPRIL MALEAAT 20 MG TABLET</v>
      </c>
      <c r="G476" t="str">
        <f>VLOOKUP($A476,[1]Table!$A$2:$N648,G$1,FALSE)</f>
        <v>ENALAPRIL 20MG TABLET</v>
      </c>
      <c r="H476" t="str">
        <f>VLOOKUP($A476,[1]Table!$A$2:$N648,H$1,FALSE)</f>
        <v>tablet</v>
      </c>
      <c r="I476" t="str">
        <f>VLOOKUP($A476,[1]Table!$A$2:$N648,I$1,FALSE)</f>
        <v>or</v>
      </c>
      <c r="J476">
        <f>VLOOKUP($A476,[1]Table!$A$2:$N648,J$1,FALSE)</f>
        <v>20</v>
      </c>
      <c r="K476" t="str">
        <f>VLOOKUP($A476,[1]Table!$A$2:$N648,K$1,FALSE)</f>
        <v>mg/stuk</v>
      </c>
      <c r="L476">
        <f>VLOOKUP($A476,[1]Table!$A$2:$N648,L$1,FALSE)</f>
        <v>10</v>
      </c>
      <c r="M476" t="str">
        <f>VLOOKUP($A476,[1]Table!$A$2:$N648,M$1,FALSE)</f>
        <v>mg</v>
      </c>
      <c r="N476" t="str">
        <f>VLOOKUP($A476,[1]Table!$A$2:$N648,N$1,FALSE)</f>
        <v xml:space="preserve">Hypertensie, proteïnurie, hartfalen </v>
      </c>
      <c r="O476" t="str">
        <f>ConcatenateRange(AZ476:BU476,"||")</f>
        <v/>
      </c>
      <c r="AZ476" t="str">
        <f t="shared" si="176"/>
        <v/>
      </c>
      <c r="BA476" t="str">
        <f t="shared" si="177"/>
        <v/>
      </c>
      <c r="BB476" t="str">
        <f t="shared" si="178"/>
        <v/>
      </c>
      <c r="BC476" t="str">
        <f t="shared" si="179"/>
        <v/>
      </c>
      <c r="BD476" t="str">
        <f t="shared" si="180"/>
        <v/>
      </c>
      <c r="BE476" t="str">
        <f t="shared" si="181"/>
        <v/>
      </c>
      <c r="BF476" t="str">
        <f t="shared" si="182"/>
        <v/>
      </c>
      <c r="BG476" t="str">
        <f t="shared" si="183"/>
        <v/>
      </c>
      <c r="BH476" t="str">
        <f t="shared" si="184"/>
        <v/>
      </c>
      <c r="BI476" t="str">
        <f t="shared" si="185"/>
        <v/>
      </c>
      <c r="BJ476" t="str">
        <f t="shared" si="186"/>
        <v/>
      </c>
      <c r="BK476" t="str">
        <f t="shared" si="187"/>
        <v/>
      </c>
      <c r="BL476" t="str">
        <f t="shared" si="188"/>
        <v/>
      </c>
      <c r="BM476" t="str">
        <f t="shared" si="189"/>
        <v/>
      </c>
      <c r="BN476" t="str">
        <f t="shared" si="190"/>
        <v/>
      </c>
      <c r="BO476" t="str">
        <f t="shared" si="191"/>
        <v/>
      </c>
      <c r="BP476" t="str">
        <f t="shared" si="192"/>
        <v/>
      </c>
      <c r="BQ476" t="str">
        <f t="shared" si="193"/>
        <v/>
      </c>
      <c r="BR476" t="str">
        <f t="shared" si="194"/>
        <v/>
      </c>
      <c r="BS476" t="str">
        <f t="shared" si="195"/>
        <v/>
      </c>
      <c r="BT476" t="str">
        <f t="shared" si="196"/>
        <v/>
      </c>
      <c r="BU476" t="str">
        <f t="shared" si="197"/>
        <v/>
      </c>
    </row>
    <row r="477" spans="1:73">
      <c r="A477" s="1">
        <v>117730</v>
      </c>
      <c r="B477" t="str">
        <f>VLOOKUP($A477,[1]Table!$A$2:$N649,B$1,FALSE)</f>
        <v>J05AX07</v>
      </c>
      <c r="C477" t="str">
        <f>VLOOKUP($A477,[1]Table!$A$2:$N649,C$1,FALSE)</f>
        <v>ANTIVIRALE MIDDELEN VOOR SYSTEMISCH GEBRUIK</v>
      </c>
      <c r="D477" t="str">
        <f>VLOOKUP($A477,[1]Table!$A$2:$N649,D$1,FALSE)</f>
        <v>DIRECT WERKENDE ANTIVIRALE MIDDELEN</v>
      </c>
      <c r="E477" t="str">
        <f>VLOOKUP($A477,[1]Table!$A$2:$N649,E$1,FALSE)</f>
        <v>ENFUVIRTIDE</v>
      </c>
      <c r="F477" t="str">
        <f>VLOOKUP($A477,[1]Table!$A$2:$N649,F$1,FALSE)</f>
        <v>FUZEON 90MG INJPD+SV 1ML</v>
      </c>
      <c r="G477" t="str">
        <f>VLOOKUP($A477,[1]Table!$A$2:$N649,G$1,FALSE)</f>
        <v>ENFUVIRTIDE 90MG INJPDR</v>
      </c>
      <c r="H477" t="str">
        <f>VLOOKUP($A477,[1]Table!$A$2:$N649,H$1,FALSE)</f>
        <v>poeder voor injectievloeistof</v>
      </c>
      <c r="I477" t="str">
        <f>VLOOKUP($A477,[1]Table!$A$2:$N649,I$1,FALSE)</f>
        <v>sc</v>
      </c>
      <c r="J477">
        <f>VLOOKUP($A477,[1]Table!$A$2:$N649,J$1,FALSE)</f>
        <v>90</v>
      </c>
      <c r="K477" t="str">
        <f>VLOOKUP($A477,[1]Table!$A$2:$N649,K$1,FALSE)</f>
        <v>mg/stuk</v>
      </c>
      <c r="L477">
        <f>VLOOKUP($A477,[1]Table!$A$2:$N649,L$1,FALSE)</f>
        <v>90</v>
      </c>
      <c r="M477" t="str">
        <f>VLOOKUP($A477,[1]Table!$A$2:$N649,M$1,FALSE)</f>
        <v>mg</v>
      </c>
      <c r="N477" t="str">
        <f>VLOOKUP($A477,[1]Table!$A$2:$N649,N$1,FALSE)</f>
        <v>HIV</v>
      </c>
      <c r="O477" t="str">
        <f>ConcatenateRange(AZ477:BU477,"||")</f>
        <v/>
      </c>
      <c r="AZ477" t="str">
        <f t="shared" si="176"/>
        <v/>
      </c>
      <c r="BA477" t="str">
        <f t="shared" si="177"/>
        <v/>
      </c>
      <c r="BB477" t="str">
        <f t="shared" si="178"/>
        <v/>
      </c>
      <c r="BC477" t="str">
        <f t="shared" si="179"/>
        <v/>
      </c>
      <c r="BD477" t="str">
        <f t="shared" si="180"/>
        <v/>
      </c>
      <c r="BE477" t="str">
        <f t="shared" si="181"/>
        <v/>
      </c>
      <c r="BF477" t="str">
        <f t="shared" si="182"/>
        <v/>
      </c>
      <c r="BG477" t="str">
        <f t="shared" si="183"/>
        <v/>
      </c>
      <c r="BH477" t="str">
        <f t="shared" si="184"/>
        <v/>
      </c>
      <c r="BI477" t="str">
        <f t="shared" si="185"/>
        <v/>
      </c>
      <c r="BJ477" t="str">
        <f t="shared" si="186"/>
        <v/>
      </c>
      <c r="BK477" t="str">
        <f t="shared" si="187"/>
        <v/>
      </c>
      <c r="BL477" t="str">
        <f t="shared" si="188"/>
        <v/>
      </c>
      <c r="BM477" t="str">
        <f t="shared" si="189"/>
        <v/>
      </c>
      <c r="BN477" t="str">
        <f t="shared" si="190"/>
        <v/>
      </c>
      <c r="BO477" t="str">
        <f t="shared" si="191"/>
        <v/>
      </c>
      <c r="BP477" t="str">
        <f t="shared" si="192"/>
        <v/>
      </c>
      <c r="BQ477" t="str">
        <f t="shared" si="193"/>
        <v/>
      </c>
      <c r="BR477" t="str">
        <f t="shared" si="194"/>
        <v/>
      </c>
      <c r="BS477" t="str">
        <f t="shared" si="195"/>
        <v/>
      </c>
      <c r="BT477" t="str">
        <f t="shared" si="196"/>
        <v/>
      </c>
      <c r="BU477" t="str">
        <f t="shared" si="197"/>
        <v/>
      </c>
    </row>
    <row r="478" spans="1:73">
      <c r="A478" s="13">
        <v>171816</v>
      </c>
      <c r="B478" t="str">
        <f>VLOOKUP($A478,[1]Table!$A$2:$N1711,B$1,FALSE)</f>
        <v>B01AB05</v>
      </c>
      <c r="C478" t="str">
        <f>VLOOKUP($A478,[1]Table!$A$2:$N1711,C$1,FALSE)</f>
        <v>ANTITHROMBOTICA</v>
      </c>
      <c r="D478" t="str">
        <f>VLOOKUP($A478,[1]Table!$A$2:$N1711,D$1,FALSE)</f>
        <v>ANTITHROMBOTICA</v>
      </c>
      <c r="E478" t="str">
        <f>VLOOKUP($A478,[1]Table!$A$2:$N1711,E$1,FALSE)</f>
        <v>ENOXAPARINE</v>
      </c>
      <c r="F478" t="str">
        <f>VLOOKUP($A478,[1]Table!$A$2:$N1711,F$1,FALSE)</f>
        <v>CLEXANE  100 MG/ML INJVLST WWSP 0.6 ML</v>
      </c>
      <c r="G478" t="str">
        <f>VLOOKUP($A478,[1]Table!$A$2:$N1711,G$1,FALSE)</f>
        <v>ENOXAPARINE 100MG/ML INJVLS</v>
      </c>
      <c r="H478" t="str">
        <f>VLOOKUP($A478,[1]Table!$A$2:$N1711,H$1,FALSE)</f>
        <v>injectievloeistof</v>
      </c>
      <c r="I478" t="str">
        <f>VLOOKUP($A478,[1]Table!$A$2:$N1711,I$1,FALSE)</f>
        <v>iv||sc</v>
      </c>
      <c r="J478">
        <f>VLOOKUP($A478,[1]Table!$A$2:$N1711,J$1,FALSE)</f>
        <v>100</v>
      </c>
      <c r="K478" t="str">
        <f>VLOOKUP($A478,[1]Table!$A$2:$N1711,K$1,FALSE)</f>
        <v>mg/ml</v>
      </c>
      <c r="L478">
        <f>VLOOKUP($A478,[1]Table!$A$2:$N1711,L$1,FALSE)</f>
        <v>100</v>
      </c>
      <c r="M478" t="str">
        <f>VLOOKUP($A478,[1]Table!$A$2:$N1711,M$1,FALSE)</f>
        <v>mg</v>
      </c>
      <c r="N478" t="str">
        <f>VLOOKUP($A478,[1]Table!$A$2:$N1711,N$1,FALSE)</f>
        <v>Profylaxe trombo-embolische complicaties||Diep veneuze trombose</v>
      </c>
      <c r="AZ478" t="str">
        <f t="shared" si="176"/>
        <v/>
      </c>
      <c r="BA478" t="str">
        <f t="shared" si="177"/>
        <v/>
      </c>
      <c r="BB478" t="str">
        <f t="shared" si="178"/>
        <v/>
      </c>
      <c r="BC478" t="str">
        <f t="shared" si="179"/>
        <v/>
      </c>
      <c r="BD478" t="str">
        <f t="shared" si="180"/>
        <v/>
      </c>
      <c r="BE478" t="str">
        <f t="shared" si="181"/>
        <v/>
      </c>
      <c r="BF478" t="str">
        <f t="shared" si="182"/>
        <v/>
      </c>
      <c r="BG478" t="str">
        <f t="shared" si="183"/>
        <v/>
      </c>
      <c r="BH478" t="str">
        <f t="shared" si="184"/>
        <v/>
      </c>
      <c r="BI478" t="str">
        <f t="shared" si="185"/>
        <v/>
      </c>
      <c r="BJ478" t="str">
        <f t="shared" si="186"/>
        <v/>
      </c>
      <c r="BK478" t="str">
        <f t="shared" si="187"/>
        <v/>
      </c>
      <c r="BL478" t="str">
        <f t="shared" si="188"/>
        <v/>
      </c>
      <c r="BM478" t="str">
        <f t="shared" si="189"/>
        <v/>
      </c>
      <c r="BN478" t="str">
        <f t="shared" si="190"/>
        <v/>
      </c>
      <c r="BO478" t="str">
        <f t="shared" si="191"/>
        <v/>
      </c>
      <c r="BP478" t="str">
        <f t="shared" si="192"/>
        <v/>
      </c>
      <c r="BQ478" t="str">
        <f t="shared" si="193"/>
        <v/>
      </c>
      <c r="BR478" t="str">
        <f t="shared" si="194"/>
        <v/>
      </c>
      <c r="BS478" t="str">
        <f t="shared" si="195"/>
        <v/>
      </c>
      <c r="BT478" t="str">
        <f t="shared" si="196"/>
        <v/>
      </c>
      <c r="BU478" t="str">
        <f t="shared" si="197"/>
        <v/>
      </c>
    </row>
    <row r="479" spans="1:73">
      <c r="A479" s="13">
        <v>171824</v>
      </c>
      <c r="B479" t="str">
        <f>VLOOKUP($A479,[1]Table!$A$2:$N1712,B$1,FALSE)</f>
        <v>B01AB05</v>
      </c>
      <c r="C479" t="str">
        <f>VLOOKUP($A479,[1]Table!$A$2:$N1712,C$1,FALSE)</f>
        <v>ANTITHROMBOTICA</v>
      </c>
      <c r="D479" t="str">
        <f>VLOOKUP($A479,[1]Table!$A$2:$N1712,D$1,FALSE)</f>
        <v>ANTITHROMBOTICA</v>
      </c>
      <c r="E479" t="str">
        <f>VLOOKUP($A479,[1]Table!$A$2:$N1712,E$1,FALSE)</f>
        <v>ENOXAPARINE</v>
      </c>
      <c r="F479" t="str">
        <f>VLOOKUP($A479,[1]Table!$A$2:$N1712,F$1,FALSE)</f>
        <v>CLEXANE 150 MG/ML WWSP 0,8 ML</v>
      </c>
      <c r="G479" t="str">
        <f>VLOOKUP($A479,[1]Table!$A$2:$N1712,G$1,FALSE)</f>
        <v>ENOXAPARINE 150MG/ML INJVLS</v>
      </c>
      <c r="H479" t="str">
        <f>VLOOKUP($A479,[1]Table!$A$2:$N1712,H$1,FALSE)</f>
        <v>injectievloeistof</v>
      </c>
      <c r="I479" t="str">
        <f>VLOOKUP($A479,[1]Table!$A$2:$N1712,I$1,FALSE)</f>
        <v>sc</v>
      </c>
      <c r="J479">
        <f>VLOOKUP($A479,[1]Table!$A$2:$N1712,J$1,FALSE)</f>
        <v>150</v>
      </c>
      <c r="K479" t="str">
        <f>VLOOKUP($A479,[1]Table!$A$2:$N1712,K$1,FALSE)</f>
        <v>mg/ml</v>
      </c>
      <c r="L479">
        <f>VLOOKUP($A479,[1]Table!$A$2:$N1712,L$1,FALSE)</f>
        <v>150</v>
      </c>
      <c r="M479" t="str">
        <f>VLOOKUP($A479,[1]Table!$A$2:$N1712,M$1,FALSE)</f>
        <v>mg</v>
      </c>
      <c r="N479" t="str">
        <f>VLOOKUP($A479,[1]Table!$A$2:$N1712,N$1,FALSE)</f>
        <v>Profylaxe trombo-embolische complicaties||Diep veneuze trombose</v>
      </c>
      <c r="AZ479" t="str">
        <f t="shared" si="176"/>
        <v/>
      </c>
      <c r="BA479" t="str">
        <f t="shared" si="177"/>
        <v/>
      </c>
      <c r="BB479" t="str">
        <f t="shared" si="178"/>
        <v/>
      </c>
      <c r="BC479" t="str">
        <f t="shared" si="179"/>
        <v/>
      </c>
      <c r="BD479" t="str">
        <f t="shared" si="180"/>
        <v/>
      </c>
      <c r="BE479" t="str">
        <f t="shared" si="181"/>
        <v/>
      </c>
      <c r="BF479" t="str">
        <f t="shared" si="182"/>
        <v/>
      </c>
      <c r="BG479" t="str">
        <f t="shared" si="183"/>
        <v/>
      </c>
      <c r="BH479" t="str">
        <f t="shared" si="184"/>
        <v/>
      </c>
      <c r="BI479" t="str">
        <f t="shared" si="185"/>
        <v/>
      </c>
      <c r="BJ479" t="str">
        <f t="shared" si="186"/>
        <v/>
      </c>
      <c r="BK479" t="str">
        <f t="shared" si="187"/>
        <v/>
      </c>
      <c r="BL479" t="str">
        <f t="shared" si="188"/>
        <v/>
      </c>
      <c r="BM479" t="str">
        <f t="shared" si="189"/>
        <v/>
      </c>
      <c r="BN479" t="str">
        <f t="shared" si="190"/>
        <v/>
      </c>
      <c r="BO479" t="str">
        <f t="shared" si="191"/>
        <v/>
      </c>
      <c r="BP479" t="str">
        <f t="shared" si="192"/>
        <v/>
      </c>
      <c r="BQ479" t="str">
        <f t="shared" si="193"/>
        <v/>
      </c>
      <c r="BR479" t="str">
        <f t="shared" si="194"/>
        <v/>
      </c>
      <c r="BS479" t="str">
        <f t="shared" si="195"/>
        <v/>
      </c>
      <c r="BT479" t="str">
        <f t="shared" si="196"/>
        <v/>
      </c>
      <c r="BU479" t="str">
        <f t="shared" si="197"/>
        <v/>
      </c>
    </row>
    <row r="480" spans="1:73">
      <c r="A480" s="1">
        <v>125776</v>
      </c>
      <c r="B480" t="str">
        <f>VLOOKUP($A480,[1]Table!$A$2:$N652,B$1,FALSE)</f>
        <v>J05AF10</v>
      </c>
      <c r="C480" t="str">
        <f>VLOOKUP($A480,[1]Table!$A$2:$N652,C$1,FALSE)</f>
        <v>ANTIVIRALE MIDDELEN VOOR SYSTEMISCH GEBRUIK</v>
      </c>
      <c r="D480" t="str">
        <f>VLOOKUP($A480,[1]Table!$A$2:$N652,D$1,FALSE)</f>
        <v>DIRECT WERKENDE ANTIVIRALE MIDDELEN</v>
      </c>
      <c r="E480" t="str">
        <f>VLOOKUP($A480,[1]Table!$A$2:$N652,E$1,FALSE)</f>
        <v>ENTECAVIR</v>
      </c>
      <c r="F480" t="str">
        <f>VLOOKUP($A480,[1]Table!$A$2:$N652,F$1,FALSE)</f>
        <v>BARACLUDE 0.5 MG TABLET</v>
      </c>
      <c r="G480" t="str">
        <f>VLOOKUP($A480,[1]Table!$A$2:$N652,G$1,FALSE)</f>
        <v>ENTECAVIR 0,5MG TABLET</v>
      </c>
      <c r="H480" t="str">
        <f>VLOOKUP($A480,[1]Table!$A$2:$N652,H$1,FALSE)</f>
        <v>tablet</v>
      </c>
      <c r="I480" t="str">
        <f>VLOOKUP($A480,[1]Table!$A$2:$N652,I$1,FALSE)</f>
        <v>or</v>
      </c>
      <c r="J480">
        <f>VLOOKUP($A480,[1]Table!$A$2:$N652,J$1,FALSE)</f>
        <v>0.5</v>
      </c>
      <c r="K480" t="str">
        <f>VLOOKUP($A480,[1]Table!$A$2:$N652,K$1,FALSE)</f>
        <v>mg/stuk</v>
      </c>
      <c r="L480">
        <f>VLOOKUP($A480,[1]Table!$A$2:$N652,L$1,FALSE)</f>
        <v>0.5</v>
      </c>
      <c r="M480" t="str">
        <f>VLOOKUP($A480,[1]Table!$A$2:$N652,M$1,FALSE)</f>
        <v>mg</v>
      </c>
      <c r="N480" t="str">
        <f>VLOOKUP($A480,[1]Table!$A$2:$N652,N$1,FALSE)</f>
        <v>Chronische HBV-infectie bij nucleoside naïeve patiënten</v>
      </c>
      <c r="O480" t="str">
        <f>ConcatenateRange(AZ480:BU480,"||")</f>
        <v/>
      </c>
      <c r="AZ480" t="str">
        <f t="shared" si="176"/>
        <v/>
      </c>
      <c r="BA480" t="str">
        <f t="shared" si="177"/>
        <v/>
      </c>
      <c r="BB480" t="str">
        <f t="shared" si="178"/>
        <v/>
      </c>
      <c r="BC480" t="str">
        <f t="shared" si="179"/>
        <v/>
      </c>
      <c r="BD480" t="str">
        <f t="shared" si="180"/>
        <v/>
      </c>
      <c r="BE480" t="str">
        <f t="shared" si="181"/>
        <v/>
      </c>
      <c r="BF480" t="str">
        <f t="shared" si="182"/>
        <v/>
      </c>
      <c r="BG480" t="str">
        <f t="shared" si="183"/>
        <v/>
      </c>
      <c r="BH480" t="str">
        <f t="shared" si="184"/>
        <v/>
      </c>
      <c r="BI480" t="str">
        <f t="shared" si="185"/>
        <v/>
      </c>
      <c r="BJ480" t="str">
        <f t="shared" si="186"/>
        <v/>
      </c>
      <c r="BK480" t="str">
        <f t="shared" si="187"/>
        <v/>
      </c>
      <c r="BL480" t="str">
        <f t="shared" si="188"/>
        <v/>
      </c>
      <c r="BM480" t="str">
        <f t="shared" si="189"/>
        <v/>
      </c>
      <c r="BN480" t="str">
        <f t="shared" si="190"/>
        <v/>
      </c>
      <c r="BO480" t="str">
        <f t="shared" si="191"/>
        <v/>
      </c>
      <c r="BP480" t="str">
        <f t="shared" si="192"/>
        <v/>
      </c>
      <c r="BQ480" t="str">
        <f t="shared" si="193"/>
        <v/>
      </c>
      <c r="BR480" t="str">
        <f t="shared" si="194"/>
        <v/>
      </c>
      <c r="BS480" t="str">
        <f t="shared" si="195"/>
        <v/>
      </c>
      <c r="BT480" t="str">
        <f t="shared" si="196"/>
        <v/>
      </c>
      <c r="BU480" t="str">
        <f t="shared" si="197"/>
        <v/>
      </c>
    </row>
    <row r="481" spans="1:73">
      <c r="A481" s="1">
        <v>125784</v>
      </c>
      <c r="B481" t="str">
        <f>VLOOKUP($A481,[1]Table!$A$2:$N653,B$1,FALSE)</f>
        <v>J05AF10</v>
      </c>
      <c r="C481" t="str">
        <f>VLOOKUP($A481,[1]Table!$A$2:$N653,C$1,FALSE)</f>
        <v>ANTIVIRALE MIDDELEN VOOR SYSTEMISCH GEBRUIK</v>
      </c>
      <c r="D481" t="str">
        <f>VLOOKUP($A481,[1]Table!$A$2:$N653,D$1,FALSE)</f>
        <v>DIRECT WERKENDE ANTIVIRALE MIDDELEN</v>
      </c>
      <c r="E481" t="str">
        <f>VLOOKUP($A481,[1]Table!$A$2:$N653,E$1,FALSE)</f>
        <v>ENTECAVIR</v>
      </c>
      <c r="F481" t="str">
        <f>VLOOKUP($A481,[1]Table!$A$2:$N653,F$1,FALSE)</f>
        <v>BARACLUDE 1 MG TABLET</v>
      </c>
      <c r="G481" t="str">
        <f>VLOOKUP($A481,[1]Table!$A$2:$N653,G$1,FALSE)</f>
        <v>ENTECAVIR 1MG TABLET</v>
      </c>
      <c r="H481" t="str">
        <f>VLOOKUP($A481,[1]Table!$A$2:$N653,H$1,FALSE)</f>
        <v>tablet</v>
      </c>
      <c r="I481" t="str">
        <f>VLOOKUP($A481,[1]Table!$A$2:$N653,I$1,FALSE)</f>
        <v>or</v>
      </c>
      <c r="J481">
        <f>VLOOKUP($A481,[1]Table!$A$2:$N653,J$1,FALSE)</f>
        <v>1</v>
      </c>
      <c r="K481" t="str">
        <f>VLOOKUP($A481,[1]Table!$A$2:$N653,K$1,FALSE)</f>
        <v>mg/stuk</v>
      </c>
      <c r="L481">
        <f>VLOOKUP($A481,[1]Table!$A$2:$N653,L$1,FALSE)</f>
        <v>1</v>
      </c>
      <c r="M481" t="str">
        <f>VLOOKUP($A481,[1]Table!$A$2:$N653,M$1,FALSE)</f>
        <v>mg</v>
      </c>
      <c r="N481" t="str">
        <f>VLOOKUP($A481,[1]Table!$A$2:$N653,N$1,FALSE)</f>
        <v>Chronische HBV-infectie bij nucleoside naïeve patiënten</v>
      </c>
      <c r="O481" t="str">
        <f>ConcatenateRange(AZ481:BU481,"||")</f>
        <v/>
      </c>
      <c r="AZ481" t="str">
        <f t="shared" si="176"/>
        <v/>
      </c>
      <c r="BA481" t="str">
        <f t="shared" si="177"/>
        <v/>
      </c>
      <c r="BB481" t="str">
        <f t="shared" si="178"/>
        <v/>
      </c>
      <c r="BC481" t="str">
        <f t="shared" si="179"/>
        <v/>
      </c>
      <c r="BD481" t="str">
        <f t="shared" si="180"/>
        <v/>
      </c>
      <c r="BE481" t="str">
        <f t="shared" si="181"/>
        <v/>
      </c>
      <c r="BF481" t="str">
        <f t="shared" si="182"/>
        <v/>
      </c>
      <c r="BG481" t="str">
        <f t="shared" si="183"/>
        <v/>
      </c>
      <c r="BH481" t="str">
        <f t="shared" si="184"/>
        <v/>
      </c>
      <c r="BI481" t="str">
        <f t="shared" si="185"/>
        <v/>
      </c>
      <c r="BJ481" t="str">
        <f t="shared" si="186"/>
        <v/>
      </c>
      <c r="BK481" t="str">
        <f t="shared" si="187"/>
        <v/>
      </c>
      <c r="BL481" t="str">
        <f t="shared" si="188"/>
        <v/>
      </c>
      <c r="BM481" t="str">
        <f t="shared" si="189"/>
        <v/>
      </c>
      <c r="BN481" t="str">
        <f t="shared" si="190"/>
        <v/>
      </c>
      <c r="BO481" t="str">
        <f t="shared" si="191"/>
        <v/>
      </c>
      <c r="BP481" t="str">
        <f t="shared" si="192"/>
        <v/>
      </c>
      <c r="BQ481" t="str">
        <f t="shared" si="193"/>
        <v/>
      </c>
      <c r="BR481" t="str">
        <f t="shared" si="194"/>
        <v/>
      </c>
      <c r="BS481" t="str">
        <f t="shared" si="195"/>
        <v/>
      </c>
      <c r="BT481" t="str">
        <f t="shared" si="196"/>
        <v/>
      </c>
      <c r="BU481" t="str">
        <f t="shared" si="197"/>
        <v/>
      </c>
    </row>
    <row r="482" spans="1:73">
      <c r="A482" s="1">
        <v>88862</v>
      </c>
      <c r="B482" t="str">
        <f>VLOOKUP($A482,[1]Table!$A$2:$N654,B$1,FALSE)</f>
        <v>B03XA01</v>
      </c>
      <c r="C482" t="str">
        <f>VLOOKUP($A482,[1]Table!$A$2:$N654,C$1,FALSE)</f>
        <v>MIDDELEN BIJ ANEMIE</v>
      </c>
      <c r="D482" t="str">
        <f>VLOOKUP($A482,[1]Table!$A$2:$N654,D$1,FALSE)</f>
        <v>OVERIGE MIDDELEN BIJ ANEMIE</v>
      </c>
      <c r="E482" t="str">
        <f>VLOOKUP($A482,[1]Table!$A$2:$N654,E$1,FALSE)</f>
        <v>EPOETINE</v>
      </c>
      <c r="F482" t="str">
        <f>VLOOKUP($A482,[1]Table!$A$2:$N654,F$1,FALSE)</f>
        <v>EPREX  2000 INJVLST 4000 IE/ML WWSP 0.5 ML</v>
      </c>
      <c r="G482" t="str">
        <f>VLOOKUP($A482,[1]Table!$A$2:$N654,G$1,FALSE)</f>
        <v>EPOETINE ALFA 4000IE/ML INJ</v>
      </c>
      <c r="H482" t="str">
        <f>VLOOKUP($A482,[1]Table!$A$2:$N654,H$1,FALSE)</f>
        <v>injectievloeistof</v>
      </c>
      <c r="I482" t="str">
        <f>VLOOKUP($A482,[1]Table!$A$2:$N654,I$1,FALSE)</f>
        <v>iv||sc</v>
      </c>
      <c r="J482">
        <f>VLOOKUP($A482,[1]Table!$A$2:$N654,J$1,FALSE)</f>
        <v>4000</v>
      </c>
      <c r="K482" t="str">
        <f>VLOOKUP($A482,[1]Table!$A$2:$N654,K$1,FALSE)</f>
        <v>IE/ml</v>
      </c>
      <c r="L482">
        <f>VLOOKUP($A482,[1]Table!$A$2:$N654,L$1,FALSE)</f>
        <v>4000</v>
      </c>
      <c r="M482" t="str">
        <f>VLOOKUP($A482,[1]Table!$A$2:$N654,M$1,FALSE)</f>
        <v>IE</v>
      </c>
      <c r="N482" t="str">
        <f>VLOOKUP($A482,[1]Table!$A$2:$N654,N$1,FALSE)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>ConcatenateRange(AZ482:BU482,"||")</f>
        <v/>
      </c>
      <c r="AZ482" t="str">
        <f t="shared" si="176"/>
        <v/>
      </c>
      <c r="BA482" t="str">
        <f t="shared" si="177"/>
        <v/>
      </c>
      <c r="BB482" t="str">
        <f t="shared" si="178"/>
        <v/>
      </c>
      <c r="BC482" t="str">
        <f t="shared" si="179"/>
        <v/>
      </c>
      <c r="BD482" t="str">
        <f t="shared" si="180"/>
        <v/>
      </c>
      <c r="BE482" t="str">
        <f t="shared" si="181"/>
        <v/>
      </c>
      <c r="BF482" t="str">
        <f t="shared" si="182"/>
        <v/>
      </c>
      <c r="BG482" t="str">
        <f t="shared" si="183"/>
        <v/>
      </c>
      <c r="BH482" t="str">
        <f t="shared" si="184"/>
        <v/>
      </c>
      <c r="BI482" t="str">
        <f t="shared" si="185"/>
        <v/>
      </c>
      <c r="BJ482" t="str">
        <f t="shared" si="186"/>
        <v/>
      </c>
      <c r="BK482" t="str">
        <f t="shared" si="187"/>
        <v/>
      </c>
      <c r="BL482" t="str">
        <f t="shared" si="188"/>
        <v/>
      </c>
      <c r="BM482" t="str">
        <f t="shared" si="189"/>
        <v/>
      </c>
      <c r="BN482" t="str">
        <f t="shared" si="190"/>
        <v/>
      </c>
      <c r="BO482" t="str">
        <f t="shared" si="191"/>
        <v/>
      </c>
      <c r="BP482" t="str">
        <f t="shared" si="192"/>
        <v/>
      </c>
      <c r="BQ482" t="str">
        <f t="shared" si="193"/>
        <v/>
      </c>
      <c r="BR482" t="str">
        <f t="shared" si="194"/>
        <v/>
      </c>
      <c r="BS482" t="str">
        <f t="shared" si="195"/>
        <v/>
      </c>
      <c r="BT482" t="str">
        <f t="shared" si="196"/>
        <v/>
      </c>
      <c r="BU482" t="str">
        <f t="shared" si="197"/>
        <v/>
      </c>
    </row>
    <row r="483" spans="1:73">
      <c r="A483" s="1">
        <v>114081</v>
      </c>
      <c r="B483" t="str">
        <f>VLOOKUP($A483,[1]Table!$A$2:$N657,B$1,FALSE)</f>
        <v>B03XA01</v>
      </c>
      <c r="C483" t="str">
        <f>VLOOKUP($A483,[1]Table!$A$2:$N657,C$1,FALSE)</f>
        <v>MIDDELEN BIJ ANEMIE</v>
      </c>
      <c r="D483" t="str">
        <f>VLOOKUP($A483,[1]Table!$A$2:$N657,D$1,FALSE)</f>
        <v>OVERIGE MIDDELEN BIJ ANEMIE</v>
      </c>
      <c r="E483" t="str">
        <f>VLOOKUP($A483,[1]Table!$A$2:$N657,E$1,FALSE)</f>
        <v>EPOETINE</v>
      </c>
      <c r="F483" t="str">
        <f>VLOOKUP($A483,[1]Table!$A$2:$N657,F$1,FALSE)</f>
        <v>NEORECORMON 2000 IE/0.3 ML WEGWERPSPUIT</v>
      </c>
      <c r="G483" t="str">
        <f>VLOOKUP($A483,[1]Table!$A$2:$N657,G$1,FALSE)</f>
        <v>EPOETINE BETA 6667IE/ML INJ</v>
      </c>
      <c r="H483" t="str">
        <f>VLOOKUP($A483,[1]Table!$A$2:$N657,H$1,FALSE)</f>
        <v>injectievloeistof</v>
      </c>
      <c r="I483" t="str">
        <f>VLOOKUP($A483,[1]Table!$A$2:$N657,I$1,FALSE)</f>
        <v>iv||sc</v>
      </c>
      <c r="J483">
        <f>VLOOKUP($A483,[1]Table!$A$2:$N657,J$1,FALSE)</f>
        <v>6667</v>
      </c>
      <c r="K483" t="str">
        <f>VLOOKUP($A483,[1]Table!$A$2:$N657,K$1,FALSE)</f>
        <v>IE/ml</v>
      </c>
      <c r="L483">
        <f>VLOOKUP($A483,[1]Table!$A$2:$N657,L$1,FALSE)</f>
        <v>6667</v>
      </c>
      <c r="M483" t="str">
        <f>VLOOKUP($A483,[1]Table!$A$2:$N657,M$1,FALSE)</f>
        <v>IE</v>
      </c>
      <c r="N483" t="str">
        <f>VLOOKUP($A483,[1]Table!$A$2:$N657,N$1,FALSE)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>ConcatenateRange(AZ483:BU483,"||")</f>
        <v/>
      </c>
      <c r="AZ483" t="str">
        <f t="shared" si="176"/>
        <v/>
      </c>
      <c r="BA483" t="str">
        <f t="shared" si="177"/>
        <v/>
      </c>
      <c r="BB483" t="str">
        <f t="shared" si="178"/>
        <v/>
      </c>
      <c r="BC483" t="str">
        <f t="shared" si="179"/>
        <v/>
      </c>
      <c r="BD483" t="str">
        <f t="shared" si="180"/>
        <v/>
      </c>
      <c r="BE483" t="str">
        <f t="shared" si="181"/>
        <v/>
      </c>
      <c r="BF483" t="str">
        <f t="shared" si="182"/>
        <v/>
      </c>
      <c r="BG483" t="str">
        <f t="shared" si="183"/>
        <v/>
      </c>
      <c r="BH483" t="str">
        <f t="shared" si="184"/>
        <v/>
      </c>
      <c r="BI483" t="str">
        <f t="shared" si="185"/>
        <v/>
      </c>
      <c r="BJ483" t="str">
        <f t="shared" si="186"/>
        <v/>
      </c>
      <c r="BK483" t="str">
        <f t="shared" si="187"/>
        <v/>
      </c>
      <c r="BL483" t="str">
        <f t="shared" si="188"/>
        <v/>
      </c>
      <c r="BM483" t="str">
        <f t="shared" si="189"/>
        <v/>
      </c>
      <c r="BN483" t="str">
        <f t="shared" si="190"/>
        <v/>
      </c>
      <c r="BO483" t="str">
        <f t="shared" si="191"/>
        <v/>
      </c>
      <c r="BP483" t="str">
        <f t="shared" si="192"/>
        <v/>
      </c>
      <c r="BQ483" t="str">
        <f t="shared" si="193"/>
        <v/>
      </c>
      <c r="BR483" t="str">
        <f t="shared" si="194"/>
        <v/>
      </c>
      <c r="BS483" t="str">
        <f t="shared" si="195"/>
        <v/>
      </c>
      <c r="BT483" t="str">
        <f t="shared" si="196"/>
        <v/>
      </c>
      <c r="BU483" t="str">
        <f t="shared" si="197"/>
        <v/>
      </c>
    </row>
    <row r="484" spans="1:73">
      <c r="A484" s="1">
        <v>88870</v>
      </c>
      <c r="B484" t="str">
        <f>VLOOKUP($A484,[1]Table!$A$2:$N655,B$1,FALSE)</f>
        <v>B03XA01</v>
      </c>
      <c r="C484" t="str">
        <f>VLOOKUP($A484,[1]Table!$A$2:$N655,C$1,FALSE)</f>
        <v>MIDDELEN BIJ ANEMIE</v>
      </c>
      <c r="D484" t="str">
        <f>VLOOKUP($A484,[1]Table!$A$2:$N655,D$1,FALSE)</f>
        <v>OVERIGE MIDDELEN BIJ ANEMIE</v>
      </c>
      <c r="E484" t="str">
        <f>VLOOKUP($A484,[1]Table!$A$2:$N655,E$1,FALSE)</f>
        <v>EPOETINE</v>
      </c>
      <c r="F484" t="str">
        <f>VLOOKUP($A484,[1]Table!$A$2:$N655,F$1,FALSE)</f>
        <v>EPREX  3000 IE/0,3 ML INJVLST WWSP 0,3ML</v>
      </c>
      <c r="G484" t="str">
        <f>VLOOKUP($A484,[1]Table!$A$2:$N655,G$1,FALSE)</f>
        <v>EPOETINE ALFA 10000IE/ML IN</v>
      </c>
      <c r="H484" t="str">
        <f>VLOOKUP($A484,[1]Table!$A$2:$N655,H$1,FALSE)</f>
        <v>injectievloeistof</v>
      </c>
      <c r="I484" t="str">
        <f>VLOOKUP($A484,[1]Table!$A$2:$N655,I$1,FALSE)</f>
        <v>iv||sc</v>
      </c>
      <c r="J484">
        <f>VLOOKUP($A484,[1]Table!$A$2:$N655,J$1,FALSE)</f>
        <v>10000</v>
      </c>
      <c r="K484" t="str">
        <f>VLOOKUP($A484,[1]Table!$A$2:$N655,K$1,FALSE)</f>
        <v>IE/ml</v>
      </c>
      <c r="L484">
        <f>VLOOKUP($A484,[1]Table!$A$2:$N655,L$1,FALSE)</f>
        <v>10000</v>
      </c>
      <c r="M484" t="str">
        <f>VLOOKUP($A484,[1]Table!$A$2:$N655,M$1,FALSE)</f>
        <v>IE</v>
      </c>
      <c r="N484" t="str">
        <f>VLOOKUP($A484,[1]Table!$A$2:$N655,N$1,FALSE)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>ConcatenateRange(AZ484:BU484,"||")</f>
        <v/>
      </c>
      <c r="AZ484" t="str">
        <f t="shared" ref="AZ484:AZ545" si="198">IF(AA484&lt;&gt;0,AA$2,"")</f>
        <v/>
      </c>
      <c r="BA484" t="str">
        <f t="shared" ref="BA484:BA545" si="199">IF(AB484&lt;&gt;0,AB$2,"")</f>
        <v/>
      </c>
      <c r="BB484" t="str">
        <f t="shared" ref="BB484:BB545" si="200">IF(AC484&lt;&gt;0,AC$2,"")</f>
        <v/>
      </c>
      <c r="BC484" t="str">
        <f t="shared" ref="BC484:BC545" si="201">IF(AD484&lt;&gt;0,AD$2,"")</f>
        <v/>
      </c>
      <c r="BD484" t="str">
        <f t="shared" ref="BD484:BD545" si="202">IF(AE484&lt;&gt;0,AE$2,"")</f>
        <v/>
      </c>
      <c r="BE484" t="str">
        <f t="shared" ref="BE484:BE545" si="203">IF(AF484&lt;&gt;0,AF$2,"")</f>
        <v/>
      </c>
      <c r="BF484" t="str">
        <f t="shared" ref="BF484:BF545" si="204">IF(AG484&lt;&gt;0,AG$2,"")</f>
        <v/>
      </c>
      <c r="BG484" t="str">
        <f t="shared" ref="BG484:BG545" si="205">IF(AH484&lt;&gt;0,AH$2,"")</f>
        <v/>
      </c>
      <c r="BH484" t="str">
        <f t="shared" ref="BH484:BH545" si="206">IF(AI484&lt;&gt;0,AI$2,"")</f>
        <v/>
      </c>
      <c r="BI484" t="str">
        <f t="shared" ref="BI484:BI545" si="207">IF(AJ484&lt;&gt;0,AJ$2,"")</f>
        <v/>
      </c>
      <c r="BJ484" t="str">
        <f t="shared" ref="BJ484:BJ545" si="208">IF(AK484&lt;&gt;0,AK$2,"")</f>
        <v/>
      </c>
      <c r="BK484" t="str">
        <f t="shared" ref="BK484:BK545" si="209">IF(AL484&lt;&gt;0,AL$2,"")</f>
        <v/>
      </c>
      <c r="BL484" t="str">
        <f t="shared" ref="BL484:BL545" si="210">IF(AM484&lt;&gt;0,AM$2,"")</f>
        <v/>
      </c>
      <c r="BM484" t="str">
        <f t="shared" ref="BM484:BM545" si="211">IF(AN484&lt;&gt;0,AN$2,"")</f>
        <v/>
      </c>
      <c r="BN484" t="str">
        <f t="shared" ref="BN484:BN545" si="212">IF(AO484&lt;&gt;0,AO$2,"")</f>
        <v/>
      </c>
      <c r="BO484" t="str">
        <f t="shared" ref="BO484:BO545" si="213">IF(AP484&lt;&gt;0,AP$2,"")</f>
        <v/>
      </c>
      <c r="BP484" t="str">
        <f t="shared" ref="BP484:BP545" si="214">IF(AQ484&lt;&gt;0,AQ$2,"")</f>
        <v/>
      </c>
      <c r="BQ484" t="str">
        <f t="shared" ref="BQ484:BQ545" si="215">IF(AR484&lt;&gt;0,AR$2,"")</f>
        <v/>
      </c>
      <c r="BR484" t="str">
        <f t="shared" ref="BR484:BR545" si="216">IF(AS484&lt;&gt;0,AS$2,"")</f>
        <v/>
      </c>
      <c r="BS484" t="str">
        <f t="shared" ref="BS484:BS545" si="217">IF(AT484&lt;&gt;0,AT$2,"")</f>
        <v/>
      </c>
      <c r="BT484" t="str">
        <f t="shared" ref="BT484:BT545" si="218">IF(AU484&lt;&gt;0,AU$2,"")</f>
        <v/>
      </c>
      <c r="BU484" t="str">
        <f t="shared" ref="BU484:BU545" si="219">IF(AV484&lt;&gt;0,AV$2,"")</f>
        <v/>
      </c>
    </row>
    <row r="485" spans="1:73">
      <c r="A485" s="1">
        <v>114103</v>
      </c>
      <c r="B485" t="str">
        <f>VLOOKUP($A485,[1]Table!$A$2:$N658,B$1,FALSE)</f>
        <v>B03XA01</v>
      </c>
      <c r="C485" t="str">
        <f>VLOOKUP($A485,[1]Table!$A$2:$N658,C$1,FALSE)</f>
        <v>MIDDELEN BIJ ANEMIE</v>
      </c>
      <c r="D485" t="str">
        <f>VLOOKUP($A485,[1]Table!$A$2:$N658,D$1,FALSE)</f>
        <v>OVERIGE MIDDELEN BIJ ANEMIE</v>
      </c>
      <c r="E485" t="str">
        <f>VLOOKUP($A485,[1]Table!$A$2:$N658,E$1,FALSE)</f>
        <v>EPOETINE</v>
      </c>
      <c r="F485" t="str">
        <f>VLOOKUP($A485,[1]Table!$A$2:$N658,F$1,FALSE)</f>
        <v>NEORECORMON  3000 IE/0,3 ML WEGWERPSPUIT</v>
      </c>
      <c r="G485" t="str">
        <f>VLOOKUP($A485,[1]Table!$A$2:$N658,G$1,FALSE)</f>
        <v>EPOETINE BETA 10000IE/ML IN</v>
      </c>
      <c r="H485" t="str">
        <f>VLOOKUP($A485,[1]Table!$A$2:$N658,H$1,FALSE)</f>
        <v>injectievloeistof</v>
      </c>
      <c r="I485" t="str">
        <f>VLOOKUP($A485,[1]Table!$A$2:$N658,I$1,FALSE)</f>
        <v>iv||sc</v>
      </c>
      <c r="J485">
        <f>VLOOKUP($A485,[1]Table!$A$2:$N658,J$1,FALSE)</f>
        <v>10000</v>
      </c>
      <c r="K485" t="str">
        <f>VLOOKUP($A485,[1]Table!$A$2:$N658,K$1,FALSE)</f>
        <v>IE/ml</v>
      </c>
      <c r="L485">
        <f>VLOOKUP($A485,[1]Table!$A$2:$N658,L$1,FALSE)</f>
        <v>10000</v>
      </c>
      <c r="M485" t="str">
        <f>VLOOKUP($A485,[1]Table!$A$2:$N658,M$1,FALSE)</f>
        <v>IE</v>
      </c>
      <c r="N485" t="str">
        <f>VLOOKUP($A485,[1]Table!$A$2:$N658,N$1,FALSE)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>ConcatenateRange(AZ485:BU485,"||")</f>
        <v/>
      </c>
      <c r="AZ485" t="str">
        <f t="shared" si="198"/>
        <v/>
      </c>
      <c r="BA485" t="str">
        <f t="shared" si="199"/>
        <v/>
      </c>
      <c r="BB485" t="str">
        <f t="shared" si="200"/>
        <v/>
      </c>
      <c r="BC485" t="str">
        <f t="shared" si="201"/>
        <v/>
      </c>
      <c r="BD485" t="str">
        <f t="shared" si="202"/>
        <v/>
      </c>
      <c r="BE485" t="str">
        <f t="shared" si="203"/>
        <v/>
      </c>
      <c r="BF485" t="str">
        <f t="shared" si="204"/>
        <v/>
      </c>
      <c r="BG485" t="str">
        <f t="shared" si="205"/>
        <v/>
      </c>
      <c r="BH485" t="str">
        <f t="shared" si="206"/>
        <v/>
      </c>
      <c r="BI485" t="str">
        <f t="shared" si="207"/>
        <v/>
      </c>
      <c r="BJ485" t="str">
        <f t="shared" si="208"/>
        <v/>
      </c>
      <c r="BK485" t="str">
        <f t="shared" si="209"/>
        <v/>
      </c>
      <c r="BL485" t="str">
        <f t="shared" si="210"/>
        <v/>
      </c>
      <c r="BM485" t="str">
        <f t="shared" si="211"/>
        <v/>
      </c>
      <c r="BN485" t="str">
        <f t="shared" si="212"/>
        <v/>
      </c>
      <c r="BO485" t="str">
        <f t="shared" si="213"/>
        <v/>
      </c>
      <c r="BP485" t="str">
        <f t="shared" si="214"/>
        <v/>
      </c>
      <c r="BQ485" t="str">
        <f t="shared" si="215"/>
        <v/>
      </c>
      <c r="BR485" t="str">
        <f t="shared" si="216"/>
        <v/>
      </c>
      <c r="BS485" t="str">
        <f t="shared" si="217"/>
        <v/>
      </c>
      <c r="BT485" t="str">
        <f t="shared" si="218"/>
        <v/>
      </c>
      <c r="BU485" t="str">
        <f t="shared" si="219"/>
        <v/>
      </c>
    </row>
    <row r="486" spans="1:73">
      <c r="A486" s="1">
        <v>114111</v>
      </c>
      <c r="B486" t="str">
        <f>VLOOKUP($A486,[1]Table!$A$2:$N659,B$1,FALSE)</f>
        <v>B03XA01</v>
      </c>
      <c r="C486" t="str">
        <f>VLOOKUP($A486,[1]Table!$A$2:$N659,C$1,FALSE)</f>
        <v>MIDDELEN BIJ ANEMIE</v>
      </c>
      <c r="D486" t="str">
        <f>VLOOKUP($A486,[1]Table!$A$2:$N659,D$1,FALSE)</f>
        <v>OVERIGE MIDDELEN BIJ ANEMIE</v>
      </c>
      <c r="E486" t="str">
        <f>VLOOKUP($A486,[1]Table!$A$2:$N659,E$1,FALSE)</f>
        <v>EPOETINE</v>
      </c>
      <c r="F486" t="str">
        <f>VLOOKUP($A486,[1]Table!$A$2:$N659,F$1,FALSE)</f>
        <v>NEORECORMON 4000 IE/0,3ML WEGWERPSPUIT</v>
      </c>
      <c r="G486" t="str">
        <f>VLOOKUP($A486,[1]Table!$A$2:$N659,G$1,FALSE)</f>
        <v>EPOETINE BETA 13333IE/ML IN</v>
      </c>
      <c r="H486" t="str">
        <f>VLOOKUP($A486,[1]Table!$A$2:$N659,H$1,FALSE)</f>
        <v>injectievloeistof</v>
      </c>
      <c r="I486" t="str">
        <f>VLOOKUP($A486,[1]Table!$A$2:$N659,I$1,FALSE)</f>
        <v>iv||sc</v>
      </c>
      <c r="J486">
        <f>VLOOKUP($A486,[1]Table!$A$2:$N659,J$1,FALSE)</f>
        <v>13333</v>
      </c>
      <c r="K486" t="str">
        <f>VLOOKUP($A486,[1]Table!$A$2:$N659,K$1,FALSE)</f>
        <v>IE/ml</v>
      </c>
      <c r="L486">
        <f>VLOOKUP($A486,[1]Table!$A$2:$N659,L$1,FALSE)</f>
        <v>13333</v>
      </c>
      <c r="M486" t="str">
        <f>VLOOKUP($A486,[1]Table!$A$2:$N659,M$1,FALSE)</f>
        <v>IE</v>
      </c>
      <c r="N486" t="str">
        <f>VLOOKUP($A486,[1]Table!$A$2:$N659,N$1,FALSE)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6" t="str">
        <f>ConcatenateRange(AZ486:BU486,"||")</f>
        <v/>
      </c>
      <c r="AZ486" t="str">
        <f t="shared" si="198"/>
        <v/>
      </c>
      <c r="BA486" t="str">
        <f t="shared" si="199"/>
        <v/>
      </c>
      <c r="BB486" t="str">
        <f t="shared" si="200"/>
        <v/>
      </c>
      <c r="BC486" t="str">
        <f t="shared" si="201"/>
        <v/>
      </c>
      <c r="BD486" t="str">
        <f t="shared" si="202"/>
        <v/>
      </c>
      <c r="BE486" t="str">
        <f t="shared" si="203"/>
        <v/>
      </c>
      <c r="BF486" t="str">
        <f t="shared" si="204"/>
        <v/>
      </c>
      <c r="BG486" t="str">
        <f t="shared" si="205"/>
        <v/>
      </c>
      <c r="BH486" t="str">
        <f t="shared" si="206"/>
        <v/>
      </c>
      <c r="BI486" t="str">
        <f t="shared" si="207"/>
        <v/>
      </c>
      <c r="BJ486" t="str">
        <f t="shared" si="208"/>
        <v/>
      </c>
      <c r="BK486" t="str">
        <f t="shared" si="209"/>
        <v/>
      </c>
      <c r="BL486" t="str">
        <f t="shared" si="210"/>
        <v/>
      </c>
      <c r="BM486" t="str">
        <f t="shared" si="211"/>
        <v/>
      </c>
      <c r="BN486" t="str">
        <f t="shared" si="212"/>
        <v/>
      </c>
      <c r="BO486" t="str">
        <f t="shared" si="213"/>
        <v/>
      </c>
      <c r="BP486" t="str">
        <f t="shared" si="214"/>
        <v/>
      </c>
      <c r="BQ486" t="str">
        <f t="shared" si="215"/>
        <v/>
      </c>
      <c r="BR486" t="str">
        <f t="shared" si="216"/>
        <v/>
      </c>
      <c r="BS486" t="str">
        <f t="shared" si="217"/>
        <v/>
      </c>
      <c r="BT486" t="str">
        <f t="shared" si="218"/>
        <v/>
      </c>
      <c r="BU486" t="str">
        <f t="shared" si="219"/>
        <v/>
      </c>
    </row>
    <row r="487" spans="1:73">
      <c r="A487" s="1">
        <v>114065</v>
      </c>
      <c r="B487" t="str">
        <f>VLOOKUP($A487,[1]Table!$A$2:$N660,B$1,FALSE)</f>
        <v>B03XA01</v>
      </c>
      <c r="C487" t="str">
        <f>VLOOKUP($A487,[1]Table!$A$2:$N660,C$1,FALSE)</f>
        <v>MIDDELEN BIJ ANEMIE</v>
      </c>
      <c r="D487" t="str">
        <f>VLOOKUP($A487,[1]Table!$A$2:$N660,D$1,FALSE)</f>
        <v>OVERIGE MIDDELEN BIJ ANEMIE</v>
      </c>
      <c r="E487" t="str">
        <f>VLOOKUP($A487,[1]Table!$A$2:$N660,E$1,FALSE)</f>
        <v>EPOETINE</v>
      </c>
      <c r="F487" t="str">
        <f>VLOOKUP($A487,[1]Table!$A$2:$N660,F$1,FALSE)</f>
        <v>NEORECORMON  5000 INJVLST 16667IE/ML WWSP 0,3ML</v>
      </c>
      <c r="G487" t="str">
        <f>VLOOKUP($A487,[1]Table!$A$2:$N660,G$1,FALSE)</f>
        <v>EPOETINE BETA 16667IE/ML IN</v>
      </c>
      <c r="H487" t="str">
        <f>VLOOKUP($A487,[1]Table!$A$2:$N660,H$1,FALSE)</f>
        <v>injectievloeistof</v>
      </c>
      <c r="I487" t="str">
        <f>VLOOKUP($A487,[1]Table!$A$2:$N660,I$1,FALSE)</f>
        <v>iv||sc</v>
      </c>
      <c r="J487">
        <f>VLOOKUP($A487,[1]Table!$A$2:$N660,J$1,FALSE)</f>
        <v>16667</v>
      </c>
      <c r="K487" t="str">
        <f>VLOOKUP($A487,[1]Table!$A$2:$N660,K$1,FALSE)</f>
        <v>IE/ml</v>
      </c>
      <c r="L487">
        <f>VLOOKUP($A487,[1]Table!$A$2:$N660,L$1,FALSE)</f>
        <v>16667</v>
      </c>
      <c r="M487" t="str">
        <f>VLOOKUP($A487,[1]Table!$A$2:$N660,M$1,FALSE)</f>
        <v>IE</v>
      </c>
      <c r="N487" t="str">
        <f>VLOOKUP($A487,[1]Table!$A$2:$N660,N$1,FALSE)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7" t="str">
        <f>ConcatenateRange(AZ487:BU487,"||")</f>
        <v/>
      </c>
      <c r="AZ487" t="str">
        <f t="shared" si="198"/>
        <v/>
      </c>
      <c r="BA487" t="str">
        <f t="shared" si="199"/>
        <v/>
      </c>
      <c r="BB487" t="str">
        <f t="shared" si="200"/>
        <v/>
      </c>
      <c r="BC487" t="str">
        <f t="shared" si="201"/>
        <v/>
      </c>
      <c r="BD487" t="str">
        <f t="shared" si="202"/>
        <v/>
      </c>
      <c r="BE487" t="str">
        <f t="shared" si="203"/>
        <v/>
      </c>
      <c r="BF487" t="str">
        <f t="shared" si="204"/>
        <v/>
      </c>
      <c r="BG487" t="str">
        <f t="shared" si="205"/>
        <v/>
      </c>
      <c r="BH487" t="str">
        <f t="shared" si="206"/>
        <v/>
      </c>
      <c r="BI487" t="str">
        <f t="shared" si="207"/>
        <v/>
      </c>
      <c r="BJ487" t="str">
        <f t="shared" si="208"/>
        <v/>
      </c>
      <c r="BK487" t="str">
        <f t="shared" si="209"/>
        <v/>
      </c>
      <c r="BL487" t="str">
        <f t="shared" si="210"/>
        <v/>
      </c>
      <c r="BM487" t="str">
        <f t="shared" si="211"/>
        <v/>
      </c>
      <c r="BN487" t="str">
        <f t="shared" si="212"/>
        <v/>
      </c>
      <c r="BO487" t="str">
        <f t="shared" si="213"/>
        <v/>
      </c>
      <c r="BP487" t="str">
        <f t="shared" si="214"/>
        <v/>
      </c>
      <c r="BQ487" t="str">
        <f t="shared" si="215"/>
        <v/>
      </c>
      <c r="BR487" t="str">
        <f t="shared" si="216"/>
        <v/>
      </c>
      <c r="BS487" t="str">
        <f t="shared" si="217"/>
        <v/>
      </c>
      <c r="BT487" t="str">
        <f t="shared" si="218"/>
        <v/>
      </c>
      <c r="BU487" t="str">
        <f t="shared" si="219"/>
        <v/>
      </c>
    </row>
    <row r="488" spans="1:73">
      <c r="A488" s="1">
        <v>114138</v>
      </c>
      <c r="B488" t="str">
        <f>VLOOKUP($A488,[1]Table!$A$2:$N661,B$1,FALSE)</f>
        <v>B03XA01</v>
      </c>
      <c r="C488" t="str">
        <f>VLOOKUP($A488,[1]Table!$A$2:$N661,C$1,FALSE)</f>
        <v>MIDDELEN BIJ ANEMIE</v>
      </c>
      <c r="D488" t="str">
        <f>VLOOKUP($A488,[1]Table!$A$2:$N661,D$1,FALSE)</f>
        <v>OVERIGE MIDDELEN BIJ ANEMIE</v>
      </c>
      <c r="E488" t="str">
        <f>VLOOKUP($A488,[1]Table!$A$2:$N661,E$1,FALSE)</f>
        <v>EPOETINE</v>
      </c>
      <c r="F488" t="str">
        <f>VLOOKUP($A488,[1]Table!$A$2:$N661,F$1,FALSE)</f>
        <v>NEORECORMON 6000 IE/0,3ML WEGWERPSPUIT</v>
      </c>
      <c r="G488" t="str">
        <f>VLOOKUP($A488,[1]Table!$A$2:$N661,G$1,FALSE)</f>
        <v>EPOETINE BETA 20000IE/ML IN</v>
      </c>
      <c r="H488" t="str">
        <f>VLOOKUP($A488,[1]Table!$A$2:$N661,H$1,FALSE)</f>
        <v>injectievloeistof</v>
      </c>
      <c r="I488" t="str">
        <f>VLOOKUP($A488,[1]Table!$A$2:$N661,I$1,FALSE)</f>
        <v>iv||sc</v>
      </c>
      <c r="J488">
        <f>VLOOKUP($A488,[1]Table!$A$2:$N661,J$1,FALSE)</f>
        <v>20000</v>
      </c>
      <c r="K488" t="str">
        <f>VLOOKUP($A488,[1]Table!$A$2:$N661,K$1,FALSE)</f>
        <v>IE/ml</v>
      </c>
      <c r="L488">
        <f>VLOOKUP($A488,[1]Table!$A$2:$N661,L$1,FALSE)</f>
        <v>20000</v>
      </c>
      <c r="M488" t="str">
        <f>VLOOKUP($A488,[1]Table!$A$2:$N661,M$1,FALSE)</f>
        <v>IE</v>
      </c>
      <c r="N488" t="str">
        <f>VLOOKUP($A488,[1]Table!$A$2:$N661,N$1,FALSE)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8" t="str">
        <f>ConcatenateRange(AZ488:BU488,"||")</f>
        <v/>
      </c>
      <c r="AZ488" t="str">
        <f t="shared" si="198"/>
        <v/>
      </c>
      <c r="BA488" t="str">
        <f t="shared" si="199"/>
        <v/>
      </c>
      <c r="BB488" t="str">
        <f t="shared" si="200"/>
        <v/>
      </c>
      <c r="BC488" t="str">
        <f t="shared" si="201"/>
        <v/>
      </c>
      <c r="BD488" t="str">
        <f t="shared" si="202"/>
        <v/>
      </c>
      <c r="BE488" t="str">
        <f t="shared" si="203"/>
        <v/>
      </c>
      <c r="BF488" t="str">
        <f t="shared" si="204"/>
        <v/>
      </c>
      <c r="BG488" t="str">
        <f t="shared" si="205"/>
        <v/>
      </c>
      <c r="BH488" t="str">
        <f t="shared" si="206"/>
        <v/>
      </c>
      <c r="BI488" t="str">
        <f t="shared" si="207"/>
        <v/>
      </c>
      <c r="BJ488" t="str">
        <f t="shared" si="208"/>
        <v/>
      </c>
      <c r="BK488" t="str">
        <f t="shared" si="209"/>
        <v/>
      </c>
      <c r="BL488" t="str">
        <f t="shared" si="210"/>
        <v/>
      </c>
      <c r="BM488" t="str">
        <f t="shared" si="211"/>
        <v/>
      </c>
      <c r="BN488" t="str">
        <f t="shared" si="212"/>
        <v/>
      </c>
      <c r="BO488" t="str">
        <f t="shared" si="213"/>
        <v/>
      </c>
      <c r="BP488" t="str">
        <f t="shared" si="214"/>
        <v/>
      </c>
      <c r="BQ488" t="str">
        <f t="shared" si="215"/>
        <v/>
      </c>
      <c r="BR488" t="str">
        <f t="shared" si="216"/>
        <v/>
      </c>
      <c r="BS488" t="str">
        <f t="shared" si="217"/>
        <v/>
      </c>
      <c r="BT488" t="str">
        <f t="shared" si="218"/>
        <v/>
      </c>
      <c r="BU488" t="str">
        <f t="shared" si="219"/>
        <v/>
      </c>
    </row>
    <row r="489" spans="1:73">
      <c r="A489" s="1">
        <v>108022</v>
      </c>
      <c r="B489" t="str">
        <f>VLOOKUP($A489,[1]Table!$A$2:$N656,B$1,FALSE)</f>
        <v>B03XA01</v>
      </c>
      <c r="C489" t="str">
        <f>VLOOKUP($A489,[1]Table!$A$2:$N656,C$1,FALSE)</f>
        <v>MIDDELEN BIJ ANEMIE</v>
      </c>
      <c r="D489" t="str">
        <f>VLOOKUP($A489,[1]Table!$A$2:$N656,D$1,FALSE)</f>
        <v>OVERIGE MIDDELEN BIJ ANEMIE</v>
      </c>
      <c r="E489" t="str">
        <f>VLOOKUP($A489,[1]Table!$A$2:$N656,E$1,FALSE)</f>
        <v>EPOETINE</v>
      </c>
      <c r="F489" t="str">
        <f>VLOOKUP($A489,[1]Table!$A$2:$N656,F$1,FALSE)</f>
        <v>EPREX 40000 IE/ML WWSP 1 ML</v>
      </c>
      <c r="G489" t="str">
        <f>VLOOKUP($A489,[1]Table!$A$2:$N656,G$1,FALSE)</f>
        <v>EPOETINE ALFA 40000IE/ML IN</v>
      </c>
      <c r="H489" t="str">
        <f>VLOOKUP($A489,[1]Table!$A$2:$N656,H$1,FALSE)</f>
        <v>injectievloeistof</v>
      </c>
      <c r="I489" t="str">
        <f>VLOOKUP($A489,[1]Table!$A$2:$N656,I$1,FALSE)</f>
        <v>iv||sc</v>
      </c>
      <c r="J489">
        <f>VLOOKUP($A489,[1]Table!$A$2:$N656,J$1,FALSE)</f>
        <v>40000</v>
      </c>
      <c r="K489" t="str">
        <f>VLOOKUP($A489,[1]Table!$A$2:$N656,K$1,FALSE)</f>
        <v>IE/ml</v>
      </c>
      <c r="L489">
        <f>VLOOKUP($A489,[1]Table!$A$2:$N656,L$1,FALSE)</f>
        <v>40000</v>
      </c>
      <c r="M489" t="str">
        <f>VLOOKUP($A489,[1]Table!$A$2:$N656,M$1,FALSE)</f>
        <v>IE</v>
      </c>
      <c r="N489" t="str">
        <f>VLOOKUP($A489,[1]Table!$A$2:$N656,N$1,FALSE)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9" t="str">
        <f>ConcatenateRange(AZ489:BU489,"||")</f>
        <v/>
      </c>
      <c r="AZ489" t="str">
        <f t="shared" si="198"/>
        <v/>
      </c>
      <c r="BA489" t="str">
        <f t="shared" si="199"/>
        <v/>
      </c>
      <c r="BB489" t="str">
        <f t="shared" si="200"/>
        <v/>
      </c>
      <c r="BC489" t="str">
        <f t="shared" si="201"/>
        <v/>
      </c>
      <c r="BD489" t="str">
        <f t="shared" si="202"/>
        <v/>
      </c>
      <c r="BE489" t="str">
        <f t="shared" si="203"/>
        <v/>
      </c>
      <c r="BF489" t="str">
        <f t="shared" si="204"/>
        <v/>
      </c>
      <c r="BG489" t="str">
        <f t="shared" si="205"/>
        <v/>
      </c>
      <c r="BH489" t="str">
        <f t="shared" si="206"/>
        <v/>
      </c>
      <c r="BI489" t="str">
        <f t="shared" si="207"/>
        <v/>
      </c>
      <c r="BJ489" t="str">
        <f t="shared" si="208"/>
        <v/>
      </c>
      <c r="BK489" t="str">
        <f t="shared" si="209"/>
        <v/>
      </c>
      <c r="BL489" t="str">
        <f t="shared" si="210"/>
        <v/>
      </c>
      <c r="BM489" t="str">
        <f t="shared" si="211"/>
        <v/>
      </c>
      <c r="BN489" t="str">
        <f t="shared" si="212"/>
        <v/>
      </c>
      <c r="BO489" t="str">
        <f t="shared" si="213"/>
        <v/>
      </c>
      <c r="BP489" t="str">
        <f t="shared" si="214"/>
        <v/>
      </c>
      <c r="BQ489" t="str">
        <f t="shared" si="215"/>
        <v/>
      </c>
      <c r="BR489" t="str">
        <f t="shared" si="216"/>
        <v/>
      </c>
      <c r="BS489" t="str">
        <f t="shared" si="217"/>
        <v/>
      </c>
      <c r="BT489" t="str">
        <f t="shared" si="218"/>
        <v/>
      </c>
      <c r="BU489" t="str">
        <f t="shared" si="219"/>
        <v/>
      </c>
    </row>
    <row r="490" spans="1:73">
      <c r="A490" s="1">
        <v>87920</v>
      </c>
      <c r="B490" t="str">
        <f>VLOOKUP($A490,[1]Table!$A$2:$N663,B$1,FALSE)</f>
        <v>B01AC09</v>
      </c>
      <c r="C490" t="str">
        <f>VLOOKUP($A490,[1]Table!$A$2:$N663,C$1,FALSE)</f>
        <v>ANTITHROMBOTICA</v>
      </c>
      <c r="D490" t="str">
        <f>VLOOKUP($A490,[1]Table!$A$2:$N663,D$1,FALSE)</f>
        <v>ANTITHROMBOTICA</v>
      </c>
      <c r="E490" t="str">
        <f>VLOOKUP($A490,[1]Table!$A$2:$N663,E$1,FALSE)</f>
        <v>EPOPROSTENOL</v>
      </c>
      <c r="F490" t="str">
        <f>VLOOKUP($A490,[1]Table!$A$2:$N663,F$1,FALSE)</f>
        <v>FLOLAN 500 MICROG INFPDR + SOLV 2 X 50ML</v>
      </c>
      <c r="G490" t="str">
        <f>VLOOKUP($A490,[1]Table!$A$2:$N663,G$1,FALSE)</f>
        <v>EPOPROSTENOL 500UG INFPDR</v>
      </c>
      <c r="H490" t="str">
        <f>VLOOKUP($A490,[1]Table!$A$2:$N663,H$1,FALSE)</f>
        <v>poeder voor oplossing voor infusie</v>
      </c>
      <c r="I490" t="str">
        <f>VLOOKUP($A490,[1]Table!$A$2:$N663,I$1,FALSE)</f>
        <v>iv</v>
      </c>
      <c r="J490">
        <f>VLOOKUP($A490,[1]Table!$A$2:$N663,J$1,FALSE)</f>
        <v>500</v>
      </c>
      <c r="K490" t="str">
        <f>VLOOKUP($A490,[1]Table!$A$2:$N663,K$1,FALSE)</f>
        <v>mcg/stuk</v>
      </c>
      <c r="L490">
        <f>VLOOKUP($A490,[1]Table!$A$2:$N663,L$1,FALSE)</f>
        <v>500</v>
      </c>
      <c r="M490" t="str">
        <f>VLOOKUP($A490,[1]Table!$A$2:$N663,M$1,FALSE)</f>
        <v>mcg</v>
      </c>
      <c r="N490" t="str">
        <f>VLOOKUP($A490,[1]Table!$A$2:$N663,N$1,FALSE)</f>
        <v>Primaire pulmonale hypertensie, sepsis met sterk verminderde circulatie</v>
      </c>
      <c r="O490" t="str">
        <f>ConcatenateRange(AZ490:BU490,"||")</f>
        <v/>
      </c>
      <c r="AZ490" t="str">
        <f t="shared" si="198"/>
        <v/>
      </c>
      <c r="BA490" t="str">
        <f t="shared" si="199"/>
        <v/>
      </c>
      <c r="BB490" t="str">
        <f t="shared" si="200"/>
        <v/>
      </c>
      <c r="BC490" t="str">
        <f t="shared" si="201"/>
        <v/>
      </c>
      <c r="BD490" t="str">
        <f t="shared" si="202"/>
        <v/>
      </c>
      <c r="BE490" t="str">
        <f t="shared" si="203"/>
        <v/>
      </c>
      <c r="BF490" t="str">
        <f t="shared" si="204"/>
        <v/>
      </c>
      <c r="BG490" t="str">
        <f t="shared" si="205"/>
        <v/>
      </c>
      <c r="BH490" t="str">
        <f t="shared" si="206"/>
        <v/>
      </c>
      <c r="BI490" t="str">
        <f t="shared" si="207"/>
        <v/>
      </c>
      <c r="BJ490" t="str">
        <f t="shared" si="208"/>
        <v/>
      </c>
      <c r="BK490" t="str">
        <f t="shared" si="209"/>
        <v/>
      </c>
      <c r="BL490" t="str">
        <f t="shared" si="210"/>
        <v/>
      </c>
      <c r="BM490" t="str">
        <f t="shared" si="211"/>
        <v/>
      </c>
      <c r="BN490" t="str">
        <f t="shared" si="212"/>
        <v/>
      </c>
      <c r="BO490" t="str">
        <f t="shared" si="213"/>
        <v/>
      </c>
      <c r="BP490" t="str">
        <f t="shared" si="214"/>
        <v/>
      </c>
      <c r="BQ490" t="str">
        <f t="shared" si="215"/>
        <v/>
      </c>
      <c r="BR490" t="str">
        <f t="shared" si="216"/>
        <v/>
      </c>
      <c r="BS490" t="str">
        <f t="shared" si="217"/>
        <v/>
      </c>
      <c r="BT490" t="str">
        <f t="shared" si="218"/>
        <v/>
      </c>
      <c r="BU490" t="str">
        <f t="shared" si="219"/>
        <v/>
      </c>
    </row>
    <row r="491" spans="1:73">
      <c r="A491" s="1">
        <v>119598</v>
      </c>
      <c r="B491" t="str">
        <f>VLOOKUP($A491,[1]Table!$A$2:$N665,B$1,FALSE)</f>
        <v>D10AF02</v>
      </c>
      <c r="C491" t="str">
        <f>VLOOKUP($A491,[1]Table!$A$2:$N665,C$1,FALSE)</f>
        <v>ACNEPREPARATEN</v>
      </c>
      <c r="D491" t="str">
        <f>VLOOKUP($A491,[1]Table!$A$2:$N665,D$1,FALSE)</f>
        <v>ACNEPREPARATEN, LOKALE</v>
      </c>
      <c r="E491" t="str">
        <f>VLOOKUP($A491,[1]Table!$A$2:$N665,E$1,FALSE)</f>
        <v>ERYTROMYCINE</v>
      </c>
      <c r="F491" t="str">
        <f>VLOOKUP($A491,[1]Table!$A$2:$N665,F$1,FALSE)</f>
        <v>INDERM  1% APPLICATIEVLOEISTOF 50 ML</v>
      </c>
      <c r="G491" t="str">
        <f>VLOOKUP($A491,[1]Table!$A$2:$N665,G$1,FALSE)</f>
        <v>ERYTROMYCINE 10MG/G OPL CUT</v>
      </c>
      <c r="H491" t="str">
        <f>VLOOKUP($A491,[1]Table!$A$2:$N665,H$1,FALSE)</f>
        <v>oplossing voor cutaan gebruik</v>
      </c>
      <c r="I491" t="str">
        <f>VLOOKUP($A491,[1]Table!$A$2:$N665,I$1,FALSE)</f>
        <v>cutaan</v>
      </c>
      <c r="J491">
        <f>VLOOKUP($A491,[1]Table!$A$2:$N665,J$1,FALSE)</f>
        <v>10</v>
      </c>
      <c r="K491" t="str">
        <f>VLOOKUP($A491,[1]Table!$A$2:$N665,K$1,FALSE)</f>
        <v>mg/gr</v>
      </c>
      <c r="L491">
        <f>VLOOKUP($A491,[1]Table!$A$2:$N665,L$1,FALSE)</f>
        <v>10</v>
      </c>
      <c r="M491" t="str">
        <f>VLOOKUP($A491,[1]Table!$A$2:$N665,M$1,FALSE)</f>
        <v>mg</v>
      </c>
      <c r="N491" t="str">
        <f>VLOOKUP($A491,[1]Table!$A$2:$N665,N$1,FALSE)</f>
        <v>Acne vulgaris</v>
      </c>
      <c r="O491" t="str">
        <f>ConcatenateRange(AZ491:BU491,"||")</f>
        <v/>
      </c>
      <c r="AZ491" t="str">
        <f t="shared" si="198"/>
        <v/>
      </c>
      <c r="BA491" t="str">
        <f t="shared" si="199"/>
        <v/>
      </c>
      <c r="BB491" t="str">
        <f t="shared" si="200"/>
        <v/>
      </c>
      <c r="BC491" t="str">
        <f t="shared" si="201"/>
        <v/>
      </c>
      <c r="BD491" t="str">
        <f t="shared" si="202"/>
        <v/>
      </c>
      <c r="BE491" t="str">
        <f t="shared" si="203"/>
        <v/>
      </c>
      <c r="BF491" t="str">
        <f t="shared" si="204"/>
        <v/>
      </c>
      <c r="BG491" t="str">
        <f t="shared" si="205"/>
        <v/>
      </c>
      <c r="BH491" t="str">
        <f t="shared" si="206"/>
        <v/>
      </c>
      <c r="BI491" t="str">
        <f t="shared" si="207"/>
        <v/>
      </c>
      <c r="BJ491" t="str">
        <f t="shared" si="208"/>
        <v/>
      </c>
      <c r="BK491" t="str">
        <f t="shared" si="209"/>
        <v/>
      </c>
      <c r="BL491" t="str">
        <f t="shared" si="210"/>
        <v/>
      </c>
      <c r="BM491" t="str">
        <f t="shared" si="211"/>
        <v/>
      </c>
      <c r="BN491" t="str">
        <f t="shared" si="212"/>
        <v/>
      </c>
      <c r="BO491" t="str">
        <f t="shared" si="213"/>
        <v/>
      </c>
      <c r="BP491" t="str">
        <f t="shared" si="214"/>
        <v/>
      </c>
      <c r="BQ491" t="str">
        <f t="shared" si="215"/>
        <v/>
      </c>
      <c r="BR491" t="str">
        <f t="shared" si="216"/>
        <v/>
      </c>
      <c r="BS491" t="str">
        <f t="shared" si="217"/>
        <v/>
      </c>
      <c r="BT491" t="str">
        <f t="shared" si="218"/>
        <v/>
      </c>
      <c r="BU491" t="str">
        <f t="shared" si="219"/>
        <v/>
      </c>
    </row>
    <row r="492" spans="1:73">
      <c r="A492" s="1">
        <v>73318</v>
      </c>
      <c r="B492" t="str">
        <f>VLOOKUP($A492,[1]Table!$A$2:$N666,B$1,FALSE)</f>
        <v>J01FA01</v>
      </c>
      <c r="C492" t="str">
        <f>VLOOKUP($A492,[1]Table!$A$2:$N666,C$1,FALSE)</f>
        <v>ANTIBACTERIELE MIDDELEN VOOR SYSTEMISCH GEBRUIK</v>
      </c>
      <c r="D492" t="str">
        <f>VLOOKUP($A492,[1]Table!$A$2:$N666,D$1,FALSE)</f>
        <v>MACROLIDEN, LINCOSAMIDEN EN STREPTOGRAMINEN</v>
      </c>
      <c r="E492" t="str">
        <f>VLOOKUP($A492,[1]Table!$A$2:$N666,E$1,FALSE)</f>
        <v>ERYTROMYCINE</v>
      </c>
      <c r="F492" t="str">
        <f>VLOOKUP($A492,[1]Table!$A$2:$N666,F$1,FALSE)</f>
        <v>ERYTHROCINE 1000 MG PDR VOOR INJ VLST</v>
      </c>
      <c r="G492" t="str">
        <f>VLOOKUP($A492,[1]Table!$A$2:$N666,G$1,FALSE)</f>
        <v>ERYTROMYCINE 1G INFPDR</v>
      </c>
      <c r="H492" t="str">
        <f>VLOOKUP($A492,[1]Table!$A$2:$N666,H$1,FALSE)</f>
        <v>poeder voor oplossing voor infusie</v>
      </c>
      <c r="I492" t="str">
        <f>VLOOKUP($A492,[1]Table!$A$2:$N666,I$1,FALSE)</f>
        <v>iv</v>
      </c>
      <c r="J492">
        <f>VLOOKUP($A492,[1]Table!$A$2:$N666,J$1,FALSE)</f>
        <v>1</v>
      </c>
      <c r="K492" t="str">
        <f>VLOOKUP($A492,[1]Table!$A$2:$N666,K$1,FALSE)</f>
        <v>gr/stuk</v>
      </c>
      <c r="L492">
        <f>VLOOKUP($A492,[1]Table!$A$2:$N666,L$1,FALSE)</f>
        <v>1</v>
      </c>
      <c r="M492" t="str">
        <f>VLOOKUP($A492,[1]Table!$A$2:$N666,M$1,FALSE)</f>
        <v>gr</v>
      </c>
      <c r="N492" t="str">
        <f>VLOOKUP($A492,[1]Table!$A$2:$N666,N$1,FALSE)</f>
        <v>Infecties||Gestoorde maaglediging (prokineticum)||Chlamydia trachomatis ||Chlamydia trachomatis</v>
      </c>
      <c r="O492" t="str">
        <f>ConcatenateRange(AZ492:BU492,"||")</f>
        <v/>
      </c>
      <c r="AZ492" t="str">
        <f t="shared" si="198"/>
        <v/>
      </c>
      <c r="BA492" t="str">
        <f t="shared" si="199"/>
        <v/>
      </c>
      <c r="BB492" t="str">
        <f t="shared" si="200"/>
        <v/>
      </c>
      <c r="BC492" t="str">
        <f t="shared" si="201"/>
        <v/>
      </c>
      <c r="BD492" t="str">
        <f t="shared" si="202"/>
        <v/>
      </c>
      <c r="BE492" t="str">
        <f t="shared" si="203"/>
        <v/>
      </c>
      <c r="BF492" t="str">
        <f t="shared" si="204"/>
        <v/>
      </c>
      <c r="BG492" t="str">
        <f t="shared" si="205"/>
        <v/>
      </c>
      <c r="BH492" t="str">
        <f t="shared" si="206"/>
        <v/>
      </c>
      <c r="BI492" t="str">
        <f t="shared" si="207"/>
        <v/>
      </c>
      <c r="BJ492" t="str">
        <f t="shared" si="208"/>
        <v/>
      </c>
      <c r="BK492" t="str">
        <f t="shared" si="209"/>
        <v/>
      </c>
      <c r="BL492" t="str">
        <f t="shared" si="210"/>
        <v/>
      </c>
      <c r="BM492" t="str">
        <f t="shared" si="211"/>
        <v/>
      </c>
      <c r="BN492" t="str">
        <f t="shared" si="212"/>
        <v/>
      </c>
      <c r="BO492" t="str">
        <f t="shared" si="213"/>
        <v/>
      </c>
      <c r="BP492" t="str">
        <f t="shared" si="214"/>
        <v/>
      </c>
      <c r="BQ492" t="str">
        <f t="shared" si="215"/>
        <v/>
      </c>
      <c r="BR492" t="str">
        <f t="shared" si="216"/>
        <v/>
      </c>
      <c r="BS492" t="str">
        <f t="shared" si="217"/>
        <v/>
      </c>
      <c r="BT492" t="str">
        <f t="shared" si="218"/>
        <v/>
      </c>
      <c r="BU492" t="str">
        <f t="shared" si="219"/>
        <v/>
      </c>
    </row>
    <row r="493" spans="1:73">
      <c r="A493" s="1">
        <v>54607</v>
      </c>
      <c r="B493" t="str">
        <f>VLOOKUP($A493,[1]Table!$A$2:$N667,B$1,FALSE)</f>
        <v>J01FA01</v>
      </c>
      <c r="C493" t="str">
        <f>VLOOKUP($A493,[1]Table!$A$2:$N667,C$1,FALSE)</f>
        <v>ANTIBACTERIELE MIDDELEN VOOR SYSTEMISCH GEBRUIK</v>
      </c>
      <c r="D493" t="str">
        <f>VLOOKUP($A493,[1]Table!$A$2:$N667,D$1,FALSE)</f>
        <v>MACROLIDEN, LINCOSAMIDEN EN STREPTOGRAMINEN</v>
      </c>
      <c r="E493" t="str">
        <f>VLOOKUP($A493,[1]Table!$A$2:$N667,E$1,FALSE)</f>
        <v>ERYTROMYCINE</v>
      </c>
      <c r="F493" t="str">
        <f>VLOOKUP($A493,[1]Table!$A$2:$N667,F$1,FALSE)</f>
        <v>ERYTHROCINE-ES 25 MG/ML SUSP KERSEN</v>
      </c>
      <c r="G493" t="str">
        <f>VLOOKUP($A493,[1]Table!$A$2:$N667,G$1,FALSE)</f>
        <v>ERYTROMYCINE 25MG/ML SUSP</v>
      </c>
      <c r="H493" t="str">
        <f>VLOOKUP($A493,[1]Table!$A$2:$N667,H$1,FALSE)</f>
        <v>suspensie voor oraal gebruik</v>
      </c>
      <c r="I493" t="str">
        <f>VLOOKUP($A493,[1]Table!$A$2:$N667,I$1,FALSE)</f>
        <v>or</v>
      </c>
      <c r="J493">
        <f>VLOOKUP($A493,[1]Table!$A$2:$N667,J$1,FALSE)</f>
        <v>25</v>
      </c>
      <c r="K493" t="str">
        <f>VLOOKUP($A493,[1]Table!$A$2:$N667,K$1,FALSE)</f>
        <v>mg/ml</v>
      </c>
      <c r="L493">
        <f>VLOOKUP($A493,[1]Table!$A$2:$N667,L$1,FALSE)</f>
        <v>25</v>
      </c>
      <c r="M493" t="str">
        <f>VLOOKUP($A493,[1]Table!$A$2:$N667,M$1,FALSE)</f>
        <v>mg</v>
      </c>
      <c r="N493" t="str">
        <f>VLOOKUP($A493,[1]Table!$A$2:$N667,N$1,FALSE)</f>
        <v>Infecties||Gestoorde maaglediging (prokineticum)||Chlamydia trachomatis ||Chlamydia trachomatis</v>
      </c>
      <c r="O493" t="str">
        <f>ConcatenateRange(AZ493:BU493,"||")</f>
        <v/>
      </c>
      <c r="AZ493" t="str">
        <f t="shared" si="198"/>
        <v/>
      </c>
      <c r="BA493" t="str">
        <f t="shared" si="199"/>
        <v/>
      </c>
      <c r="BB493" t="str">
        <f t="shared" si="200"/>
        <v/>
      </c>
      <c r="BC493" t="str">
        <f t="shared" si="201"/>
        <v/>
      </c>
      <c r="BD493" t="str">
        <f t="shared" si="202"/>
        <v/>
      </c>
      <c r="BE493" t="str">
        <f t="shared" si="203"/>
        <v/>
      </c>
      <c r="BF493" t="str">
        <f t="shared" si="204"/>
        <v/>
      </c>
      <c r="BG493" t="str">
        <f t="shared" si="205"/>
        <v/>
      </c>
      <c r="BH493" t="str">
        <f t="shared" si="206"/>
        <v/>
      </c>
      <c r="BI493" t="str">
        <f t="shared" si="207"/>
        <v/>
      </c>
      <c r="BJ493" t="str">
        <f t="shared" si="208"/>
        <v/>
      </c>
      <c r="BK493" t="str">
        <f t="shared" si="209"/>
        <v/>
      </c>
      <c r="BL493" t="str">
        <f t="shared" si="210"/>
        <v/>
      </c>
      <c r="BM493" t="str">
        <f t="shared" si="211"/>
        <v/>
      </c>
      <c r="BN493" t="str">
        <f t="shared" si="212"/>
        <v/>
      </c>
      <c r="BO493" t="str">
        <f t="shared" si="213"/>
        <v/>
      </c>
      <c r="BP493" t="str">
        <f t="shared" si="214"/>
        <v/>
      </c>
      <c r="BQ493" t="str">
        <f t="shared" si="215"/>
        <v/>
      </c>
      <c r="BR493" t="str">
        <f t="shared" si="216"/>
        <v/>
      </c>
      <c r="BS493" t="str">
        <f t="shared" si="217"/>
        <v/>
      </c>
      <c r="BT493" t="str">
        <f t="shared" si="218"/>
        <v/>
      </c>
      <c r="BU493" t="str">
        <f t="shared" si="219"/>
        <v/>
      </c>
    </row>
    <row r="494" spans="1:73">
      <c r="A494" s="1">
        <v>54593</v>
      </c>
      <c r="B494" t="str">
        <f>VLOOKUP($A494,[1]Table!$A$2:$N668,B$1,FALSE)</f>
        <v>J01FA01</v>
      </c>
      <c r="C494" t="str">
        <f>VLOOKUP($A494,[1]Table!$A$2:$N668,C$1,FALSE)</f>
        <v>ANTIBACTERIELE MIDDELEN VOOR SYSTEMISCH GEBRUIK</v>
      </c>
      <c r="D494" t="str">
        <f>VLOOKUP($A494,[1]Table!$A$2:$N668,D$1,FALSE)</f>
        <v>MACROLIDEN, LINCOSAMIDEN EN STREPTOGRAMINEN</v>
      </c>
      <c r="E494" t="str">
        <f>VLOOKUP($A494,[1]Table!$A$2:$N668,E$1,FALSE)</f>
        <v>ERYTROMYCINE</v>
      </c>
      <c r="F494" t="str">
        <f>VLOOKUP($A494,[1]Table!$A$2:$N668,F$1,FALSE)</f>
        <v>ERYTHROCINE-ES 50 MG/ML SUSPENSIE</v>
      </c>
      <c r="G494" t="str">
        <f>VLOOKUP($A494,[1]Table!$A$2:$N668,G$1,FALSE)</f>
        <v>ERYTROMYCINE 50MG/ML SUSP</v>
      </c>
      <c r="H494" t="str">
        <f>VLOOKUP($A494,[1]Table!$A$2:$N668,H$1,FALSE)</f>
        <v>suspensie voor oraal gebruik</v>
      </c>
      <c r="I494" t="str">
        <f>VLOOKUP($A494,[1]Table!$A$2:$N668,I$1,FALSE)</f>
        <v>or</v>
      </c>
      <c r="J494">
        <f>VLOOKUP($A494,[1]Table!$A$2:$N668,J$1,FALSE)</f>
        <v>50</v>
      </c>
      <c r="K494" t="str">
        <f>VLOOKUP($A494,[1]Table!$A$2:$N668,K$1,FALSE)</f>
        <v>mg/ml</v>
      </c>
      <c r="L494">
        <f>VLOOKUP($A494,[1]Table!$A$2:$N668,L$1,FALSE)</f>
        <v>50</v>
      </c>
      <c r="M494" t="str">
        <f>VLOOKUP($A494,[1]Table!$A$2:$N668,M$1,FALSE)</f>
        <v>mg</v>
      </c>
      <c r="N494" t="str">
        <f>VLOOKUP($A494,[1]Table!$A$2:$N668,N$1,FALSE)</f>
        <v>Infecties||Gestoorde maaglediging (prokineticum)||Chlamydia trachomatis ||Chlamydia trachomatis</v>
      </c>
      <c r="O494" t="str">
        <f>ConcatenateRange(AZ494:BU494,"||")</f>
        <v/>
      </c>
      <c r="AZ494" t="str">
        <f t="shared" si="198"/>
        <v/>
      </c>
      <c r="BA494" t="str">
        <f t="shared" si="199"/>
        <v/>
      </c>
      <c r="BB494" t="str">
        <f t="shared" si="200"/>
        <v/>
      </c>
      <c r="BC494" t="str">
        <f t="shared" si="201"/>
        <v/>
      </c>
      <c r="BD494" t="str">
        <f t="shared" si="202"/>
        <v/>
      </c>
      <c r="BE494" t="str">
        <f t="shared" si="203"/>
        <v/>
      </c>
      <c r="BF494" t="str">
        <f t="shared" si="204"/>
        <v/>
      </c>
      <c r="BG494" t="str">
        <f t="shared" si="205"/>
        <v/>
      </c>
      <c r="BH494" t="str">
        <f t="shared" si="206"/>
        <v/>
      </c>
      <c r="BI494" t="str">
        <f t="shared" si="207"/>
        <v/>
      </c>
      <c r="BJ494" t="str">
        <f t="shared" si="208"/>
        <v/>
      </c>
      <c r="BK494" t="str">
        <f t="shared" si="209"/>
        <v/>
      </c>
      <c r="BL494" t="str">
        <f t="shared" si="210"/>
        <v/>
      </c>
      <c r="BM494" t="str">
        <f t="shared" si="211"/>
        <v/>
      </c>
      <c r="BN494" t="str">
        <f t="shared" si="212"/>
        <v/>
      </c>
      <c r="BO494" t="str">
        <f t="shared" si="213"/>
        <v/>
      </c>
      <c r="BP494" t="str">
        <f t="shared" si="214"/>
        <v/>
      </c>
      <c r="BQ494" t="str">
        <f t="shared" si="215"/>
        <v/>
      </c>
      <c r="BR494" t="str">
        <f t="shared" si="216"/>
        <v/>
      </c>
      <c r="BS494" t="str">
        <f t="shared" si="217"/>
        <v/>
      </c>
      <c r="BT494" t="str">
        <f t="shared" si="218"/>
        <v/>
      </c>
      <c r="BU494" t="str">
        <f t="shared" si="219"/>
        <v/>
      </c>
    </row>
    <row r="495" spans="1:73">
      <c r="A495" s="1">
        <v>15113</v>
      </c>
      <c r="B495" t="str">
        <f>VLOOKUP($A495,[1]Table!$A$2:$N669,B$1,FALSE)</f>
        <v>J01FA01</v>
      </c>
      <c r="C495" t="str">
        <f>VLOOKUP($A495,[1]Table!$A$2:$N669,C$1,FALSE)</f>
        <v>ANTIBACTERIELE MIDDELEN VOOR SYSTEMISCH GEBRUIK</v>
      </c>
      <c r="D495" t="str">
        <f>VLOOKUP($A495,[1]Table!$A$2:$N669,D$1,FALSE)</f>
        <v>MACROLIDEN, LINCOSAMIDEN EN STREPTOGRAMINEN</v>
      </c>
      <c r="E495" t="str">
        <f>VLOOKUP($A495,[1]Table!$A$2:$N669,E$1,FALSE)</f>
        <v>ERYTROMYCINE</v>
      </c>
      <c r="F495" t="str">
        <f>VLOOKUP($A495,[1]Table!$A$2:$N669,F$1,FALSE)</f>
        <v>ERYTHROCINE 250 MG TABLET</v>
      </c>
      <c r="G495" t="str">
        <f>VLOOKUP($A495,[1]Table!$A$2:$N669,G$1,FALSE)</f>
        <v>ERYTROMYCINE 250MG TABLET</v>
      </c>
      <c r="H495" t="str">
        <f>VLOOKUP($A495,[1]Table!$A$2:$N669,H$1,FALSE)</f>
        <v>tablet</v>
      </c>
      <c r="I495" t="str">
        <f>VLOOKUP($A495,[1]Table!$A$2:$N669,I$1,FALSE)</f>
        <v>or</v>
      </c>
      <c r="J495">
        <f>VLOOKUP($A495,[1]Table!$A$2:$N669,J$1,FALSE)</f>
        <v>250</v>
      </c>
      <c r="K495" t="str">
        <f>VLOOKUP($A495,[1]Table!$A$2:$N669,K$1,FALSE)</f>
        <v>mg/stuk</v>
      </c>
      <c r="L495">
        <f>VLOOKUP($A495,[1]Table!$A$2:$N669,L$1,FALSE)</f>
        <v>250</v>
      </c>
      <c r="M495" t="str">
        <f>VLOOKUP($A495,[1]Table!$A$2:$N669,M$1,FALSE)</f>
        <v>mg</v>
      </c>
      <c r="N495" t="str">
        <f>VLOOKUP($A495,[1]Table!$A$2:$N669,N$1,FALSE)</f>
        <v>Infecties||Gestoorde maaglediging (prokineticum)||Chlamydia trachomatis ||Chlamydia trachomatis</v>
      </c>
      <c r="O495" t="str">
        <f>ConcatenateRange(AZ495:BU495,"||")</f>
        <v/>
      </c>
      <c r="AZ495" t="str">
        <f t="shared" si="198"/>
        <v/>
      </c>
      <c r="BA495" t="str">
        <f t="shared" si="199"/>
        <v/>
      </c>
      <c r="BB495" t="str">
        <f t="shared" si="200"/>
        <v/>
      </c>
      <c r="BC495" t="str">
        <f t="shared" si="201"/>
        <v/>
      </c>
      <c r="BD495" t="str">
        <f t="shared" si="202"/>
        <v/>
      </c>
      <c r="BE495" t="str">
        <f t="shared" si="203"/>
        <v/>
      </c>
      <c r="BF495" t="str">
        <f t="shared" si="204"/>
        <v/>
      </c>
      <c r="BG495" t="str">
        <f t="shared" si="205"/>
        <v/>
      </c>
      <c r="BH495" t="str">
        <f t="shared" si="206"/>
        <v/>
      </c>
      <c r="BI495" t="str">
        <f t="shared" si="207"/>
        <v/>
      </c>
      <c r="BJ495" t="str">
        <f t="shared" si="208"/>
        <v/>
      </c>
      <c r="BK495" t="str">
        <f t="shared" si="209"/>
        <v/>
      </c>
      <c r="BL495" t="str">
        <f t="shared" si="210"/>
        <v/>
      </c>
      <c r="BM495" t="str">
        <f t="shared" si="211"/>
        <v/>
      </c>
      <c r="BN495" t="str">
        <f t="shared" si="212"/>
        <v/>
      </c>
      <c r="BO495" t="str">
        <f t="shared" si="213"/>
        <v/>
      </c>
      <c r="BP495" t="str">
        <f t="shared" si="214"/>
        <v/>
      </c>
      <c r="BQ495" t="str">
        <f t="shared" si="215"/>
        <v/>
      </c>
      <c r="BR495" t="str">
        <f t="shared" si="216"/>
        <v/>
      </c>
      <c r="BS495" t="str">
        <f t="shared" si="217"/>
        <v/>
      </c>
      <c r="BT495" t="str">
        <f t="shared" si="218"/>
        <v/>
      </c>
      <c r="BU495" t="str">
        <f t="shared" si="219"/>
        <v/>
      </c>
    </row>
    <row r="496" spans="1:73">
      <c r="A496" s="1">
        <v>51691</v>
      </c>
      <c r="B496" t="str">
        <f>VLOOKUP($A496,[1]Table!$A$2:$N670,B$1,FALSE)</f>
        <v>J01FA01</v>
      </c>
      <c r="C496" t="str">
        <f>VLOOKUP($A496,[1]Table!$A$2:$N670,C$1,FALSE)</f>
        <v>ANTIBACTERIELE MIDDELEN VOOR SYSTEMISCH GEBRUIK</v>
      </c>
      <c r="D496" t="str">
        <f>VLOOKUP($A496,[1]Table!$A$2:$N670,D$1,FALSE)</f>
        <v>MACROLIDEN, LINCOSAMIDEN EN STREPTOGRAMINEN</v>
      </c>
      <c r="E496" t="str">
        <f>VLOOKUP($A496,[1]Table!$A$2:$N670,E$1,FALSE)</f>
        <v>ERYTROMYCINE</v>
      </c>
      <c r="F496" t="str">
        <f>VLOOKUP($A496,[1]Table!$A$2:$N670,F$1,FALSE)</f>
        <v>ERYTHROCINE-ES 500 MG TABLET</v>
      </c>
      <c r="G496" t="str">
        <f>VLOOKUP($A496,[1]Table!$A$2:$N670,G$1,FALSE)</f>
        <v>ERYTROMYCINE 500MG TABLET</v>
      </c>
      <c r="H496" t="str">
        <f>VLOOKUP($A496,[1]Table!$A$2:$N670,H$1,FALSE)</f>
        <v>tablet</v>
      </c>
      <c r="I496" t="str">
        <f>VLOOKUP($A496,[1]Table!$A$2:$N670,I$1,FALSE)</f>
        <v>or</v>
      </c>
      <c r="J496">
        <f>VLOOKUP($A496,[1]Table!$A$2:$N670,J$1,FALSE)</f>
        <v>500</v>
      </c>
      <c r="K496" t="str">
        <f>VLOOKUP($A496,[1]Table!$A$2:$N670,K$1,FALSE)</f>
        <v>mg/stuk</v>
      </c>
      <c r="L496">
        <f>VLOOKUP($A496,[1]Table!$A$2:$N670,L$1,FALSE)</f>
        <v>500</v>
      </c>
      <c r="M496" t="str">
        <f>VLOOKUP($A496,[1]Table!$A$2:$N670,M$1,FALSE)</f>
        <v>mg</v>
      </c>
      <c r="N496" t="str">
        <f>VLOOKUP($A496,[1]Table!$A$2:$N670,N$1,FALSE)</f>
        <v>Infecties||Gestoorde maaglediging (prokineticum)||Chlamydia trachomatis ||Chlamydia trachomatis</v>
      </c>
      <c r="O496" t="str">
        <f>ConcatenateRange(AZ496:BU496,"||")</f>
        <v/>
      </c>
      <c r="AZ496" t="str">
        <f t="shared" si="198"/>
        <v/>
      </c>
      <c r="BA496" t="str">
        <f t="shared" si="199"/>
        <v/>
      </c>
      <c r="BB496" t="str">
        <f t="shared" si="200"/>
        <v/>
      </c>
      <c r="BC496" t="str">
        <f t="shared" si="201"/>
        <v/>
      </c>
      <c r="BD496" t="str">
        <f t="shared" si="202"/>
        <v/>
      </c>
      <c r="BE496" t="str">
        <f t="shared" si="203"/>
        <v/>
      </c>
      <c r="BF496" t="str">
        <f t="shared" si="204"/>
        <v/>
      </c>
      <c r="BG496" t="str">
        <f t="shared" si="205"/>
        <v/>
      </c>
      <c r="BH496" t="str">
        <f t="shared" si="206"/>
        <v/>
      </c>
      <c r="BI496" t="str">
        <f t="shared" si="207"/>
        <v/>
      </c>
      <c r="BJ496" t="str">
        <f t="shared" si="208"/>
        <v/>
      </c>
      <c r="BK496" t="str">
        <f t="shared" si="209"/>
        <v/>
      </c>
      <c r="BL496" t="str">
        <f t="shared" si="210"/>
        <v/>
      </c>
      <c r="BM496" t="str">
        <f t="shared" si="211"/>
        <v/>
      </c>
      <c r="BN496" t="str">
        <f t="shared" si="212"/>
        <v/>
      </c>
      <c r="BO496" t="str">
        <f t="shared" si="213"/>
        <v/>
      </c>
      <c r="BP496" t="str">
        <f t="shared" si="214"/>
        <v/>
      </c>
      <c r="BQ496" t="str">
        <f t="shared" si="215"/>
        <v/>
      </c>
      <c r="BR496" t="str">
        <f t="shared" si="216"/>
        <v/>
      </c>
      <c r="BS496" t="str">
        <f t="shared" si="217"/>
        <v/>
      </c>
      <c r="BT496" t="str">
        <f t="shared" si="218"/>
        <v/>
      </c>
      <c r="BU496" t="str">
        <f t="shared" si="219"/>
        <v/>
      </c>
    </row>
    <row r="497" spans="1:73">
      <c r="A497" s="1">
        <v>107034</v>
      </c>
      <c r="B497" t="str">
        <f>VLOOKUP($A497,[1]Table!$A$2:$N671,B$1,FALSE)</f>
        <v>N01AX14</v>
      </c>
      <c r="C497" t="str">
        <f>VLOOKUP($A497,[1]Table!$A$2:$N671,C$1,FALSE)</f>
        <v>ANAESTHETICA</v>
      </c>
      <c r="D497" t="str">
        <f>VLOOKUP($A497,[1]Table!$A$2:$N671,D$1,FALSE)</f>
        <v>ALGEMENE ANAESTHETICA</v>
      </c>
      <c r="E497" t="str">
        <f>VLOOKUP($A497,[1]Table!$A$2:$N671,E$1,FALSE)</f>
        <v>ESKETAMINE</v>
      </c>
      <c r="F497" t="str">
        <f>VLOOKUP($A497,[1]Table!$A$2:$N671,F$1,FALSE)</f>
        <v>ESKETAMINE S 5 MG/ML 20ML MULTI-DOSE</v>
      </c>
      <c r="G497" t="str">
        <f>VLOOKUP($A497,[1]Table!$A$2:$N671,G$1,FALSE)</f>
        <v>ESKETAMINE 5MG/ML INJVLST</v>
      </c>
      <c r="H497" t="str">
        <f>VLOOKUP($A497,[1]Table!$A$2:$N671,H$1,FALSE)</f>
        <v>injectievloeistof</v>
      </c>
      <c r="I497" t="str">
        <f>VLOOKUP($A497,[1]Table!$A$2:$N671,I$1,FALSE)</f>
        <v>im||iv</v>
      </c>
      <c r="J497">
        <f>VLOOKUP($A497,[1]Table!$A$2:$N671,J$1,FALSE)</f>
        <v>5</v>
      </c>
      <c r="K497" t="str">
        <f>VLOOKUP($A497,[1]Table!$A$2:$N671,K$1,FALSE)</f>
        <v>mg/ml</v>
      </c>
      <c r="L497">
        <f>VLOOKUP($A497,[1]Table!$A$2:$N671,L$1,FALSE)</f>
        <v>5</v>
      </c>
      <c r="M497" t="str">
        <f>VLOOKUP($A497,[1]Table!$A$2:$N671,M$1,FALSE)</f>
        <v>mg</v>
      </c>
      <c r="N497" t="str">
        <f>VLOOKUP($A497,[1]Table!$A$2:$N671,N$1,FALSE)</f>
        <v>Anesthesie||Pijn, post operatief</v>
      </c>
      <c r="O497" t="str">
        <f>ConcatenateRange(AZ497:BU497,"||")</f>
        <v/>
      </c>
      <c r="AZ497" t="str">
        <f t="shared" si="198"/>
        <v/>
      </c>
      <c r="BA497" t="str">
        <f t="shared" si="199"/>
        <v/>
      </c>
      <c r="BB497" t="str">
        <f t="shared" si="200"/>
        <v/>
      </c>
      <c r="BC497" t="str">
        <f t="shared" si="201"/>
        <v/>
      </c>
      <c r="BD497" t="str">
        <f t="shared" si="202"/>
        <v/>
      </c>
      <c r="BE497" t="str">
        <f t="shared" si="203"/>
        <v/>
      </c>
      <c r="BF497" t="str">
        <f t="shared" si="204"/>
        <v/>
      </c>
      <c r="BG497" t="str">
        <f t="shared" si="205"/>
        <v/>
      </c>
      <c r="BH497" t="str">
        <f t="shared" si="206"/>
        <v/>
      </c>
      <c r="BI497" t="str">
        <f t="shared" si="207"/>
        <v/>
      </c>
      <c r="BJ497" t="str">
        <f t="shared" si="208"/>
        <v/>
      </c>
      <c r="BK497" t="str">
        <f t="shared" si="209"/>
        <v/>
      </c>
      <c r="BL497" t="str">
        <f t="shared" si="210"/>
        <v/>
      </c>
      <c r="BM497" t="str">
        <f t="shared" si="211"/>
        <v/>
      </c>
      <c r="BN497" t="str">
        <f t="shared" si="212"/>
        <v/>
      </c>
      <c r="BO497" t="str">
        <f t="shared" si="213"/>
        <v/>
      </c>
      <c r="BP497" t="str">
        <f t="shared" si="214"/>
        <v/>
      </c>
      <c r="BQ497" t="str">
        <f t="shared" si="215"/>
        <v/>
      </c>
      <c r="BR497" t="str">
        <f t="shared" si="216"/>
        <v/>
      </c>
      <c r="BS497" t="str">
        <f t="shared" si="217"/>
        <v/>
      </c>
      <c r="BT497" t="str">
        <f t="shared" si="218"/>
        <v/>
      </c>
      <c r="BU497" t="str">
        <f t="shared" si="219"/>
        <v/>
      </c>
    </row>
    <row r="498" spans="1:73">
      <c r="A498" s="1">
        <v>107042</v>
      </c>
      <c r="B498" t="str">
        <f>VLOOKUP($A498,[1]Table!$A$2:$N672,B$1,FALSE)</f>
        <v>N01AX14</v>
      </c>
      <c r="C498" t="str">
        <f>VLOOKUP($A498,[1]Table!$A$2:$N672,C$1,FALSE)</f>
        <v>ANAESTHETICA</v>
      </c>
      <c r="D498" t="str">
        <f>VLOOKUP($A498,[1]Table!$A$2:$N672,D$1,FALSE)</f>
        <v>ALGEMENE ANAESTHETICA</v>
      </c>
      <c r="E498" t="str">
        <f>VLOOKUP($A498,[1]Table!$A$2:$N672,E$1,FALSE)</f>
        <v>ESKETAMINE</v>
      </c>
      <c r="F498" t="str">
        <f>VLOOKUP($A498,[1]Table!$A$2:$N672,F$1,FALSE)</f>
        <v>ESKETAMINE S 25 MG/ML FLACON 10ML</v>
      </c>
      <c r="G498" t="str">
        <f>VLOOKUP($A498,[1]Table!$A$2:$N672,G$1,FALSE)</f>
        <v>ESKETAMINE 25MG/ML INJVLST</v>
      </c>
      <c r="H498" t="str">
        <f>VLOOKUP($A498,[1]Table!$A$2:$N672,H$1,FALSE)</f>
        <v>injectievloeistof</v>
      </c>
      <c r="I498" t="str">
        <f>VLOOKUP($A498,[1]Table!$A$2:$N672,I$1,FALSE)</f>
        <v>im||iv</v>
      </c>
      <c r="J498">
        <f>VLOOKUP($A498,[1]Table!$A$2:$N672,J$1,FALSE)</f>
        <v>25</v>
      </c>
      <c r="K498" t="str">
        <f>VLOOKUP($A498,[1]Table!$A$2:$N672,K$1,FALSE)</f>
        <v>mg/ml</v>
      </c>
      <c r="L498">
        <f>VLOOKUP($A498,[1]Table!$A$2:$N672,L$1,FALSE)</f>
        <v>25</v>
      </c>
      <c r="M498" t="str">
        <f>VLOOKUP($A498,[1]Table!$A$2:$N672,M$1,FALSE)</f>
        <v>mg</v>
      </c>
      <c r="N498" t="str">
        <f>VLOOKUP($A498,[1]Table!$A$2:$N672,N$1,FALSE)</f>
        <v>Anesthesie||Pijn, post operatief</v>
      </c>
      <c r="O498" t="str">
        <f>ConcatenateRange(AZ498:BU498,"||")</f>
        <v/>
      </c>
      <c r="AZ498" t="str">
        <f t="shared" si="198"/>
        <v/>
      </c>
      <c r="BA498" t="str">
        <f t="shared" si="199"/>
        <v/>
      </c>
      <c r="BB498" t="str">
        <f t="shared" si="200"/>
        <v/>
      </c>
      <c r="BC498" t="str">
        <f t="shared" si="201"/>
        <v/>
      </c>
      <c r="BD498" t="str">
        <f t="shared" si="202"/>
        <v/>
      </c>
      <c r="BE498" t="str">
        <f t="shared" si="203"/>
        <v/>
      </c>
      <c r="BF498" t="str">
        <f t="shared" si="204"/>
        <v/>
      </c>
      <c r="BG498" t="str">
        <f t="shared" si="205"/>
        <v/>
      </c>
      <c r="BH498" t="str">
        <f t="shared" si="206"/>
        <v/>
      </c>
      <c r="BI498" t="str">
        <f t="shared" si="207"/>
        <v/>
      </c>
      <c r="BJ498" t="str">
        <f t="shared" si="208"/>
        <v/>
      </c>
      <c r="BK498" t="str">
        <f t="shared" si="209"/>
        <v/>
      </c>
      <c r="BL498" t="str">
        <f t="shared" si="210"/>
        <v/>
      </c>
      <c r="BM498" t="str">
        <f t="shared" si="211"/>
        <v/>
      </c>
      <c r="BN498" t="str">
        <f t="shared" si="212"/>
        <v/>
      </c>
      <c r="BO498" t="str">
        <f t="shared" si="213"/>
        <v/>
      </c>
      <c r="BP498" t="str">
        <f t="shared" si="214"/>
        <v/>
      </c>
      <c r="BQ498" t="str">
        <f t="shared" si="215"/>
        <v/>
      </c>
      <c r="BR498" t="str">
        <f t="shared" si="216"/>
        <v/>
      </c>
      <c r="BS498" t="str">
        <f t="shared" si="217"/>
        <v/>
      </c>
      <c r="BT498" t="str">
        <f t="shared" si="218"/>
        <v/>
      </c>
      <c r="BU498" t="str">
        <f t="shared" si="219"/>
        <v/>
      </c>
    </row>
    <row r="499" spans="1:73">
      <c r="A499" s="1">
        <v>82651</v>
      </c>
      <c r="B499" t="str">
        <f>VLOOKUP($A499,[1]Table!$A$2:$N673,B$1,FALSE)</f>
        <v>C07AB09</v>
      </c>
      <c r="C499" t="str">
        <f>VLOOKUP($A499,[1]Table!$A$2:$N673,C$1,FALSE)</f>
        <v>BETA-BLOKKERS</v>
      </c>
      <c r="D499" t="str">
        <f>VLOOKUP($A499,[1]Table!$A$2:$N673,D$1,FALSE)</f>
        <v>BETA-BLOKKERS</v>
      </c>
      <c r="E499" t="str">
        <f>VLOOKUP($A499,[1]Table!$A$2:$N673,E$1,FALSE)</f>
        <v>ESMOLOL</v>
      </c>
      <c r="F499" t="str">
        <f>VLOOKUP($A499,[1]Table!$A$2:$N673,F$1,FALSE)</f>
        <v>ESMOLOL 250 MG/ML AMPUL 10 ML INFVLST</v>
      </c>
      <c r="G499" t="str">
        <f>VLOOKUP($A499,[1]Table!$A$2:$N673,G$1,FALSE)</f>
        <v>ESMOLOL 250MG/ML INFOP CONC</v>
      </c>
      <c r="H499" t="str">
        <f>VLOOKUP($A499,[1]Table!$A$2:$N673,H$1,FALSE)</f>
        <v>concentraat voor oplossing voor infusie</v>
      </c>
      <c r="I499" t="str">
        <f>VLOOKUP($A499,[1]Table!$A$2:$N673,I$1,FALSE)</f>
        <v>iv</v>
      </c>
      <c r="J499">
        <f>VLOOKUP($A499,[1]Table!$A$2:$N673,J$1,FALSE)</f>
        <v>250</v>
      </c>
      <c r="K499" t="str">
        <f>VLOOKUP($A499,[1]Table!$A$2:$N673,K$1,FALSE)</f>
        <v>mg/ml</v>
      </c>
      <c r="L499">
        <f>VLOOKUP($A499,[1]Table!$A$2:$N673,L$1,FALSE)</f>
        <v>250</v>
      </c>
      <c r="M499" t="str">
        <f>VLOOKUP($A499,[1]Table!$A$2:$N673,M$1,FALSE)</f>
        <v>mg</v>
      </c>
      <c r="N499" t="str">
        <f>VLOOKUP($A499,[1]Table!$A$2:$N673,N$1,FALSE)</f>
        <v>Supraventriculaire tachycardie, Peri-operatieve hypertensie en aritmieën</v>
      </c>
      <c r="O499" t="str">
        <f>ConcatenateRange(AZ499:BU499,"||")</f>
        <v/>
      </c>
      <c r="AZ499" t="str">
        <f t="shared" si="198"/>
        <v/>
      </c>
      <c r="BA499" t="str">
        <f t="shared" si="199"/>
        <v/>
      </c>
      <c r="BB499" t="str">
        <f t="shared" si="200"/>
        <v/>
      </c>
      <c r="BC499" t="str">
        <f t="shared" si="201"/>
        <v/>
      </c>
      <c r="BD499" t="str">
        <f t="shared" si="202"/>
        <v/>
      </c>
      <c r="BE499" t="str">
        <f t="shared" si="203"/>
        <v/>
      </c>
      <c r="BF499" t="str">
        <f t="shared" si="204"/>
        <v/>
      </c>
      <c r="BG499" t="str">
        <f t="shared" si="205"/>
        <v/>
      </c>
      <c r="BH499" t="str">
        <f t="shared" si="206"/>
        <v/>
      </c>
      <c r="BI499" t="str">
        <f t="shared" si="207"/>
        <v/>
      </c>
      <c r="BJ499" t="str">
        <f t="shared" si="208"/>
        <v/>
      </c>
      <c r="BK499" t="str">
        <f t="shared" si="209"/>
        <v/>
      </c>
      <c r="BL499" t="str">
        <f t="shared" si="210"/>
        <v/>
      </c>
      <c r="BM499" t="str">
        <f t="shared" si="211"/>
        <v/>
      </c>
      <c r="BN499" t="str">
        <f t="shared" si="212"/>
        <v/>
      </c>
      <c r="BO499" t="str">
        <f t="shared" si="213"/>
        <v/>
      </c>
      <c r="BP499" t="str">
        <f t="shared" si="214"/>
        <v/>
      </c>
      <c r="BQ499" t="str">
        <f t="shared" si="215"/>
        <v/>
      </c>
      <c r="BR499" t="str">
        <f t="shared" si="216"/>
        <v/>
      </c>
      <c r="BS499" t="str">
        <f t="shared" si="217"/>
        <v/>
      </c>
      <c r="BT499" t="str">
        <f t="shared" si="218"/>
        <v/>
      </c>
      <c r="BU499" t="str">
        <f t="shared" si="219"/>
        <v/>
      </c>
    </row>
    <row r="500" spans="1:73">
      <c r="A500" s="1">
        <v>93351</v>
      </c>
      <c r="B500" t="str">
        <f>VLOOKUP($A500,[1]Table!$A$2:$N674,B$1,FALSE)</f>
        <v>C07AB09</v>
      </c>
      <c r="C500" t="str">
        <f>VLOOKUP($A500,[1]Table!$A$2:$N674,C$1,FALSE)</f>
        <v>BETA-BLOKKERS</v>
      </c>
      <c r="D500" t="str">
        <f>VLOOKUP($A500,[1]Table!$A$2:$N674,D$1,FALSE)</f>
        <v>BETA-BLOKKERS</v>
      </c>
      <c r="E500" t="str">
        <f>VLOOKUP($A500,[1]Table!$A$2:$N674,E$1,FALSE)</f>
        <v>ESMOLOL</v>
      </c>
      <c r="F500" t="str">
        <f>VLOOKUP($A500,[1]Table!$A$2:$N674,F$1,FALSE)</f>
        <v>ESMOLOL HCL 10 MG/ML FLACON 10 ML</v>
      </c>
      <c r="G500" t="str">
        <f>VLOOKUP($A500,[1]Table!$A$2:$N674,G$1,FALSE)</f>
        <v>ESMOLOL 10MG/ML INJVLST</v>
      </c>
      <c r="H500" t="str">
        <f>VLOOKUP($A500,[1]Table!$A$2:$N674,H$1,FALSE)</f>
        <v>injectievloeistof</v>
      </c>
      <c r="I500" t="str">
        <f>VLOOKUP($A500,[1]Table!$A$2:$N674,I$1,FALSE)</f>
        <v>iv</v>
      </c>
      <c r="J500">
        <f>VLOOKUP($A500,[1]Table!$A$2:$N674,J$1,FALSE)</f>
        <v>10</v>
      </c>
      <c r="K500" t="str">
        <f>VLOOKUP($A500,[1]Table!$A$2:$N674,K$1,FALSE)</f>
        <v>mg/ml</v>
      </c>
      <c r="L500">
        <f>VLOOKUP($A500,[1]Table!$A$2:$N674,L$1,FALSE)</f>
        <v>10</v>
      </c>
      <c r="M500" t="str">
        <f>VLOOKUP($A500,[1]Table!$A$2:$N674,M$1,FALSE)</f>
        <v>mg</v>
      </c>
      <c r="N500" t="str">
        <f>VLOOKUP($A500,[1]Table!$A$2:$N674,N$1,FALSE)</f>
        <v>Supraventriculaire tachycardie, Peri-operatieve hypertensie en aritmieën</v>
      </c>
      <c r="O500" t="str">
        <f>ConcatenateRange(AZ500:BU500,"||")</f>
        <v/>
      </c>
      <c r="AZ500" t="str">
        <f t="shared" si="198"/>
        <v/>
      </c>
      <c r="BA500" t="str">
        <f t="shared" si="199"/>
        <v/>
      </c>
      <c r="BB500" t="str">
        <f t="shared" si="200"/>
        <v/>
      </c>
      <c r="BC500" t="str">
        <f t="shared" si="201"/>
        <v/>
      </c>
      <c r="BD500" t="str">
        <f t="shared" si="202"/>
        <v/>
      </c>
      <c r="BE500" t="str">
        <f t="shared" si="203"/>
        <v/>
      </c>
      <c r="BF500" t="str">
        <f t="shared" si="204"/>
        <v/>
      </c>
      <c r="BG500" t="str">
        <f t="shared" si="205"/>
        <v/>
      </c>
      <c r="BH500" t="str">
        <f t="shared" si="206"/>
        <v/>
      </c>
      <c r="BI500" t="str">
        <f t="shared" si="207"/>
        <v/>
      </c>
      <c r="BJ500" t="str">
        <f t="shared" si="208"/>
        <v/>
      </c>
      <c r="BK500" t="str">
        <f t="shared" si="209"/>
        <v/>
      </c>
      <c r="BL500" t="str">
        <f t="shared" si="210"/>
        <v/>
      </c>
      <c r="BM500" t="str">
        <f t="shared" si="211"/>
        <v/>
      </c>
      <c r="BN500" t="str">
        <f t="shared" si="212"/>
        <v/>
      </c>
      <c r="BO500" t="str">
        <f t="shared" si="213"/>
        <v/>
      </c>
      <c r="BP500" t="str">
        <f t="shared" si="214"/>
        <v/>
      </c>
      <c r="BQ500" t="str">
        <f t="shared" si="215"/>
        <v/>
      </c>
      <c r="BR500" t="str">
        <f t="shared" si="216"/>
        <v/>
      </c>
      <c r="BS500" t="str">
        <f t="shared" si="217"/>
        <v/>
      </c>
      <c r="BT500" t="str">
        <f t="shared" si="218"/>
        <v/>
      </c>
      <c r="BU500" t="str">
        <f t="shared" si="219"/>
        <v/>
      </c>
    </row>
    <row r="501" spans="1:73">
      <c r="A501" s="1">
        <v>129623</v>
      </c>
      <c r="B501" t="str">
        <f>VLOOKUP($A501,[1]Table!$A$2:$N675,B$1,FALSE)</f>
        <v>A02BC05</v>
      </c>
      <c r="C501" t="str">
        <f>VLOOKUP($A501,[1]Table!$A$2:$N675,C$1,FALSE)</f>
        <v>MIDDELEN BIJ ZUURGERELATEERDE AFWIJKINGEN</v>
      </c>
      <c r="D501" t="str">
        <f>VLOOKUP($A501,[1]Table!$A$2:$N675,D$1,FALSE)</f>
        <v>MIDDELEN BIJ ULCUS PEPTICUM EN GASTRO-OESOFAGEALE REFLUX</v>
      </c>
      <c r="E501" t="str">
        <f>VLOOKUP($A501,[1]Table!$A$2:$N675,E$1,FALSE)</f>
        <v>ESOMEPRAZOL</v>
      </c>
      <c r="F501" t="str">
        <f>VLOOKUP($A501,[1]Table!$A$2:$N675,F$1,FALSE)</f>
        <v>NEXIUM 10 MG GRANULAAT MSR SACHET</v>
      </c>
      <c r="G501" t="str">
        <f>VLOOKUP($A501,[1]Table!$A$2:$N675,G$1,FALSE)</f>
        <v>ESOMEPRAZOL 10MG GRAN VOOR</v>
      </c>
      <c r="H501" t="str">
        <f>VLOOKUP($A501,[1]Table!$A$2:$N675,H$1,FALSE)</f>
        <v>granulaat voor orale suspensie</v>
      </c>
      <c r="I501" t="str">
        <f>VLOOKUP($A501,[1]Table!$A$2:$N675,I$1,FALSE)</f>
        <v>or</v>
      </c>
      <c r="J501">
        <f>VLOOKUP($A501,[1]Table!$A$2:$N675,J$1,FALSE)</f>
        <v>10</v>
      </c>
      <c r="K501" t="str">
        <f>VLOOKUP($A501,[1]Table!$A$2:$N675,K$1,FALSE)</f>
        <v>mg/stuk</v>
      </c>
      <c r="L501">
        <f>VLOOKUP($A501,[1]Table!$A$2:$N675,L$1,FALSE)</f>
        <v>10</v>
      </c>
      <c r="M501" t="str">
        <f>VLOOKUP($A501,[1]Table!$A$2:$N675,M$1,FALSE)</f>
        <v>mg</v>
      </c>
      <c r="N501" t="str">
        <f>VLOOKUP($A501,[1]Table!$A$2:$N675,N$1,FALSE)</f>
        <v>Gastro-oesofageale reflux ziekte||Eradicatie H.Pylori (triple therapie)||Reflux oesophagitis</v>
      </c>
      <c r="O501" t="str">
        <f>ConcatenateRange(AZ501:BU501,"||")</f>
        <v/>
      </c>
      <c r="AZ501" t="str">
        <f t="shared" si="198"/>
        <v/>
      </c>
      <c r="BA501" t="str">
        <f t="shared" si="199"/>
        <v/>
      </c>
      <c r="BB501" t="str">
        <f t="shared" si="200"/>
        <v/>
      </c>
      <c r="BC501" t="str">
        <f t="shared" si="201"/>
        <v/>
      </c>
      <c r="BD501" t="str">
        <f t="shared" si="202"/>
        <v/>
      </c>
      <c r="BE501" t="str">
        <f t="shared" si="203"/>
        <v/>
      </c>
      <c r="BF501" t="str">
        <f t="shared" si="204"/>
        <v/>
      </c>
      <c r="BG501" t="str">
        <f t="shared" si="205"/>
        <v/>
      </c>
      <c r="BH501" t="str">
        <f t="shared" si="206"/>
        <v/>
      </c>
      <c r="BI501" t="str">
        <f t="shared" si="207"/>
        <v/>
      </c>
      <c r="BJ501" t="str">
        <f t="shared" si="208"/>
        <v/>
      </c>
      <c r="BK501" t="str">
        <f t="shared" si="209"/>
        <v/>
      </c>
      <c r="BL501" t="str">
        <f t="shared" si="210"/>
        <v/>
      </c>
      <c r="BM501" t="str">
        <f t="shared" si="211"/>
        <v/>
      </c>
      <c r="BN501" t="str">
        <f t="shared" si="212"/>
        <v/>
      </c>
      <c r="BO501" t="str">
        <f t="shared" si="213"/>
        <v/>
      </c>
      <c r="BP501" t="str">
        <f t="shared" si="214"/>
        <v/>
      </c>
      <c r="BQ501" t="str">
        <f t="shared" si="215"/>
        <v/>
      </c>
      <c r="BR501" t="str">
        <f t="shared" si="216"/>
        <v/>
      </c>
      <c r="BS501" t="str">
        <f t="shared" si="217"/>
        <v/>
      </c>
      <c r="BT501" t="str">
        <f t="shared" si="218"/>
        <v/>
      </c>
      <c r="BU501" t="str">
        <f t="shared" si="219"/>
        <v/>
      </c>
    </row>
    <row r="502" spans="1:73">
      <c r="A502" s="1">
        <v>134694</v>
      </c>
      <c r="B502" t="str">
        <f>VLOOKUP($A502,[1]Table!$A$2:$N676,B$1,FALSE)</f>
        <v>A02BC05</v>
      </c>
      <c r="C502" t="str">
        <f>VLOOKUP($A502,[1]Table!$A$2:$N676,C$1,FALSE)</f>
        <v>MIDDELEN BIJ ZUURGERELATEERDE AFWIJKINGEN</v>
      </c>
      <c r="D502" t="str">
        <f>VLOOKUP($A502,[1]Table!$A$2:$N676,D$1,FALSE)</f>
        <v>MIDDELEN BIJ ULCUS PEPTICUM EN GASTRO-OESOFAGEALE REFLUX</v>
      </c>
      <c r="E502" t="str">
        <f>VLOOKUP($A502,[1]Table!$A$2:$N676,E$1,FALSE)</f>
        <v>ESOMEPRAZOL</v>
      </c>
      <c r="F502" t="str">
        <f>VLOOKUP($A502,[1]Table!$A$2:$N676,F$1,FALSE)</f>
        <v>ESOMEPRAZOL 40 MG CAPSULE MSR</v>
      </c>
      <c r="G502" t="str">
        <f>VLOOKUP($A502,[1]Table!$A$2:$N676,G$1,FALSE)</f>
        <v>ESOMEPRAZOL 40MG CAPS MSR</v>
      </c>
      <c r="H502" t="str">
        <f>VLOOKUP($A502,[1]Table!$A$2:$N676,H$1,FALSE)</f>
        <v>maagsapresistente capsule</v>
      </c>
      <c r="I502" t="str">
        <f>VLOOKUP($A502,[1]Table!$A$2:$N676,I$1,FALSE)</f>
        <v>or</v>
      </c>
      <c r="J502">
        <f>VLOOKUP($A502,[1]Table!$A$2:$N676,J$1,FALSE)</f>
        <v>40</v>
      </c>
      <c r="K502" t="str">
        <f>VLOOKUP($A502,[1]Table!$A$2:$N676,K$1,FALSE)</f>
        <v>mg/stuk</v>
      </c>
      <c r="L502">
        <f>VLOOKUP($A502,[1]Table!$A$2:$N676,L$1,FALSE)</f>
        <v>40</v>
      </c>
      <c r="M502" t="str">
        <f>VLOOKUP($A502,[1]Table!$A$2:$N676,M$1,FALSE)</f>
        <v>mg</v>
      </c>
      <c r="N502" t="str">
        <f>VLOOKUP($A502,[1]Table!$A$2:$N676,N$1,FALSE)</f>
        <v>Gastro-oesofageale reflux ziekte||Eradicatie H.Pylori (triple therapie)||Reflux oesophagitis</v>
      </c>
      <c r="O502" t="str">
        <f>ConcatenateRange(AZ502:BU502,"||")</f>
        <v/>
      </c>
      <c r="AZ502" t="str">
        <f t="shared" si="198"/>
        <v/>
      </c>
      <c r="BA502" t="str">
        <f t="shared" si="199"/>
        <v/>
      </c>
      <c r="BB502" t="str">
        <f t="shared" si="200"/>
        <v/>
      </c>
      <c r="BC502" t="str">
        <f t="shared" si="201"/>
        <v/>
      </c>
      <c r="BD502" t="str">
        <f t="shared" si="202"/>
        <v/>
      </c>
      <c r="BE502" t="str">
        <f t="shared" si="203"/>
        <v/>
      </c>
      <c r="BF502" t="str">
        <f t="shared" si="204"/>
        <v/>
      </c>
      <c r="BG502" t="str">
        <f t="shared" si="205"/>
        <v/>
      </c>
      <c r="BH502" t="str">
        <f t="shared" si="206"/>
        <v/>
      </c>
      <c r="BI502" t="str">
        <f t="shared" si="207"/>
        <v/>
      </c>
      <c r="BJ502" t="str">
        <f t="shared" si="208"/>
        <v/>
      </c>
      <c r="BK502" t="str">
        <f t="shared" si="209"/>
        <v/>
      </c>
      <c r="BL502" t="str">
        <f t="shared" si="210"/>
        <v/>
      </c>
      <c r="BM502" t="str">
        <f t="shared" si="211"/>
        <v/>
      </c>
      <c r="BN502" t="str">
        <f t="shared" si="212"/>
        <v/>
      </c>
      <c r="BO502" t="str">
        <f t="shared" si="213"/>
        <v/>
      </c>
      <c r="BP502" t="str">
        <f t="shared" si="214"/>
        <v/>
      </c>
      <c r="BQ502" t="str">
        <f t="shared" si="215"/>
        <v/>
      </c>
      <c r="BR502" t="str">
        <f t="shared" si="216"/>
        <v/>
      </c>
      <c r="BS502" t="str">
        <f t="shared" si="217"/>
        <v/>
      </c>
      <c r="BT502" t="str">
        <f t="shared" si="218"/>
        <v/>
      </c>
      <c r="BU502" t="str">
        <f t="shared" si="219"/>
        <v/>
      </c>
    </row>
    <row r="503" spans="1:73">
      <c r="A503" s="1">
        <v>111899</v>
      </c>
      <c r="B503" t="str">
        <f>VLOOKUP($A503,[1]Table!$A$2:$N677,B$1,FALSE)</f>
        <v>A02BC05</v>
      </c>
      <c r="C503" t="str">
        <f>VLOOKUP($A503,[1]Table!$A$2:$N677,C$1,FALSE)</f>
        <v>MIDDELEN BIJ ZUURGERELATEERDE AFWIJKINGEN</v>
      </c>
      <c r="D503" t="str">
        <f>VLOOKUP($A503,[1]Table!$A$2:$N677,D$1,FALSE)</f>
        <v>MIDDELEN BIJ ULCUS PEPTICUM EN GASTRO-OESOFAGEALE REFLUX</v>
      </c>
      <c r="E503" t="str">
        <f>VLOOKUP($A503,[1]Table!$A$2:$N677,E$1,FALSE)</f>
        <v>ESOMEPRAZOL</v>
      </c>
      <c r="F503" t="str">
        <f>VLOOKUP($A503,[1]Table!$A$2:$N677,F$1,FALSE)</f>
        <v>NEXIUM 20 MG TABLET MSR</v>
      </c>
      <c r="G503" t="str">
        <f>VLOOKUP($A503,[1]Table!$A$2:$N677,G$1,FALSE)</f>
        <v>ESOMEPRAZOL 20MG TABLET MSR</v>
      </c>
      <c r="H503" t="str">
        <f>VLOOKUP($A503,[1]Table!$A$2:$N677,H$1,FALSE)</f>
        <v>maagsapresistente tablet</v>
      </c>
      <c r="I503" t="str">
        <f>VLOOKUP($A503,[1]Table!$A$2:$N677,I$1,FALSE)</f>
        <v>or</v>
      </c>
      <c r="J503">
        <f>VLOOKUP($A503,[1]Table!$A$2:$N677,J$1,FALSE)</f>
        <v>20</v>
      </c>
      <c r="K503" t="str">
        <f>VLOOKUP($A503,[1]Table!$A$2:$N677,K$1,FALSE)</f>
        <v>mg/stuk</v>
      </c>
      <c r="L503">
        <f>VLOOKUP($A503,[1]Table!$A$2:$N677,L$1,FALSE)</f>
        <v>20</v>
      </c>
      <c r="M503" t="str">
        <f>VLOOKUP($A503,[1]Table!$A$2:$N677,M$1,FALSE)</f>
        <v>mg</v>
      </c>
      <c r="N503" t="str">
        <f>VLOOKUP($A503,[1]Table!$A$2:$N677,N$1,FALSE)</f>
        <v>Gastro-oesofageale reflux ziekte||Eradicatie H.Pylori (triple therapie)||Reflux oesophagitis</v>
      </c>
      <c r="O503" t="str">
        <f>ConcatenateRange(AZ503:BU503,"||")</f>
        <v/>
      </c>
      <c r="AZ503" t="str">
        <f t="shared" si="198"/>
        <v/>
      </c>
      <c r="BA503" t="str">
        <f t="shared" si="199"/>
        <v/>
      </c>
      <c r="BB503" t="str">
        <f t="shared" si="200"/>
        <v/>
      </c>
      <c r="BC503" t="str">
        <f t="shared" si="201"/>
        <v/>
      </c>
      <c r="BD503" t="str">
        <f t="shared" si="202"/>
        <v/>
      </c>
      <c r="BE503" t="str">
        <f t="shared" si="203"/>
        <v/>
      </c>
      <c r="BF503" t="str">
        <f t="shared" si="204"/>
        <v/>
      </c>
      <c r="BG503" t="str">
        <f t="shared" si="205"/>
        <v/>
      </c>
      <c r="BH503" t="str">
        <f t="shared" si="206"/>
        <v/>
      </c>
      <c r="BI503" t="str">
        <f t="shared" si="207"/>
        <v/>
      </c>
      <c r="BJ503" t="str">
        <f t="shared" si="208"/>
        <v/>
      </c>
      <c r="BK503" t="str">
        <f t="shared" si="209"/>
        <v/>
      </c>
      <c r="BL503" t="str">
        <f t="shared" si="210"/>
        <v/>
      </c>
      <c r="BM503" t="str">
        <f t="shared" si="211"/>
        <v/>
      </c>
      <c r="BN503" t="str">
        <f t="shared" si="212"/>
        <v/>
      </c>
      <c r="BO503" t="str">
        <f t="shared" si="213"/>
        <v/>
      </c>
      <c r="BP503" t="str">
        <f t="shared" si="214"/>
        <v/>
      </c>
      <c r="BQ503" t="str">
        <f t="shared" si="215"/>
        <v/>
      </c>
      <c r="BR503" t="str">
        <f t="shared" si="216"/>
        <v/>
      </c>
      <c r="BS503" t="str">
        <f t="shared" si="217"/>
        <v/>
      </c>
      <c r="BT503" t="str">
        <f t="shared" si="218"/>
        <v/>
      </c>
      <c r="BU503" t="str">
        <f t="shared" si="219"/>
        <v/>
      </c>
    </row>
    <row r="504" spans="1:73">
      <c r="A504" s="1">
        <v>111880</v>
      </c>
      <c r="B504" t="str">
        <f>VLOOKUP($A504,[1]Table!$A$2:$N678,B$1,FALSE)</f>
        <v>A02BC05</v>
      </c>
      <c r="C504" t="str">
        <f>VLOOKUP($A504,[1]Table!$A$2:$N678,C$1,FALSE)</f>
        <v>MIDDELEN BIJ ZUURGERELATEERDE AFWIJKINGEN</v>
      </c>
      <c r="D504" t="str">
        <f>VLOOKUP($A504,[1]Table!$A$2:$N678,D$1,FALSE)</f>
        <v>MIDDELEN BIJ ULCUS PEPTICUM EN GASTRO-OESOFAGEALE REFLUX</v>
      </c>
      <c r="E504" t="str">
        <f>VLOOKUP($A504,[1]Table!$A$2:$N678,E$1,FALSE)</f>
        <v>ESOMEPRAZOL</v>
      </c>
      <c r="F504" t="str">
        <f>VLOOKUP($A504,[1]Table!$A$2:$N678,F$1,FALSE)</f>
        <v>NEXIUM 40 MG TABLET MSR</v>
      </c>
      <c r="G504" t="str">
        <f>VLOOKUP($A504,[1]Table!$A$2:$N678,G$1,FALSE)</f>
        <v>ESOMEPRAZOL 40MG TABLET MSR</v>
      </c>
      <c r="H504" t="str">
        <f>VLOOKUP($A504,[1]Table!$A$2:$N678,H$1,FALSE)</f>
        <v>maagsapresistente tablet</v>
      </c>
      <c r="I504" t="str">
        <f>VLOOKUP($A504,[1]Table!$A$2:$N678,I$1,FALSE)</f>
        <v>or</v>
      </c>
      <c r="J504">
        <f>VLOOKUP($A504,[1]Table!$A$2:$N678,J$1,FALSE)</f>
        <v>40</v>
      </c>
      <c r="K504" t="str">
        <f>VLOOKUP($A504,[1]Table!$A$2:$N678,K$1,FALSE)</f>
        <v>mg/stuk</v>
      </c>
      <c r="L504">
        <f>VLOOKUP($A504,[1]Table!$A$2:$N678,L$1,FALSE)</f>
        <v>40</v>
      </c>
      <c r="M504" t="str">
        <f>VLOOKUP($A504,[1]Table!$A$2:$N678,M$1,FALSE)</f>
        <v>mg</v>
      </c>
      <c r="N504" t="str">
        <f>VLOOKUP($A504,[1]Table!$A$2:$N678,N$1,FALSE)</f>
        <v>Gastro-oesofageale reflux ziekte||Eradicatie H.Pylori (triple therapie)||Reflux oesophagitis</v>
      </c>
      <c r="O504" t="str">
        <f>ConcatenateRange(AZ504:BU504,"||")</f>
        <v/>
      </c>
      <c r="AZ504" t="str">
        <f t="shared" si="198"/>
        <v/>
      </c>
      <c r="BA504" t="str">
        <f t="shared" si="199"/>
        <v/>
      </c>
      <c r="BB504" t="str">
        <f t="shared" si="200"/>
        <v/>
      </c>
      <c r="BC504" t="str">
        <f t="shared" si="201"/>
        <v/>
      </c>
      <c r="BD504" t="str">
        <f t="shared" si="202"/>
        <v/>
      </c>
      <c r="BE504" t="str">
        <f t="shared" si="203"/>
        <v/>
      </c>
      <c r="BF504" t="str">
        <f t="shared" si="204"/>
        <v/>
      </c>
      <c r="BG504" t="str">
        <f t="shared" si="205"/>
        <v/>
      </c>
      <c r="BH504" t="str">
        <f t="shared" si="206"/>
        <v/>
      </c>
      <c r="BI504" t="str">
        <f t="shared" si="207"/>
        <v/>
      </c>
      <c r="BJ504" t="str">
        <f t="shared" si="208"/>
        <v/>
      </c>
      <c r="BK504" t="str">
        <f t="shared" si="209"/>
        <v/>
      </c>
      <c r="BL504" t="str">
        <f t="shared" si="210"/>
        <v/>
      </c>
      <c r="BM504" t="str">
        <f t="shared" si="211"/>
        <v/>
      </c>
      <c r="BN504" t="str">
        <f t="shared" si="212"/>
        <v/>
      </c>
      <c r="BO504" t="str">
        <f t="shared" si="213"/>
        <v/>
      </c>
      <c r="BP504" t="str">
        <f t="shared" si="214"/>
        <v/>
      </c>
      <c r="BQ504" t="str">
        <f t="shared" si="215"/>
        <v/>
      </c>
      <c r="BR504" t="str">
        <f t="shared" si="216"/>
        <v/>
      </c>
      <c r="BS504" t="str">
        <f t="shared" si="217"/>
        <v/>
      </c>
      <c r="BT504" t="str">
        <f t="shared" si="218"/>
        <v/>
      </c>
      <c r="BU504" t="str">
        <f t="shared" si="219"/>
        <v/>
      </c>
    </row>
    <row r="505" spans="1:73">
      <c r="A505" s="1">
        <v>138347</v>
      </c>
      <c r="B505" t="str">
        <f>VLOOKUP($A505,[1]Table!$A$2:$N678,B$1,FALSE)</f>
        <v>A02BC05</v>
      </c>
      <c r="C505" t="str">
        <f>VLOOKUP($A505,[1]Table!$A$2:$N678,C$1,FALSE)</f>
        <v>MIDDELEN BIJ ZUURGERELATEERDE AFWIJKINGEN</v>
      </c>
      <c r="D505" t="str">
        <f>VLOOKUP($A505,[1]Table!$A$2:$N678,D$1,FALSE)</f>
        <v>MIDDELEN BIJ ULCUS PEPTICUM EN GASTRO-OESOFAGEALE REFLUX</v>
      </c>
      <c r="E505" t="str">
        <f>VLOOKUP($A505,[1]Table!$A$2:$N678,E$1,FALSE)</f>
        <v>ESOMEPRAZOL</v>
      </c>
      <c r="F505" t="str">
        <f>VLOOKUP($A505,[1]Table!$A$2:$N678,F$1,FALSE)</f>
        <v>ESOMEPRAZOL 40 MG POEDER VOOR INJECTIE</v>
      </c>
      <c r="G505" t="str">
        <f>VLOOKUP($A505,[1]Table!$A$2:$N678,G$1,FALSE)</f>
        <v>ESOMEPRAZOL 40MG PD INJ/INF</v>
      </c>
      <c r="H505" t="str">
        <f>VLOOKUP($A505,[1]Table!$A$2:$N678,H$1,FALSE)</f>
        <v>poeder voor injectie/infusieoplossing</v>
      </c>
      <c r="I505" t="str">
        <f>VLOOKUP($A505,[1]Table!$A$2:$N678,I$1,FALSE)</f>
        <v>iv</v>
      </c>
      <c r="J505">
        <f>VLOOKUP($A505,[1]Table!$A$2:$N678,J$1,FALSE)</f>
        <v>40</v>
      </c>
      <c r="K505" t="str">
        <f>VLOOKUP($A505,[1]Table!$A$2:$N678,K$1,FALSE)</f>
        <v>mg/stuk</v>
      </c>
      <c r="L505">
        <f>VLOOKUP($A505,[1]Table!$A$2:$N678,L$1,FALSE)</f>
        <v>40</v>
      </c>
      <c r="M505" t="str">
        <f>VLOOKUP($A505,[1]Table!$A$2:$N678,M$1,FALSE)</f>
        <v>mg</v>
      </c>
      <c r="N505" t="str">
        <f>VLOOKUP($A505,[1]Table!$A$2:$N678,N$1,FALSE)</f>
        <v>Gastro-oesofageale reflux ziekte||Eradicatie H.Pylori (triple therapie)||Reflux oesophagitis</v>
      </c>
      <c r="O505" t="str">
        <f>ConcatenateRange(AZ505:BU505,"||")</f>
        <v/>
      </c>
      <c r="AZ505" t="str">
        <f t="shared" si="198"/>
        <v/>
      </c>
      <c r="BA505" t="str">
        <f t="shared" si="199"/>
        <v/>
      </c>
      <c r="BB505" t="str">
        <f t="shared" si="200"/>
        <v/>
      </c>
      <c r="BC505" t="str">
        <f t="shared" si="201"/>
        <v/>
      </c>
      <c r="BD505" t="str">
        <f t="shared" si="202"/>
        <v/>
      </c>
      <c r="BE505" t="str">
        <f t="shared" si="203"/>
        <v/>
      </c>
      <c r="BF505" t="str">
        <f t="shared" si="204"/>
        <v/>
      </c>
      <c r="BG505" t="str">
        <f t="shared" si="205"/>
        <v/>
      </c>
      <c r="BH505" t="str">
        <f t="shared" si="206"/>
        <v/>
      </c>
      <c r="BI505" t="str">
        <f t="shared" si="207"/>
        <v/>
      </c>
      <c r="BJ505" t="str">
        <f t="shared" si="208"/>
        <v/>
      </c>
      <c r="BK505" t="str">
        <f t="shared" si="209"/>
        <v/>
      </c>
      <c r="BL505" t="str">
        <f t="shared" si="210"/>
        <v/>
      </c>
      <c r="BM505" t="str">
        <f t="shared" si="211"/>
        <v/>
      </c>
      <c r="BN505" t="str">
        <f t="shared" si="212"/>
        <v/>
      </c>
      <c r="BO505" t="str">
        <f t="shared" si="213"/>
        <v/>
      </c>
      <c r="BP505" t="str">
        <f t="shared" si="214"/>
        <v/>
      </c>
      <c r="BQ505" t="str">
        <f t="shared" si="215"/>
        <v/>
      </c>
      <c r="BR505" t="str">
        <f t="shared" si="216"/>
        <v/>
      </c>
      <c r="BS505" t="str">
        <f t="shared" si="217"/>
        <v/>
      </c>
      <c r="BT505" t="str">
        <f t="shared" si="218"/>
        <v/>
      </c>
      <c r="BU505" t="str">
        <f t="shared" si="219"/>
        <v/>
      </c>
    </row>
    <row r="506" spans="1:73">
      <c r="A506" s="1">
        <v>388</v>
      </c>
      <c r="B506" t="str">
        <f>VLOOKUP($A506,[1]Table!$A$2:$N679,B$1,FALSE)</f>
        <v>G03CA03</v>
      </c>
      <c r="C506" t="str">
        <f>VLOOKUP($A506,[1]Table!$A$2:$N679,C$1,FALSE)</f>
        <v>GESLACHTSHORMONEN EN MODULATOREN VAN HET GENITALE STELSEL</v>
      </c>
      <c r="D506" t="str">
        <f>VLOOKUP($A506,[1]Table!$A$2:$N679,D$1,FALSE)</f>
        <v>OESTROGENEN</v>
      </c>
      <c r="E506" t="str">
        <f>VLOOKUP($A506,[1]Table!$A$2:$N679,E$1,FALSE)</f>
        <v>ESTRADIOL</v>
      </c>
      <c r="F506" t="str">
        <f>VLOOKUP($A506,[1]Table!$A$2:$N679,F$1,FALSE)</f>
        <v>PROGYNOVA 1 MG DRAGEE</v>
      </c>
      <c r="G506" t="str">
        <f>VLOOKUP($A506,[1]Table!$A$2:$N679,G$1,FALSE)</f>
        <v>ESTRADIOL 1MG DRAGEE</v>
      </c>
      <c r="H506" t="str">
        <f>VLOOKUP($A506,[1]Table!$A$2:$N679,H$1,FALSE)</f>
        <v>dragee</v>
      </c>
      <c r="I506" t="str">
        <f>VLOOKUP($A506,[1]Table!$A$2:$N679,I$1,FALSE)</f>
        <v>or</v>
      </c>
      <c r="J506">
        <f>VLOOKUP($A506,[1]Table!$A$2:$N679,J$1,FALSE)</f>
        <v>1</v>
      </c>
      <c r="K506" t="str">
        <f>VLOOKUP($A506,[1]Table!$A$2:$N679,K$1,FALSE)</f>
        <v>mg/stuk</v>
      </c>
      <c r="L506">
        <f>VLOOKUP($A506,[1]Table!$A$2:$N679,L$1,FALSE)</f>
        <v>1</v>
      </c>
      <c r="M506" t="str">
        <f>VLOOKUP($A506,[1]Table!$A$2:$N679,M$1,FALSE)</f>
        <v>mg</v>
      </c>
      <c r="N506" t="str">
        <f>VLOOKUP($A506,[1]Table!$A$2:$N679,N$1,FALSE)</f>
        <v>Puberteitsinductie||Priming voorafgaand aan groeihormoontest</v>
      </c>
      <c r="O506" t="str">
        <f>ConcatenateRange(AZ506:BU506,"||")</f>
        <v/>
      </c>
      <c r="AZ506" t="str">
        <f t="shared" si="198"/>
        <v/>
      </c>
      <c r="BA506" t="str">
        <f t="shared" si="199"/>
        <v/>
      </c>
      <c r="BB506" t="str">
        <f t="shared" si="200"/>
        <v/>
      </c>
      <c r="BC506" t="str">
        <f t="shared" si="201"/>
        <v/>
      </c>
      <c r="BD506" t="str">
        <f t="shared" si="202"/>
        <v/>
      </c>
      <c r="BE506" t="str">
        <f t="shared" si="203"/>
        <v/>
      </c>
      <c r="BF506" t="str">
        <f t="shared" si="204"/>
        <v/>
      </c>
      <c r="BG506" t="str">
        <f t="shared" si="205"/>
        <v/>
      </c>
      <c r="BH506" t="str">
        <f t="shared" si="206"/>
        <v/>
      </c>
      <c r="BI506" t="str">
        <f t="shared" si="207"/>
        <v/>
      </c>
      <c r="BJ506" t="str">
        <f t="shared" si="208"/>
        <v/>
      </c>
      <c r="BK506" t="str">
        <f t="shared" si="209"/>
        <v/>
      </c>
      <c r="BL506" t="str">
        <f t="shared" si="210"/>
        <v/>
      </c>
      <c r="BM506" t="str">
        <f t="shared" si="211"/>
        <v/>
      </c>
      <c r="BN506" t="str">
        <f t="shared" si="212"/>
        <v/>
      </c>
      <c r="BO506" t="str">
        <f t="shared" si="213"/>
        <v/>
      </c>
      <c r="BP506" t="str">
        <f t="shared" si="214"/>
        <v/>
      </c>
      <c r="BQ506" t="str">
        <f t="shared" si="215"/>
        <v/>
      </c>
      <c r="BR506" t="str">
        <f t="shared" si="216"/>
        <v/>
      </c>
      <c r="BS506" t="str">
        <f t="shared" si="217"/>
        <v/>
      </c>
      <c r="BT506" t="str">
        <f t="shared" si="218"/>
        <v/>
      </c>
      <c r="BU506" t="str">
        <f t="shared" si="219"/>
        <v/>
      </c>
    </row>
    <row r="507" spans="1:73">
      <c r="A507" s="1">
        <v>19518</v>
      </c>
      <c r="B507" t="str">
        <f>VLOOKUP($A507,[1]Table!$A$2:$N680,B$1,FALSE)</f>
        <v>G03CA03</v>
      </c>
      <c r="C507" t="str">
        <f>VLOOKUP($A507,[1]Table!$A$2:$N680,C$1,FALSE)</f>
        <v>GESLACHTSHORMONEN EN MODULATOREN VAN HET GENITALE STELSEL</v>
      </c>
      <c r="D507" t="str">
        <f>VLOOKUP($A507,[1]Table!$A$2:$N680,D$1,FALSE)</f>
        <v>OESTROGENEN</v>
      </c>
      <c r="E507" t="str">
        <f>VLOOKUP($A507,[1]Table!$A$2:$N680,E$1,FALSE)</f>
        <v>ESTRADIOL</v>
      </c>
      <c r="F507" t="str">
        <f>VLOOKUP($A507,[1]Table!$A$2:$N680,F$1,FALSE)</f>
        <v>PROGYNOVA 2 MG DRAGEE</v>
      </c>
      <c r="G507" t="str">
        <f>VLOOKUP($A507,[1]Table!$A$2:$N680,G$1,FALSE)</f>
        <v>ESTRADIOL 2MG DRAGEE</v>
      </c>
      <c r="H507" t="str">
        <f>VLOOKUP($A507,[1]Table!$A$2:$N680,H$1,FALSE)</f>
        <v>dragee</v>
      </c>
      <c r="I507" t="str">
        <f>VLOOKUP($A507,[1]Table!$A$2:$N680,I$1,FALSE)</f>
        <v>or</v>
      </c>
      <c r="J507">
        <f>VLOOKUP($A507,[1]Table!$A$2:$N680,J$1,FALSE)</f>
        <v>2</v>
      </c>
      <c r="K507" t="str">
        <f>VLOOKUP($A507,[1]Table!$A$2:$N680,K$1,FALSE)</f>
        <v>mg/stuk</v>
      </c>
      <c r="L507">
        <f>VLOOKUP($A507,[1]Table!$A$2:$N680,L$1,FALSE)</f>
        <v>2</v>
      </c>
      <c r="M507" t="str">
        <f>VLOOKUP($A507,[1]Table!$A$2:$N680,M$1,FALSE)</f>
        <v>mg</v>
      </c>
      <c r="N507" t="str">
        <f>VLOOKUP($A507,[1]Table!$A$2:$N680,N$1,FALSE)</f>
        <v>Puberteitsinductie||Priming voorafgaand aan groeihormoontest</v>
      </c>
      <c r="O507" t="str">
        <f>ConcatenateRange(AZ507:BU507,"||")</f>
        <v/>
      </c>
      <c r="AZ507" t="str">
        <f t="shared" si="198"/>
        <v/>
      </c>
      <c r="BA507" t="str">
        <f t="shared" si="199"/>
        <v/>
      </c>
      <c r="BB507" t="str">
        <f t="shared" si="200"/>
        <v/>
      </c>
      <c r="BC507" t="str">
        <f t="shared" si="201"/>
        <v/>
      </c>
      <c r="BD507" t="str">
        <f t="shared" si="202"/>
        <v/>
      </c>
      <c r="BE507" t="str">
        <f t="shared" si="203"/>
        <v/>
      </c>
      <c r="BF507" t="str">
        <f t="shared" si="204"/>
        <v/>
      </c>
      <c r="BG507" t="str">
        <f t="shared" si="205"/>
        <v/>
      </c>
      <c r="BH507" t="str">
        <f t="shared" si="206"/>
        <v/>
      </c>
      <c r="BI507" t="str">
        <f t="shared" si="207"/>
        <v/>
      </c>
      <c r="BJ507" t="str">
        <f t="shared" si="208"/>
        <v/>
      </c>
      <c r="BK507" t="str">
        <f t="shared" si="209"/>
        <v/>
      </c>
      <c r="BL507" t="str">
        <f t="shared" si="210"/>
        <v/>
      </c>
      <c r="BM507" t="str">
        <f t="shared" si="211"/>
        <v/>
      </c>
      <c r="BN507" t="str">
        <f t="shared" si="212"/>
        <v/>
      </c>
      <c r="BO507" t="str">
        <f t="shared" si="213"/>
        <v/>
      </c>
      <c r="BP507" t="str">
        <f t="shared" si="214"/>
        <v/>
      </c>
      <c r="BQ507" t="str">
        <f t="shared" si="215"/>
        <v/>
      </c>
      <c r="BR507" t="str">
        <f t="shared" si="216"/>
        <v/>
      </c>
      <c r="BS507" t="str">
        <f t="shared" si="217"/>
        <v/>
      </c>
      <c r="BT507" t="str">
        <f t="shared" si="218"/>
        <v/>
      </c>
      <c r="BU507" t="str">
        <f t="shared" si="219"/>
        <v/>
      </c>
    </row>
    <row r="508" spans="1:73">
      <c r="A508" s="1">
        <v>93041</v>
      </c>
      <c r="B508" t="str">
        <f>VLOOKUP($A508,[1]Table!$A$2:$N681,B$1,FALSE)</f>
        <v>G03CA03</v>
      </c>
      <c r="C508" t="str">
        <f>VLOOKUP($A508,[1]Table!$A$2:$N681,C$1,FALSE)</f>
        <v>GESLACHTSHORMONEN EN MODULATOREN VAN HET GENITALE STELSEL</v>
      </c>
      <c r="D508" t="str">
        <f>VLOOKUP($A508,[1]Table!$A$2:$N681,D$1,FALSE)</f>
        <v>OESTROGENEN</v>
      </c>
      <c r="E508" t="str">
        <f>VLOOKUP($A508,[1]Table!$A$2:$N681,E$1,FALSE)</f>
        <v>ESTRADIOL</v>
      </c>
      <c r="F508" t="str">
        <f>VLOOKUP($A508,[1]Table!$A$2:$N681,F$1,FALSE)</f>
        <v>SYSTEN  50 PLEISTER MGA  50 MCG/24UUR</v>
      </c>
      <c r="G508" t="str">
        <f>VLOOKUP($A508,[1]Table!$A$2:$N681,G$1,FALSE)</f>
        <v>ESTRADIOL P 50 SYSTEN</v>
      </c>
      <c r="H508" t="str">
        <f>VLOOKUP($A508,[1]Table!$A$2:$N681,H$1,FALSE)</f>
        <v>pleister voor transdermaal gebruik</v>
      </c>
      <c r="I508" t="str">
        <f>VLOOKUP($A508,[1]Table!$A$2:$N681,I$1,FALSE)</f>
        <v>transderm</v>
      </c>
      <c r="J508">
        <f>VLOOKUP($A508,[1]Table!$A$2:$N681,J$1,FALSE)</f>
        <v>3.2</v>
      </c>
      <c r="K508" t="str">
        <f>VLOOKUP($A508,[1]Table!$A$2:$N681,K$1,FALSE)</f>
        <v>mg/stuk</v>
      </c>
      <c r="L508">
        <f>VLOOKUP($A508,[1]Table!$A$2:$N681,L$1,FALSE)</f>
        <v>3.2</v>
      </c>
      <c r="M508" t="str">
        <f>VLOOKUP($A508,[1]Table!$A$2:$N681,M$1,FALSE)</f>
        <v>mg</v>
      </c>
      <c r="N508" t="str">
        <f>VLOOKUP($A508,[1]Table!$A$2:$N681,N$1,FALSE)</f>
        <v>Puberteitsinductie||Priming voorafgaand aan groeihormoontest</v>
      </c>
      <c r="O508" t="str">
        <f>ConcatenateRange(AZ508:BU508,"||")</f>
        <v/>
      </c>
      <c r="AZ508" t="str">
        <f t="shared" si="198"/>
        <v/>
      </c>
      <c r="BA508" t="str">
        <f t="shared" si="199"/>
        <v/>
      </c>
      <c r="BB508" t="str">
        <f t="shared" si="200"/>
        <v/>
      </c>
      <c r="BC508" t="str">
        <f t="shared" si="201"/>
        <v/>
      </c>
      <c r="BD508" t="str">
        <f t="shared" si="202"/>
        <v/>
      </c>
      <c r="BE508" t="str">
        <f t="shared" si="203"/>
        <v/>
      </c>
      <c r="BF508" t="str">
        <f t="shared" si="204"/>
        <v/>
      </c>
      <c r="BG508" t="str">
        <f t="shared" si="205"/>
        <v/>
      </c>
      <c r="BH508" t="str">
        <f t="shared" si="206"/>
        <v/>
      </c>
      <c r="BI508" t="str">
        <f t="shared" si="207"/>
        <v/>
      </c>
      <c r="BJ508" t="str">
        <f t="shared" si="208"/>
        <v/>
      </c>
      <c r="BK508" t="str">
        <f t="shared" si="209"/>
        <v/>
      </c>
      <c r="BL508" t="str">
        <f t="shared" si="210"/>
        <v/>
      </c>
      <c r="BM508" t="str">
        <f t="shared" si="211"/>
        <v/>
      </c>
      <c r="BN508" t="str">
        <f t="shared" si="212"/>
        <v/>
      </c>
      <c r="BO508" t="str">
        <f t="shared" si="213"/>
        <v/>
      </c>
      <c r="BP508" t="str">
        <f t="shared" si="214"/>
        <v/>
      </c>
      <c r="BQ508" t="str">
        <f t="shared" si="215"/>
        <v/>
      </c>
      <c r="BR508" t="str">
        <f t="shared" si="216"/>
        <v/>
      </c>
      <c r="BS508" t="str">
        <f t="shared" si="217"/>
        <v/>
      </c>
      <c r="BT508" t="str">
        <f t="shared" si="218"/>
        <v/>
      </c>
      <c r="BU508" t="str">
        <f t="shared" si="219"/>
        <v/>
      </c>
    </row>
    <row r="509" spans="1:73">
      <c r="A509" s="1">
        <v>72346</v>
      </c>
      <c r="B509" t="str">
        <f>VLOOKUP($A509,[1]Table!$A$2:$N682,B$1,FALSE)</f>
        <v>G03CA03</v>
      </c>
      <c r="C509" t="str">
        <f>VLOOKUP($A509,[1]Table!$A$2:$N682,C$1,FALSE)</f>
        <v>GESLACHTSHORMONEN EN MODULATOREN VAN HET GENITALE STELSEL</v>
      </c>
      <c r="D509" t="str">
        <f>VLOOKUP($A509,[1]Table!$A$2:$N682,D$1,FALSE)</f>
        <v>OESTROGENEN</v>
      </c>
      <c r="E509" t="str">
        <f>VLOOKUP($A509,[1]Table!$A$2:$N682,E$1,FALSE)</f>
        <v>ESTRADIOL</v>
      </c>
      <c r="F509" t="str">
        <f>VLOOKUP($A509,[1]Table!$A$2:$N682,F$1,FALSE)</f>
        <v>ESTRADIOL  50 PLEISTER TRANSDERMAAL 50 MCG/24 UUR</v>
      </c>
      <c r="G509" t="str">
        <f>VLOOKUP($A509,[1]Table!$A$2:$N682,G$1,FALSE)</f>
        <v>ESTRADIOL P 50 ESTRADERM</v>
      </c>
      <c r="H509" t="str">
        <f>VLOOKUP($A509,[1]Table!$A$2:$N682,H$1,FALSE)</f>
        <v>pleister voor transdermaal gebruik</v>
      </c>
      <c r="I509" t="str">
        <f>VLOOKUP($A509,[1]Table!$A$2:$N682,I$1,FALSE)</f>
        <v>transderm</v>
      </c>
      <c r="J509">
        <f>VLOOKUP($A509,[1]Table!$A$2:$N682,J$1,FALSE)</f>
        <v>4</v>
      </c>
      <c r="K509" t="str">
        <f>VLOOKUP($A509,[1]Table!$A$2:$N682,K$1,FALSE)</f>
        <v>mg/stuk</v>
      </c>
      <c r="L509">
        <f>VLOOKUP($A509,[1]Table!$A$2:$N682,L$1,FALSE)</f>
        <v>4</v>
      </c>
      <c r="M509" t="str">
        <f>VLOOKUP($A509,[1]Table!$A$2:$N682,M$1,FALSE)</f>
        <v>mg</v>
      </c>
      <c r="N509" t="str">
        <f>VLOOKUP($A509,[1]Table!$A$2:$N682,N$1,FALSE)</f>
        <v>Puberteitsinductie||Priming voorafgaand aan groeihormoontest</v>
      </c>
      <c r="O509" t="str">
        <f>ConcatenateRange(AZ509:BU509,"||")</f>
        <v/>
      </c>
      <c r="AZ509" t="str">
        <f t="shared" si="198"/>
        <v/>
      </c>
      <c r="BA509" t="str">
        <f t="shared" si="199"/>
        <v/>
      </c>
      <c r="BB509" t="str">
        <f t="shared" si="200"/>
        <v/>
      </c>
      <c r="BC509" t="str">
        <f t="shared" si="201"/>
        <v/>
      </c>
      <c r="BD509" t="str">
        <f t="shared" si="202"/>
        <v/>
      </c>
      <c r="BE509" t="str">
        <f t="shared" si="203"/>
        <v/>
      </c>
      <c r="BF509" t="str">
        <f t="shared" si="204"/>
        <v/>
      </c>
      <c r="BG509" t="str">
        <f t="shared" si="205"/>
        <v/>
      </c>
      <c r="BH509" t="str">
        <f t="shared" si="206"/>
        <v/>
      </c>
      <c r="BI509" t="str">
        <f t="shared" si="207"/>
        <v/>
      </c>
      <c r="BJ509" t="str">
        <f t="shared" si="208"/>
        <v/>
      </c>
      <c r="BK509" t="str">
        <f t="shared" si="209"/>
        <v/>
      </c>
      <c r="BL509" t="str">
        <f t="shared" si="210"/>
        <v/>
      </c>
      <c r="BM509" t="str">
        <f t="shared" si="211"/>
        <v/>
      </c>
      <c r="BN509" t="str">
        <f t="shared" si="212"/>
        <v/>
      </c>
      <c r="BO509" t="str">
        <f t="shared" si="213"/>
        <v/>
      </c>
      <c r="BP509" t="str">
        <f t="shared" si="214"/>
        <v/>
      </c>
      <c r="BQ509" t="str">
        <f t="shared" si="215"/>
        <v/>
      </c>
      <c r="BR509" t="str">
        <f t="shared" si="216"/>
        <v/>
      </c>
      <c r="BS509" t="str">
        <f t="shared" si="217"/>
        <v/>
      </c>
      <c r="BT509" t="str">
        <f t="shared" si="218"/>
        <v/>
      </c>
      <c r="BU509" t="str">
        <f t="shared" si="219"/>
        <v/>
      </c>
    </row>
    <row r="510" spans="1:73">
      <c r="A510" s="1">
        <v>100633</v>
      </c>
      <c r="B510" t="str">
        <f>VLOOKUP($A510,[1]Table!$A$2:$N683,B$1,FALSE)</f>
        <v>G03CA03</v>
      </c>
      <c r="C510" t="str">
        <f>VLOOKUP($A510,[1]Table!$A$2:$N683,C$1,FALSE)</f>
        <v>GESLACHTSHORMONEN EN MODULATOREN VAN HET GENITALE STELSEL</v>
      </c>
      <c r="D510" t="str">
        <f>VLOOKUP($A510,[1]Table!$A$2:$N683,D$1,FALSE)</f>
        <v>OESTROGENEN</v>
      </c>
      <c r="E510" t="str">
        <f>VLOOKUP($A510,[1]Table!$A$2:$N683,E$1,FALSE)</f>
        <v>ESTRADIOL</v>
      </c>
      <c r="F510" t="str">
        <f>VLOOKUP($A510,[1]Table!$A$2:$N683,F$1,FALSE)</f>
        <v>SYSTEN 100 PLEISTER MGA 100 MCG/24UUR</v>
      </c>
      <c r="G510" t="str">
        <f>VLOOKUP($A510,[1]Table!$A$2:$N683,G$1,FALSE)</f>
        <v>ESTRADIOL P 100 SYSTEN</v>
      </c>
      <c r="H510" t="str">
        <f>VLOOKUP($A510,[1]Table!$A$2:$N683,H$1,FALSE)</f>
        <v>pleister voor transdermaal gebruik</v>
      </c>
      <c r="I510" t="str">
        <f>VLOOKUP($A510,[1]Table!$A$2:$N683,I$1,FALSE)</f>
        <v>transderm</v>
      </c>
      <c r="J510">
        <f>VLOOKUP($A510,[1]Table!$A$2:$N683,J$1,FALSE)</f>
        <v>6.4</v>
      </c>
      <c r="K510" t="str">
        <f>VLOOKUP($A510,[1]Table!$A$2:$N683,K$1,FALSE)</f>
        <v>mg/stuk</v>
      </c>
      <c r="L510">
        <f>VLOOKUP($A510,[1]Table!$A$2:$N683,L$1,FALSE)</f>
        <v>6.4</v>
      </c>
      <c r="M510" t="str">
        <f>VLOOKUP($A510,[1]Table!$A$2:$N683,M$1,FALSE)</f>
        <v>mg</v>
      </c>
      <c r="N510" t="str">
        <f>VLOOKUP($A510,[1]Table!$A$2:$N683,N$1,FALSE)</f>
        <v>Puberteitsinductie||Priming voorafgaand aan groeihormoontest</v>
      </c>
      <c r="O510" t="str">
        <f>ConcatenateRange(AZ510:BU510,"||")</f>
        <v/>
      </c>
      <c r="AZ510" t="str">
        <f t="shared" si="198"/>
        <v/>
      </c>
      <c r="BA510" t="str">
        <f t="shared" si="199"/>
        <v/>
      </c>
      <c r="BB510" t="str">
        <f t="shared" si="200"/>
        <v/>
      </c>
      <c r="BC510" t="str">
        <f t="shared" si="201"/>
        <v/>
      </c>
      <c r="BD510" t="str">
        <f t="shared" si="202"/>
        <v/>
      </c>
      <c r="BE510" t="str">
        <f t="shared" si="203"/>
        <v/>
      </c>
      <c r="BF510" t="str">
        <f t="shared" si="204"/>
        <v/>
      </c>
      <c r="BG510" t="str">
        <f t="shared" si="205"/>
        <v/>
      </c>
      <c r="BH510" t="str">
        <f t="shared" si="206"/>
        <v/>
      </c>
      <c r="BI510" t="str">
        <f t="shared" si="207"/>
        <v/>
      </c>
      <c r="BJ510" t="str">
        <f t="shared" si="208"/>
        <v/>
      </c>
      <c r="BK510" t="str">
        <f t="shared" si="209"/>
        <v/>
      </c>
      <c r="BL510" t="str">
        <f t="shared" si="210"/>
        <v/>
      </c>
      <c r="BM510" t="str">
        <f t="shared" si="211"/>
        <v/>
      </c>
      <c r="BN510" t="str">
        <f t="shared" si="212"/>
        <v/>
      </c>
      <c r="BO510" t="str">
        <f t="shared" si="213"/>
        <v/>
      </c>
      <c r="BP510" t="str">
        <f t="shared" si="214"/>
        <v/>
      </c>
      <c r="BQ510" t="str">
        <f t="shared" si="215"/>
        <v/>
      </c>
      <c r="BR510" t="str">
        <f t="shared" si="216"/>
        <v/>
      </c>
      <c r="BS510" t="str">
        <f t="shared" si="217"/>
        <v/>
      </c>
      <c r="BT510" t="str">
        <f t="shared" si="218"/>
        <v/>
      </c>
      <c r="BU510" t="str">
        <f t="shared" si="219"/>
        <v/>
      </c>
    </row>
    <row r="511" spans="1:73">
      <c r="A511" s="1">
        <v>72354</v>
      </c>
      <c r="B511" t="str">
        <f>VLOOKUP($A511,[1]Table!$A$2:$N684,B$1,FALSE)</f>
        <v>G03CA03</v>
      </c>
      <c r="C511" t="str">
        <f>VLOOKUP($A511,[1]Table!$A$2:$N684,C$1,FALSE)</f>
        <v>GESLACHTSHORMONEN EN MODULATOREN VAN HET GENITALE STELSEL</v>
      </c>
      <c r="D511" t="str">
        <f>VLOOKUP($A511,[1]Table!$A$2:$N684,D$1,FALSE)</f>
        <v>OESTROGENEN</v>
      </c>
      <c r="E511" t="str">
        <f>VLOOKUP($A511,[1]Table!$A$2:$N684,E$1,FALSE)</f>
        <v>ESTRADIOL</v>
      </c>
      <c r="F511" t="str">
        <f>VLOOKUP($A511,[1]Table!$A$2:$N684,F$1,FALSE)</f>
        <v>ESTRADIOL  100 PLEISTER TRANSDERMAAL 100 MCG/24 UUR</v>
      </c>
      <c r="G511" t="str">
        <f>VLOOKUP($A511,[1]Table!$A$2:$N684,G$1,FALSE)</f>
        <v>ESTRADIOL P 100 ESTRA/GENER</v>
      </c>
      <c r="H511" t="str">
        <f>VLOOKUP($A511,[1]Table!$A$2:$N684,H$1,FALSE)</f>
        <v>pleister voor transdermaal gebruik</v>
      </c>
      <c r="I511" t="str">
        <f>VLOOKUP($A511,[1]Table!$A$2:$N684,I$1,FALSE)</f>
        <v>transderm</v>
      </c>
      <c r="J511">
        <f>VLOOKUP($A511,[1]Table!$A$2:$N684,J$1,FALSE)</f>
        <v>8</v>
      </c>
      <c r="K511" t="str">
        <f>VLOOKUP($A511,[1]Table!$A$2:$N684,K$1,FALSE)</f>
        <v>mg/stuk</v>
      </c>
      <c r="L511">
        <f>VLOOKUP($A511,[1]Table!$A$2:$N684,L$1,FALSE)</f>
        <v>8</v>
      </c>
      <c r="M511" t="str">
        <f>VLOOKUP($A511,[1]Table!$A$2:$N684,M$1,FALSE)</f>
        <v>mg</v>
      </c>
      <c r="N511" t="str">
        <f>VLOOKUP($A511,[1]Table!$A$2:$N684,N$1,FALSE)</f>
        <v>Puberteitsinductie||Priming voorafgaand aan groeihormoontest</v>
      </c>
      <c r="O511" t="str">
        <f>ConcatenateRange(AZ511:BU511,"||")</f>
        <v/>
      </c>
      <c r="AZ511" t="str">
        <f t="shared" si="198"/>
        <v/>
      </c>
      <c r="BA511" t="str">
        <f t="shared" si="199"/>
        <v/>
      </c>
      <c r="BB511" t="str">
        <f t="shared" si="200"/>
        <v/>
      </c>
      <c r="BC511" t="str">
        <f t="shared" si="201"/>
        <v/>
      </c>
      <c r="BD511" t="str">
        <f t="shared" si="202"/>
        <v/>
      </c>
      <c r="BE511" t="str">
        <f t="shared" si="203"/>
        <v/>
      </c>
      <c r="BF511" t="str">
        <f t="shared" si="204"/>
        <v/>
      </c>
      <c r="BG511" t="str">
        <f t="shared" si="205"/>
        <v/>
      </c>
      <c r="BH511" t="str">
        <f t="shared" si="206"/>
        <v/>
      </c>
      <c r="BI511" t="str">
        <f t="shared" si="207"/>
        <v/>
      </c>
      <c r="BJ511" t="str">
        <f t="shared" si="208"/>
        <v/>
      </c>
      <c r="BK511" t="str">
        <f t="shared" si="209"/>
        <v/>
      </c>
      <c r="BL511" t="str">
        <f t="shared" si="210"/>
        <v/>
      </c>
      <c r="BM511" t="str">
        <f t="shared" si="211"/>
        <v/>
      </c>
      <c r="BN511" t="str">
        <f t="shared" si="212"/>
        <v/>
      </c>
      <c r="BO511" t="str">
        <f t="shared" si="213"/>
        <v/>
      </c>
      <c r="BP511" t="str">
        <f t="shared" si="214"/>
        <v/>
      </c>
      <c r="BQ511" t="str">
        <f t="shared" si="215"/>
        <v/>
      </c>
      <c r="BR511" t="str">
        <f t="shared" si="216"/>
        <v/>
      </c>
      <c r="BS511" t="str">
        <f t="shared" si="217"/>
        <v/>
      </c>
      <c r="BT511" t="str">
        <f t="shared" si="218"/>
        <v/>
      </c>
      <c r="BU511" t="str">
        <f t="shared" si="219"/>
        <v/>
      </c>
    </row>
    <row r="512" spans="1:73">
      <c r="A512" s="1">
        <v>130400</v>
      </c>
      <c r="B512" t="str">
        <f>VLOOKUP($A512,[1]Table!$A$2:$N685,B$1,FALSE)</f>
        <v>G03CA03</v>
      </c>
      <c r="C512" t="str">
        <f>VLOOKUP($A512,[1]Table!$A$2:$N685,C$1,FALSE)</f>
        <v>GESLACHTSHORMONEN EN MODULATOREN VAN HET GENITALE STELSEL</v>
      </c>
      <c r="D512" t="str">
        <f>VLOOKUP($A512,[1]Table!$A$2:$N685,D$1,FALSE)</f>
        <v>OESTROGENEN</v>
      </c>
      <c r="E512" t="str">
        <f>VLOOKUP($A512,[1]Table!$A$2:$N685,E$1,FALSE)</f>
        <v>ESTRADIOL</v>
      </c>
      <c r="F512" t="str">
        <f>VLOOKUP($A512,[1]Table!$A$2:$N685,F$1,FALSE)</f>
        <v>CETURA 0,5 MG TABLET</v>
      </c>
      <c r="G512" t="str">
        <f>VLOOKUP($A512,[1]Table!$A$2:$N685,G$1,FALSE)</f>
        <v>ESTRADIOL 0,5MG TABLET</v>
      </c>
      <c r="H512" t="str">
        <f>VLOOKUP($A512,[1]Table!$A$2:$N685,H$1,FALSE)</f>
        <v>tablet</v>
      </c>
      <c r="I512" t="str">
        <f>VLOOKUP($A512,[1]Table!$A$2:$N685,I$1,FALSE)</f>
        <v>or</v>
      </c>
      <c r="J512">
        <f>VLOOKUP($A512,[1]Table!$A$2:$N685,J$1,FALSE)</f>
        <v>0.5</v>
      </c>
      <c r="K512" t="str">
        <f>VLOOKUP($A512,[1]Table!$A$2:$N685,K$1,FALSE)</f>
        <v>mg/stuk</v>
      </c>
      <c r="L512">
        <f>VLOOKUP($A512,[1]Table!$A$2:$N685,L$1,FALSE)</f>
        <v>0.25</v>
      </c>
      <c r="M512" t="str">
        <f>VLOOKUP($A512,[1]Table!$A$2:$N685,M$1,FALSE)</f>
        <v>mg</v>
      </c>
      <c r="N512" t="str">
        <f>VLOOKUP($A512,[1]Table!$A$2:$N685,N$1,FALSE)</f>
        <v>Puberteitsinductie||Priming voorafgaand aan groeihormoontest</v>
      </c>
      <c r="O512" t="str">
        <f>ConcatenateRange(AZ512:BU512,"||")</f>
        <v/>
      </c>
      <c r="AZ512" t="str">
        <f t="shared" si="198"/>
        <v/>
      </c>
      <c r="BA512" t="str">
        <f t="shared" si="199"/>
        <v/>
      </c>
      <c r="BB512" t="str">
        <f t="shared" si="200"/>
        <v/>
      </c>
      <c r="BC512" t="str">
        <f t="shared" si="201"/>
        <v/>
      </c>
      <c r="BD512" t="str">
        <f t="shared" si="202"/>
        <v/>
      </c>
      <c r="BE512" t="str">
        <f t="shared" si="203"/>
        <v/>
      </c>
      <c r="BF512" t="str">
        <f t="shared" si="204"/>
        <v/>
      </c>
      <c r="BG512" t="str">
        <f t="shared" si="205"/>
        <v/>
      </c>
      <c r="BH512" t="str">
        <f t="shared" si="206"/>
        <v/>
      </c>
      <c r="BI512" t="str">
        <f t="shared" si="207"/>
        <v/>
      </c>
      <c r="BJ512" t="str">
        <f t="shared" si="208"/>
        <v/>
      </c>
      <c r="BK512" t="str">
        <f t="shared" si="209"/>
        <v/>
      </c>
      <c r="BL512" t="str">
        <f t="shared" si="210"/>
        <v/>
      </c>
      <c r="BM512" t="str">
        <f t="shared" si="211"/>
        <v/>
      </c>
      <c r="BN512" t="str">
        <f t="shared" si="212"/>
        <v/>
      </c>
      <c r="BO512" t="str">
        <f t="shared" si="213"/>
        <v/>
      </c>
      <c r="BP512" t="str">
        <f t="shared" si="214"/>
        <v/>
      </c>
      <c r="BQ512" t="str">
        <f t="shared" si="215"/>
        <v/>
      </c>
      <c r="BR512" t="str">
        <f t="shared" si="216"/>
        <v/>
      </c>
      <c r="BS512" t="str">
        <f t="shared" si="217"/>
        <v/>
      </c>
      <c r="BT512" t="str">
        <f t="shared" si="218"/>
        <v/>
      </c>
      <c r="BU512" t="str">
        <f t="shared" si="219"/>
        <v/>
      </c>
    </row>
    <row r="513" spans="1:73">
      <c r="A513" s="1">
        <v>78123</v>
      </c>
      <c r="B513" t="str">
        <f>VLOOKUP($A513,[1]Table!$A$2:$N686,B$1,FALSE)</f>
        <v>G03CA03</v>
      </c>
      <c r="C513" t="str">
        <f>VLOOKUP($A513,[1]Table!$A$2:$N686,C$1,FALSE)</f>
        <v>GESLACHTSHORMONEN EN MODULATOREN VAN HET GENITALE STELSEL</v>
      </c>
      <c r="D513" t="str">
        <f>VLOOKUP($A513,[1]Table!$A$2:$N686,D$1,FALSE)</f>
        <v>OESTROGENEN</v>
      </c>
      <c r="E513" t="str">
        <f>VLOOKUP($A513,[1]Table!$A$2:$N686,E$1,FALSE)</f>
        <v>ESTRADIOL</v>
      </c>
      <c r="F513" t="str">
        <f>VLOOKUP($A513,[1]Table!$A$2:$N686,F$1,FALSE)</f>
        <v>ESTROFEM 2 MG TABLET</v>
      </c>
      <c r="G513" t="str">
        <f>VLOOKUP($A513,[1]Table!$A$2:$N686,G$1,FALSE)</f>
        <v>ESTRADIOL 2MG TABLET</v>
      </c>
      <c r="H513" t="str">
        <f>VLOOKUP($A513,[1]Table!$A$2:$N686,H$1,FALSE)</f>
        <v>tablet</v>
      </c>
      <c r="I513" t="str">
        <f>VLOOKUP($A513,[1]Table!$A$2:$N686,I$1,FALSE)</f>
        <v>or</v>
      </c>
      <c r="J513">
        <f>VLOOKUP($A513,[1]Table!$A$2:$N686,J$1,FALSE)</f>
        <v>2</v>
      </c>
      <c r="K513" t="str">
        <f>VLOOKUP($A513,[1]Table!$A$2:$N686,K$1,FALSE)</f>
        <v>mg/stuk</v>
      </c>
      <c r="L513">
        <f>VLOOKUP($A513,[1]Table!$A$2:$N686,L$1,FALSE)</f>
        <v>2</v>
      </c>
      <c r="M513" t="str">
        <f>VLOOKUP($A513,[1]Table!$A$2:$N686,M$1,FALSE)</f>
        <v>mg</v>
      </c>
      <c r="N513" t="str">
        <f>VLOOKUP($A513,[1]Table!$A$2:$N686,N$1,FALSE)</f>
        <v>Puberteitsinductie||Priming voorafgaand aan groeihormoontest</v>
      </c>
      <c r="O513" t="str">
        <f>ConcatenateRange(AZ513:BU513,"||")</f>
        <v/>
      </c>
      <c r="AZ513" t="str">
        <f t="shared" si="198"/>
        <v/>
      </c>
      <c r="BA513" t="str">
        <f t="shared" si="199"/>
        <v/>
      </c>
      <c r="BB513" t="str">
        <f t="shared" si="200"/>
        <v/>
      </c>
      <c r="BC513" t="str">
        <f t="shared" si="201"/>
        <v/>
      </c>
      <c r="BD513" t="str">
        <f t="shared" si="202"/>
        <v/>
      </c>
      <c r="BE513" t="str">
        <f t="shared" si="203"/>
        <v/>
      </c>
      <c r="BF513" t="str">
        <f t="shared" si="204"/>
        <v/>
      </c>
      <c r="BG513" t="str">
        <f t="shared" si="205"/>
        <v/>
      </c>
      <c r="BH513" t="str">
        <f t="shared" si="206"/>
        <v/>
      </c>
      <c r="BI513" t="str">
        <f t="shared" si="207"/>
        <v/>
      </c>
      <c r="BJ513" t="str">
        <f t="shared" si="208"/>
        <v/>
      </c>
      <c r="BK513" t="str">
        <f t="shared" si="209"/>
        <v/>
      </c>
      <c r="BL513" t="str">
        <f t="shared" si="210"/>
        <v/>
      </c>
      <c r="BM513" t="str">
        <f t="shared" si="211"/>
        <v/>
      </c>
      <c r="BN513" t="str">
        <f t="shared" si="212"/>
        <v/>
      </c>
      <c r="BO513" t="str">
        <f t="shared" si="213"/>
        <v/>
      </c>
      <c r="BP513" t="str">
        <f t="shared" si="214"/>
        <v/>
      </c>
      <c r="BQ513" t="str">
        <f t="shared" si="215"/>
        <v/>
      </c>
      <c r="BR513" t="str">
        <f t="shared" si="216"/>
        <v/>
      </c>
      <c r="BS513" t="str">
        <f t="shared" si="217"/>
        <v/>
      </c>
      <c r="BT513" t="str">
        <f t="shared" si="218"/>
        <v/>
      </c>
      <c r="BU513" t="str">
        <f t="shared" si="219"/>
        <v/>
      </c>
    </row>
    <row r="514" spans="1:73">
      <c r="A514" s="1">
        <v>141607</v>
      </c>
      <c r="B514" t="str">
        <f>VLOOKUP($A514,[1]Table!$A$2:$N687,B$1,FALSE)</f>
        <v>G03CA03</v>
      </c>
      <c r="C514" t="str">
        <f>VLOOKUP($A514,[1]Table!$A$2:$N687,C$1,FALSE)</f>
        <v>GESLACHTSHORMONEN EN MODULATOREN VAN HET GENITALE STELSEL</v>
      </c>
      <c r="D514" t="str">
        <f>VLOOKUP($A514,[1]Table!$A$2:$N687,D$1,FALSE)</f>
        <v>OESTROGENEN</v>
      </c>
      <c r="E514" t="str">
        <f>VLOOKUP($A514,[1]Table!$A$2:$N687,E$1,FALSE)</f>
        <v>ESTRADIOL</v>
      </c>
      <c r="F514" t="str">
        <f>VLOOKUP($A514,[1]Table!$A$2:$N687,F$1,FALSE)</f>
        <v>VAGIFEM VAGINAALTABLET 10MCG</v>
      </c>
      <c r="G514" t="str">
        <f>VLOOKUP($A514,[1]Table!$A$2:$N687,G$1,FALSE)</f>
        <v>ESTRADIOL 10UG TABLET VAGIN</v>
      </c>
      <c r="H514" t="str">
        <f>VLOOKUP($A514,[1]Table!$A$2:$N687,H$1,FALSE)</f>
        <v>tablet voor vaginaal gebruik</v>
      </c>
      <c r="I514" t="str">
        <f>VLOOKUP($A514,[1]Table!$A$2:$N687,I$1,FALSE)</f>
        <v>vagin</v>
      </c>
      <c r="J514">
        <f>VLOOKUP($A514,[1]Table!$A$2:$N687,J$1,FALSE)</f>
        <v>10</v>
      </c>
      <c r="K514" t="str">
        <f>VLOOKUP($A514,[1]Table!$A$2:$N687,K$1,FALSE)</f>
        <v>mcg/stuk</v>
      </c>
      <c r="L514">
        <f>VLOOKUP($A514,[1]Table!$A$2:$N687,L$1,FALSE)</f>
        <v>10</v>
      </c>
      <c r="M514" t="str">
        <f>VLOOKUP($A514,[1]Table!$A$2:$N687,M$1,FALSE)</f>
        <v>mcg</v>
      </c>
      <c r="N514" t="str">
        <f>VLOOKUP($A514,[1]Table!$A$2:$N687,N$1,FALSE)</f>
        <v>Puberteitsinductie||Priming voorafgaand aan groeihormoontest</v>
      </c>
      <c r="O514" t="str">
        <f>ConcatenateRange(AZ514:BU514,"||")</f>
        <v/>
      </c>
      <c r="AZ514" t="str">
        <f t="shared" si="198"/>
        <v/>
      </c>
      <c r="BA514" t="str">
        <f t="shared" si="199"/>
        <v/>
      </c>
      <c r="BB514" t="str">
        <f t="shared" si="200"/>
        <v/>
      </c>
      <c r="BC514" t="str">
        <f t="shared" si="201"/>
        <v/>
      </c>
      <c r="BD514" t="str">
        <f t="shared" si="202"/>
        <v/>
      </c>
      <c r="BE514" t="str">
        <f t="shared" si="203"/>
        <v/>
      </c>
      <c r="BF514" t="str">
        <f t="shared" si="204"/>
        <v/>
      </c>
      <c r="BG514" t="str">
        <f t="shared" si="205"/>
        <v/>
      </c>
      <c r="BH514" t="str">
        <f t="shared" si="206"/>
        <v/>
      </c>
      <c r="BI514" t="str">
        <f t="shared" si="207"/>
        <v/>
      </c>
      <c r="BJ514" t="str">
        <f t="shared" si="208"/>
        <v/>
      </c>
      <c r="BK514" t="str">
        <f t="shared" si="209"/>
        <v/>
      </c>
      <c r="BL514" t="str">
        <f t="shared" si="210"/>
        <v/>
      </c>
      <c r="BM514" t="str">
        <f t="shared" si="211"/>
        <v/>
      </c>
      <c r="BN514" t="str">
        <f t="shared" si="212"/>
        <v/>
      </c>
      <c r="BO514" t="str">
        <f t="shared" si="213"/>
        <v/>
      </c>
      <c r="BP514" t="str">
        <f t="shared" si="214"/>
        <v/>
      </c>
      <c r="BQ514" t="str">
        <f t="shared" si="215"/>
        <v/>
      </c>
      <c r="BR514" t="str">
        <f t="shared" si="216"/>
        <v/>
      </c>
      <c r="BS514" t="str">
        <f t="shared" si="217"/>
        <v/>
      </c>
      <c r="BT514" t="str">
        <f t="shared" si="218"/>
        <v/>
      </c>
      <c r="BU514" t="str">
        <f t="shared" si="219"/>
        <v/>
      </c>
    </row>
    <row r="515" spans="1:73">
      <c r="A515" s="1">
        <v>42110</v>
      </c>
      <c r="B515" t="str">
        <f>VLOOKUP($A515,[1]Table!$A$2:$N688,B$1,FALSE)</f>
        <v>G03CA04</v>
      </c>
      <c r="C515" t="str">
        <f>VLOOKUP($A515,[1]Table!$A$2:$N688,C$1,FALSE)</f>
        <v>GESLACHTSHORMONEN EN MODULATOREN VAN HET GENITALE STELSEL</v>
      </c>
      <c r="D515" t="str">
        <f>VLOOKUP($A515,[1]Table!$A$2:$N688,D$1,FALSE)</f>
        <v>OESTROGENEN</v>
      </c>
      <c r="E515" t="str">
        <f>VLOOKUP($A515,[1]Table!$A$2:$N688,E$1,FALSE)</f>
        <v>ESTRIOL</v>
      </c>
      <c r="F515" t="str">
        <f>VLOOKUP($A515,[1]Table!$A$2:$N688,F$1,FALSE)</f>
        <v>SYNAPAUSE E3 1 MG/G VAGINAALCREME + APPLICATOR</v>
      </c>
      <c r="G515" t="str">
        <f>VLOOKUP($A515,[1]Table!$A$2:$N688,G$1,FALSE)</f>
        <v>ESTRIOL 1MG/G VAGINACREME</v>
      </c>
      <c r="H515" t="str">
        <f>VLOOKUP($A515,[1]Table!$A$2:$N688,H$1,FALSE)</f>
        <v>creme voor vaginaal gebruik</v>
      </c>
      <c r="I515" t="str">
        <f>VLOOKUP($A515,[1]Table!$A$2:$N688,I$1,FALSE)</f>
        <v>vagin</v>
      </c>
      <c r="J515">
        <f>VLOOKUP($A515,[1]Table!$A$2:$N688,J$1,FALSE)</f>
        <v>1</v>
      </c>
      <c r="K515" t="str">
        <f>VLOOKUP($A515,[1]Table!$A$2:$N688,K$1,FALSE)</f>
        <v>mg/gr</v>
      </c>
      <c r="L515">
        <f>VLOOKUP($A515,[1]Table!$A$2:$N688,L$1,FALSE)</f>
        <v>1</v>
      </c>
      <c r="M515" t="str">
        <f>VLOOKUP($A515,[1]Table!$A$2:$N688,M$1,FALSE)</f>
        <v>mg</v>
      </c>
      <c r="N515" t="str">
        <f>VLOOKUP($A515,[1]Table!$A$2:$N688,N$1,FALSE)</f>
        <v>Synechiae labia minora</v>
      </c>
      <c r="O515" t="str">
        <f>ConcatenateRange(AZ515:BU515,"||")</f>
        <v/>
      </c>
      <c r="AZ515" t="str">
        <f t="shared" si="198"/>
        <v/>
      </c>
      <c r="BA515" t="str">
        <f t="shared" si="199"/>
        <v/>
      </c>
      <c r="BB515" t="str">
        <f t="shared" si="200"/>
        <v/>
      </c>
      <c r="BC515" t="str">
        <f t="shared" si="201"/>
        <v/>
      </c>
      <c r="BD515" t="str">
        <f t="shared" si="202"/>
        <v/>
      </c>
      <c r="BE515" t="str">
        <f t="shared" si="203"/>
        <v/>
      </c>
      <c r="BF515" t="str">
        <f t="shared" si="204"/>
        <v/>
      </c>
      <c r="BG515" t="str">
        <f t="shared" si="205"/>
        <v/>
      </c>
      <c r="BH515" t="str">
        <f t="shared" si="206"/>
        <v/>
      </c>
      <c r="BI515" t="str">
        <f t="shared" si="207"/>
        <v/>
      </c>
      <c r="BJ515" t="str">
        <f t="shared" si="208"/>
        <v/>
      </c>
      <c r="BK515" t="str">
        <f t="shared" si="209"/>
        <v/>
      </c>
      <c r="BL515" t="str">
        <f t="shared" si="210"/>
        <v/>
      </c>
      <c r="BM515" t="str">
        <f t="shared" si="211"/>
        <v/>
      </c>
      <c r="BN515" t="str">
        <f t="shared" si="212"/>
        <v/>
      </c>
      <c r="BO515" t="str">
        <f t="shared" si="213"/>
        <v/>
      </c>
      <c r="BP515" t="str">
        <f t="shared" si="214"/>
        <v/>
      </c>
      <c r="BQ515" t="str">
        <f t="shared" si="215"/>
        <v/>
      </c>
      <c r="BR515" t="str">
        <f t="shared" si="216"/>
        <v/>
      </c>
      <c r="BS515" t="str">
        <f t="shared" si="217"/>
        <v/>
      </c>
      <c r="BT515" t="str">
        <f t="shared" si="218"/>
        <v/>
      </c>
      <c r="BU515" t="str">
        <f t="shared" si="219"/>
        <v/>
      </c>
    </row>
    <row r="516" spans="1:73">
      <c r="A516" s="1">
        <v>43869</v>
      </c>
      <c r="B516" t="str">
        <f>VLOOKUP($A516,[1]Table!$A$2:$N689,B$1,FALSE)</f>
        <v>G03CA04</v>
      </c>
      <c r="C516" t="str">
        <f>VLOOKUP($A516,[1]Table!$A$2:$N689,C$1,FALSE)</f>
        <v>GESLACHTSHORMONEN EN MODULATOREN VAN HET GENITALE STELSEL</v>
      </c>
      <c r="D516" t="str">
        <f>VLOOKUP($A516,[1]Table!$A$2:$N689,D$1,FALSE)</f>
        <v>OESTROGENEN</v>
      </c>
      <c r="E516" t="str">
        <f>VLOOKUP($A516,[1]Table!$A$2:$N689,E$1,FALSE)</f>
        <v>ESTRIOL</v>
      </c>
      <c r="F516" t="str">
        <f>VLOOKUP($A516,[1]Table!$A$2:$N689,F$1,FALSE)</f>
        <v>SYNAPAUSE E3 VAG.ZETPIL 0,5 MG</v>
      </c>
      <c r="G516" t="str">
        <f>VLOOKUP($A516,[1]Table!$A$2:$N689,G$1,FALSE)</f>
        <v>ESTRIOL 0,5MG OVULE</v>
      </c>
      <c r="H516" t="str">
        <f>VLOOKUP($A516,[1]Table!$A$2:$N689,H$1,FALSE)</f>
        <v>ovule</v>
      </c>
      <c r="I516" t="str">
        <f>VLOOKUP($A516,[1]Table!$A$2:$N689,I$1,FALSE)</f>
        <v>vagin</v>
      </c>
      <c r="J516">
        <f>VLOOKUP($A516,[1]Table!$A$2:$N689,J$1,FALSE)</f>
        <v>0.5</v>
      </c>
      <c r="K516" t="str">
        <f>VLOOKUP($A516,[1]Table!$A$2:$N689,K$1,FALSE)</f>
        <v>mg/stuk</v>
      </c>
      <c r="L516">
        <f>VLOOKUP($A516,[1]Table!$A$2:$N689,L$1,FALSE)</f>
        <v>0.5</v>
      </c>
      <c r="M516" t="str">
        <f>VLOOKUP($A516,[1]Table!$A$2:$N689,M$1,FALSE)</f>
        <v>mg</v>
      </c>
      <c r="N516" t="str">
        <f>VLOOKUP($A516,[1]Table!$A$2:$N689,N$1,FALSE)</f>
        <v>Synechiae labia minora</v>
      </c>
      <c r="O516" t="str">
        <f>ConcatenateRange(AZ516:BU516,"||")</f>
        <v/>
      </c>
      <c r="AZ516" t="str">
        <f t="shared" si="198"/>
        <v/>
      </c>
      <c r="BA516" t="str">
        <f t="shared" si="199"/>
        <v/>
      </c>
      <c r="BB516" t="str">
        <f t="shared" si="200"/>
        <v/>
      </c>
      <c r="BC516" t="str">
        <f t="shared" si="201"/>
        <v/>
      </c>
      <c r="BD516" t="str">
        <f t="shared" si="202"/>
        <v/>
      </c>
      <c r="BE516" t="str">
        <f t="shared" si="203"/>
        <v/>
      </c>
      <c r="BF516" t="str">
        <f t="shared" si="204"/>
        <v/>
      </c>
      <c r="BG516" t="str">
        <f t="shared" si="205"/>
        <v/>
      </c>
      <c r="BH516" t="str">
        <f t="shared" si="206"/>
        <v/>
      </c>
      <c r="BI516" t="str">
        <f t="shared" si="207"/>
        <v/>
      </c>
      <c r="BJ516" t="str">
        <f t="shared" si="208"/>
        <v/>
      </c>
      <c r="BK516" t="str">
        <f t="shared" si="209"/>
        <v/>
      </c>
      <c r="BL516" t="str">
        <f t="shared" si="210"/>
        <v/>
      </c>
      <c r="BM516" t="str">
        <f t="shared" si="211"/>
        <v/>
      </c>
      <c r="BN516" t="str">
        <f t="shared" si="212"/>
        <v/>
      </c>
      <c r="BO516" t="str">
        <f t="shared" si="213"/>
        <v/>
      </c>
      <c r="BP516" t="str">
        <f t="shared" si="214"/>
        <v/>
      </c>
      <c r="BQ516" t="str">
        <f t="shared" si="215"/>
        <v/>
      </c>
      <c r="BR516" t="str">
        <f t="shared" si="216"/>
        <v/>
      </c>
      <c r="BS516" t="str">
        <f t="shared" si="217"/>
        <v/>
      </c>
      <c r="BT516" t="str">
        <f t="shared" si="218"/>
        <v/>
      </c>
      <c r="BU516" t="str">
        <f t="shared" si="219"/>
        <v/>
      </c>
    </row>
    <row r="517" spans="1:73">
      <c r="A517" s="1">
        <v>51098</v>
      </c>
      <c r="B517" t="str">
        <f>VLOOKUP($A517,[1]Table!$A$2:$N690,B$1,FALSE)</f>
        <v>G03CA04</v>
      </c>
      <c r="C517" t="str">
        <f>VLOOKUP($A517,[1]Table!$A$2:$N690,C$1,FALSE)</f>
        <v>GESLACHTSHORMONEN EN MODULATOREN VAN HET GENITALE STELSEL</v>
      </c>
      <c r="D517" t="str">
        <f>VLOOKUP($A517,[1]Table!$A$2:$N690,D$1,FALSE)</f>
        <v>OESTROGENEN</v>
      </c>
      <c r="E517" t="str">
        <f>VLOOKUP($A517,[1]Table!$A$2:$N690,E$1,FALSE)</f>
        <v>ESTRIOL</v>
      </c>
      <c r="F517" t="str">
        <f>VLOOKUP($A517,[1]Table!$A$2:$N690,F$1,FALSE)</f>
        <v>SYNAPAUSE E3 1 MG TABLET</v>
      </c>
      <c r="G517" t="str">
        <f>VLOOKUP($A517,[1]Table!$A$2:$N690,G$1,FALSE)</f>
        <v>ESTRIOL 1MG TABLET</v>
      </c>
      <c r="H517" t="str">
        <f>VLOOKUP($A517,[1]Table!$A$2:$N690,H$1,FALSE)</f>
        <v>tablet</v>
      </c>
      <c r="I517" t="str">
        <f>VLOOKUP($A517,[1]Table!$A$2:$N690,I$1,FALSE)</f>
        <v>or</v>
      </c>
      <c r="J517">
        <f>VLOOKUP($A517,[1]Table!$A$2:$N690,J$1,FALSE)</f>
        <v>1</v>
      </c>
      <c r="K517" t="str">
        <f>VLOOKUP($A517,[1]Table!$A$2:$N690,K$1,FALSE)</f>
        <v>mg/stuk</v>
      </c>
      <c r="L517">
        <f>VLOOKUP($A517,[1]Table!$A$2:$N690,L$1,FALSE)</f>
        <v>1</v>
      </c>
      <c r="M517" t="str">
        <f>VLOOKUP($A517,[1]Table!$A$2:$N690,M$1,FALSE)</f>
        <v>mg</v>
      </c>
      <c r="N517" t="str">
        <f>VLOOKUP($A517,[1]Table!$A$2:$N690,N$1,FALSE)</f>
        <v>Synechiae labia minora</v>
      </c>
      <c r="O517" t="str">
        <f>ConcatenateRange(AZ517:BU517,"||")</f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  <c r="BU517" t="str">
        <f t="shared" si="219"/>
        <v/>
      </c>
    </row>
    <row r="518" spans="1:73">
      <c r="A518" s="1">
        <v>51101</v>
      </c>
      <c r="B518" t="str">
        <f>VLOOKUP($A518,[1]Table!$A$2:$N691,B$1,FALSE)</f>
        <v>G03CA04</v>
      </c>
      <c r="C518" t="str">
        <f>VLOOKUP($A518,[1]Table!$A$2:$N691,C$1,FALSE)</f>
        <v>GESLACHTSHORMONEN EN MODULATOREN VAN HET GENITALE STELSEL</v>
      </c>
      <c r="D518" t="str">
        <f>VLOOKUP($A518,[1]Table!$A$2:$N691,D$1,FALSE)</f>
        <v>OESTROGENEN</v>
      </c>
      <c r="E518" t="str">
        <f>VLOOKUP($A518,[1]Table!$A$2:$N691,E$1,FALSE)</f>
        <v>ESTRIOL</v>
      </c>
      <c r="F518" t="str">
        <f>VLOOKUP($A518,[1]Table!$A$2:$N691,F$1,FALSE)</f>
        <v>SYNAPAUSE E3 2 MG TABLET</v>
      </c>
      <c r="G518" t="str">
        <f>VLOOKUP($A518,[1]Table!$A$2:$N691,G$1,FALSE)</f>
        <v>ESTRIOL 2MG TABLET</v>
      </c>
      <c r="H518" t="str">
        <f>VLOOKUP($A518,[1]Table!$A$2:$N691,H$1,FALSE)</f>
        <v>tablet</v>
      </c>
      <c r="I518" t="str">
        <f>VLOOKUP($A518,[1]Table!$A$2:$N691,I$1,FALSE)</f>
        <v>or</v>
      </c>
      <c r="J518">
        <f>VLOOKUP($A518,[1]Table!$A$2:$N691,J$1,FALSE)</f>
        <v>2</v>
      </c>
      <c r="K518" t="str">
        <f>VLOOKUP($A518,[1]Table!$A$2:$N691,K$1,FALSE)</f>
        <v>mg/stuk</v>
      </c>
      <c r="L518">
        <f>VLOOKUP($A518,[1]Table!$A$2:$N691,L$1,FALSE)</f>
        <v>2</v>
      </c>
      <c r="M518" t="str">
        <f>VLOOKUP($A518,[1]Table!$A$2:$N691,M$1,FALSE)</f>
        <v>mg</v>
      </c>
      <c r="N518" t="str">
        <f>VLOOKUP($A518,[1]Table!$A$2:$N691,N$1,FALSE)</f>
        <v>Synechiae labia minora</v>
      </c>
      <c r="O518" t="str">
        <f>ConcatenateRange(AZ518:BU518,"||")</f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  <c r="BU518" t="str">
        <f t="shared" si="219"/>
        <v/>
      </c>
    </row>
    <row r="519" spans="1:73">
      <c r="A519" s="1">
        <v>126012</v>
      </c>
      <c r="B519" t="str">
        <f>VLOOKUP($A519,[1]Table!$A$2:$N692,B$1,FALSE)</f>
        <v>L04AB01</v>
      </c>
      <c r="C519" t="str">
        <f>VLOOKUP($A519,[1]Table!$A$2:$N692,C$1,FALSE)</f>
        <v>IMMUNOSUPPRESSIVA</v>
      </c>
      <c r="D519" t="str">
        <f>VLOOKUP($A519,[1]Table!$A$2:$N692,D$1,FALSE)</f>
        <v>IMMUNOSUPPRESSIVA</v>
      </c>
      <c r="E519" t="str">
        <f>VLOOKUP($A519,[1]Table!$A$2:$N692,E$1,FALSE)</f>
        <v>ETANERCEPT</v>
      </c>
      <c r="F519" t="str">
        <f>VLOOKUP($A519,[1]Table!$A$2:$N692,F$1,FALSE)</f>
        <v>ENBREL 50 MG/ML INJVLST WWSP 0.5 ML</v>
      </c>
      <c r="G519" t="str">
        <f>VLOOKUP($A519,[1]Table!$A$2:$N692,G$1,FALSE)</f>
        <v>ETANERCEPT 50MG/ML INJVLST</v>
      </c>
      <c r="H519" t="str">
        <f>VLOOKUP($A519,[1]Table!$A$2:$N692,H$1,FALSE)</f>
        <v>injectievloeistof</v>
      </c>
      <c r="I519" t="str">
        <f>VLOOKUP($A519,[1]Table!$A$2:$N692,I$1,FALSE)</f>
        <v>sc</v>
      </c>
      <c r="J519">
        <f>VLOOKUP($A519,[1]Table!$A$2:$N692,J$1,FALSE)</f>
        <v>50</v>
      </c>
      <c r="K519" t="str">
        <f>VLOOKUP($A519,[1]Table!$A$2:$N692,K$1,FALSE)</f>
        <v>mg/ml</v>
      </c>
      <c r="L519">
        <f>VLOOKUP($A519,[1]Table!$A$2:$N692,L$1,FALSE)</f>
        <v>50</v>
      </c>
      <c r="M519" t="str">
        <f>VLOOKUP($A519,[1]Table!$A$2:$N692,M$1,FALSE)</f>
        <v>mg</v>
      </c>
      <c r="N519" t="str">
        <f>VLOOKUP($A519,[1]Table!$A$2:$N692,N$1,FALSE)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9" t="str">
        <f>ConcatenateRange(AZ519:BU519,"||")</f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  <c r="BU519" t="str">
        <f t="shared" si="219"/>
        <v/>
      </c>
    </row>
    <row r="520" spans="1:73">
      <c r="A520" s="1">
        <v>139092</v>
      </c>
      <c r="B520" t="str">
        <f>VLOOKUP($A520,[1]Table!$A$2:$N693,B$1,FALSE)</f>
        <v>L04AB01</v>
      </c>
      <c r="C520" t="str">
        <f>VLOOKUP($A520,[1]Table!$A$2:$N693,C$1,FALSE)</f>
        <v>IMMUNOSUPPRESSIVA</v>
      </c>
      <c r="D520" t="str">
        <f>VLOOKUP($A520,[1]Table!$A$2:$N693,D$1,FALSE)</f>
        <v>IMMUNOSUPPRESSIVA</v>
      </c>
      <c r="E520" t="str">
        <f>VLOOKUP($A520,[1]Table!$A$2:$N693,E$1,FALSE)</f>
        <v>ETANERCEPT</v>
      </c>
      <c r="F520" t="str">
        <f>VLOOKUP($A520,[1]Table!$A$2:$N693,F$1,FALSE)</f>
        <v>ENBREL 10 MG INJPDR + SOLVENS</v>
      </c>
      <c r="G520" t="str">
        <f>VLOOKUP($A520,[1]Table!$A$2:$N693,G$1,FALSE)</f>
        <v>ETANERCEPT 10MG INJPDR</v>
      </c>
      <c r="H520" t="str">
        <f>VLOOKUP($A520,[1]Table!$A$2:$N693,H$1,FALSE)</f>
        <v>poeder voor injectievloeistof</v>
      </c>
      <c r="I520" t="str">
        <f>VLOOKUP($A520,[1]Table!$A$2:$N693,I$1,FALSE)</f>
        <v>sc</v>
      </c>
      <c r="J520">
        <f>VLOOKUP($A520,[1]Table!$A$2:$N693,J$1,FALSE)</f>
        <v>10</v>
      </c>
      <c r="K520" t="str">
        <f>VLOOKUP($A520,[1]Table!$A$2:$N693,K$1,FALSE)</f>
        <v>mg/stuk</v>
      </c>
      <c r="L520">
        <f>VLOOKUP($A520,[1]Table!$A$2:$N693,L$1,FALSE)</f>
        <v>10</v>
      </c>
      <c r="M520" t="str">
        <f>VLOOKUP($A520,[1]Table!$A$2:$N693,M$1,FALSE)</f>
        <v>mg</v>
      </c>
      <c r="N520" t="str">
        <f>VLOOKUP($A520,[1]Table!$A$2:$N693,N$1,FALSE)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0" t="str">
        <f>ConcatenateRange(AZ520:BU520,"||")</f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  <c r="BU520" t="str">
        <f t="shared" si="219"/>
        <v/>
      </c>
    </row>
    <row r="521" spans="1:73">
      <c r="A521" s="1">
        <v>106631</v>
      </c>
      <c r="B521" t="str">
        <f>VLOOKUP($A521,[1]Table!$A$2:$N694,B$1,FALSE)</f>
        <v>L04AB01</v>
      </c>
      <c r="C521" t="str">
        <f>VLOOKUP($A521,[1]Table!$A$2:$N694,C$1,FALSE)</f>
        <v>IMMUNOSUPPRESSIVA</v>
      </c>
      <c r="D521" t="str">
        <f>VLOOKUP($A521,[1]Table!$A$2:$N694,D$1,FALSE)</f>
        <v>IMMUNOSUPPRESSIVA</v>
      </c>
      <c r="E521" t="str">
        <f>VLOOKUP($A521,[1]Table!$A$2:$N694,E$1,FALSE)</f>
        <v>ETANERCEPT</v>
      </c>
      <c r="F521" t="str">
        <f>VLOOKUP($A521,[1]Table!$A$2:$N694,F$1,FALSE)</f>
        <v>ENBREL 25 MG INJPDR +SOLVENS 1ML</v>
      </c>
      <c r="G521" t="str">
        <f>VLOOKUP($A521,[1]Table!$A$2:$N694,G$1,FALSE)</f>
        <v>ETANERCEPT 25MG INJPDR</v>
      </c>
      <c r="H521" t="str">
        <f>VLOOKUP($A521,[1]Table!$A$2:$N694,H$1,FALSE)</f>
        <v>poeder voor injectievloeistof</v>
      </c>
      <c r="I521" t="str">
        <f>VLOOKUP($A521,[1]Table!$A$2:$N694,I$1,FALSE)</f>
        <v>sc</v>
      </c>
      <c r="J521">
        <f>VLOOKUP($A521,[1]Table!$A$2:$N694,J$1,FALSE)</f>
        <v>25</v>
      </c>
      <c r="K521" t="str">
        <f>VLOOKUP($A521,[1]Table!$A$2:$N694,K$1,FALSE)</f>
        <v>mg/stuk</v>
      </c>
      <c r="L521">
        <f>VLOOKUP($A521,[1]Table!$A$2:$N694,L$1,FALSE)</f>
        <v>25</v>
      </c>
      <c r="M521" t="str">
        <f>VLOOKUP($A521,[1]Table!$A$2:$N694,M$1,FALSE)</f>
        <v>mg</v>
      </c>
      <c r="N521" t="str">
        <f>VLOOKUP($A521,[1]Table!$A$2:$N694,N$1,FALSE)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1" t="str">
        <f>ConcatenateRange(AZ521:BU521,"||")</f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  <c r="BU521" t="str">
        <f t="shared" si="219"/>
        <v/>
      </c>
    </row>
    <row r="522" spans="1:73">
      <c r="A522" s="1">
        <v>17884</v>
      </c>
      <c r="B522" t="str">
        <f>VLOOKUP($A522,[1]Table!$A$2:$N695,B$1,FALSE)</f>
        <v>J04AK02</v>
      </c>
      <c r="C522" t="str">
        <f>VLOOKUP($A522,[1]Table!$A$2:$N695,C$1,FALSE)</f>
        <v>ANTIMYCOBACTERIELE MIDDELEN</v>
      </c>
      <c r="D522" t="str">
        <f>VLOOKUP($A522,[1]Table!$A$2:$N695,D$1,FALSE)</f>
        <v>TUBERCULOSEMIDDELEN</v>
      </c>
      <c r="E522" t="str">
        <f>VLOOKUP($A522,[1]Table!$A$2:$N695,E$1,FALSE)</f>
        <v>ETHAMBUTOL</v>
      </c>
      <c r="F522" t="str">
        <f>VLOOKUP($A522,[1]Table!$A$2:$N695,F$1,FALSE)</f>
        <v>MYAMBUTOL 400MG TABLET</v>
      </c>
      <c r="G522" t="str">
        <f>VLOOKUP($A522,[1]Table!$A$2:$N695,G$1,FALSE)</f>
        <v>ETHAMBUTOL 400MG TABLET</v>
      </c>
      <c r="H522" t="str">
        <f>VLOOKUP($A522,[1]Table!$A$2:$N695,H$1,FALSE)</f>
        <v>tablet</v>
      </c>
      <c r="I522" t="str">
        <f>VLOOKUP($A522,[1]Table!$A$2:$N695,I$1,FALSE)</f>
        <v>or</v>
      </c>
      <c r="J522">
        <f>VLOOKUP($A522,[1]Table!$A$2:$N695,J$1,FALSE)</f>
        <v>400</v>
      </c>
      <c r="K522" t="str">
        <f>VLOOKUP($A522,[1]Table!$A$2:$N695,K$1,FALSE)</f>
        <v>mg/stuk</v>
      </c>
      <c r="L522">
        <f>VLOOKUP($A522,[1]Table!$A$2:$N695,L$1,FALSE)</f>
        <v>200</v>
      </c>
      <c r="M522" t="str">
        <f>VLOOKUP($A522,[1]Table!$A$2:$N695,M$1,FALSE)</f>
        <v>mg</v>
      </c>
      <c r="N522" t="str">
        <f>VLOOKUP($A522,[1]Table!$A$2:$N695,N$1,FALSE)</f>
        <v>Tuberculose||Infectie door atypische mycobacterieen (bijv lymfadenitis colli)</v>
      </c>
      <c r="O522" t="str">
        <f>ConcatenateRange(AZ522:BU522,"||")</f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  <c r="BU522" t="str">
        <f t="shared" si="219"/>
        <v/>
      </c>
    </row>
    <row r="523" spans="1:73">
      <c r="A523" s="1">
        <v>2178</v>
      </c>
      <c r="B523" t="str">
        <f>VLOOKUP($A523,[1]Table!$A$2:$N696,B$1,FALSE)</f>
        <v>N03AD01</v>
      </c>
      <c r="C523" t="str">
        <f>VLOOKUP($A523,[1]Table!$A$2:$N696,C$1,FALSE)</f>
        <v>ANTI-EPILEPTICA</v>
      </c>
      <c r="D523" t="str">
        <f>VLOOKUP($A523,[1]Table!$A$2:$N696,D$1,FALSE)</f>
        <v>ANTI-EPILEPTICA</v>
      </c>
      <c r="E523" t="str">
        <f>VLOOKUP($A523,[1]Table!$A$2:$N696,E$1,FALSE)</f>
        <v>ETHOSUXIMIDE</v>
      </c>
      <c r="F523" t="str">
        <f>VLOOKUP($A523,[1]Table!$A$2:$N696,F$1,FALSE)</f>
        <v>ETHYMAL 250 MG CAPSULE</v>
      </c>
      <c r="G523" t="str">
        <f>VLOOKUP($A523,[1]Table!$A$2:$N696,G$1,FALSE)</f>
        <v>ETHOSUXIMIDE 250MG CAPSULE</v>
      </c>
      <c r="H523" t="str">
        <f>VLOOKUP($A523,[1]Table!$A$2:$N696,H$1,FALSE)</f>
        <v>capsule</v>
      </c>
      <c r="I523" t="str">
        <f>VLOOKUP($A523,[1]Table!$A$2:$N696,I$1,FALSE)</f>
        <v>or</v>
      </c>
      <c r="J523">
        <f>VLOOKUP($A523,[1]Table!$A$2:$N696,J$1,FALSE)</f>
        <v>250</v>
      </c>
      <c r="K523" t="str">
        <f>VLOOKUP($A523,[1]Table!$A$2:$N696,K$1,FALSE)</f>
        <v>mg/stuk</v>
      </c>
      <c r="L523">
        <f>VLOOKUP($A523,[1]Table!$A$2:$N696,L$1,FALSE)</f>
        <v>250</v>
      </c>
      <c r="M523" t="str">
        <f>VLOOKUP($A523,[1]Table!$A$2:$N696,M$1,FALSE)</f>
        <v>mg</v>
      </c>
      <c r="N523" t="str">
        <f>VLOOKUP($A523,[1]Table!$A$2:$N696,N$1,FALSE)</f>
        <v>Epilepsie, absences</v>
      </c>
      <c r="O523" t="str">
        <f>ConcatenateRange(AZ523:BU523,"||")</f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  <c r="BU523" t="str">
        <f t="shared" si="219"/>
        <v/>
      </c>
    </row>
    <row r="524" spans="1:73">
      <c r="A524" s="1">
        <v>15199</v>
      </c>
      <c r="B524" t="str">
        <f>VLOOKUP($A524,[1]Table!$A$2:$N697,B$1,FALSE)</f>
        <v>N03AD01</v>
      </c>
      <c r="C524" t="str">
        <f>VLOOKUP($A524,[1]Table!$A$2:$N697,C$1,FALSE)</f>
        <v>ANTI-EPILEPTICA</v>
      </c>
      <c r="D524" t="str">
        <f>VLOOKUP($A524,[1]Table!$A$2:$N697,D$1,FALSE)</f>
        <v>ANTI-EPILEPTICA</v>
      </c>
      <c r="E524" t="str">
        <f>VLOOKUP($A524,[1]Table!$A$2:$N697,E$1,FALSE)</f>
        <v>ETHOSUXIMIDE</v>
      </c>
      <c r="F524" t="str">
        <f>VLOOKUP($A524,[1]Table!$A$2:$N697,F$1,FALSE)</f>
        <v>ETHYMAL 62,5 MG/ML SIROOP</v>
      </c>
      <c r="G524" t="str">
        <f>VLOOKUP($A524,[1]Table!$A$2:$N697,G$1,FALSE)</f>
        <v>ETHOSUXIMIDE 62MG/ML STROOP</v>
      </c>
      <c r="H524" t="str">
        <f>VLOOKUP($A524,[1]Table!$A$2:$N697,H$1,FALSE)</f>
        <v>stroop</v>
      </c>
      <c r="I524" t="str">
        <f>VLOOKUP($A524,[1]Table!$A$2:$N697,I$1,FALSE)</f>
        <v>or</v>
      </c>
      <c r="J524">
        <f>VLOOKUP($A524,[1]Table!$A$2:$N697,J$1,FALSE)</f>
        <v>62.5</v>
      </c>
      <c r="K524" t="str">
        <f>VLOOKUP($A524,[1]Table!$A$2:$N697,K$1,FALSE)</f>
        <v>mg/ml</v>
      </c>
      <c r="L524">
        <f>VLOOKUP($A524,[1]Table!$A$2:$N697,L$1,FALSE)</f>
        <v>62.5</v>
      </c>
      <c r="M524" t="str">
        <f>VLOOKUP($A524,[1]Table!$A$2:$N697,M$1,FALSE)</f>
        <v>mg</v>
      </c>
      <c r="N524" t="str">
        <f>VLOOKUP($A524,[1]Table!$A$2:$N697,N$1,FALSE)</f>
        <v>Epilepsie, absences</v>
      </c>
      <c r="O524" t="str">
        <f>ConcatenateRange(AZ524:BU524,"||")</f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  <c r="BU524" t="str">
        <f t="shared" si="219"/>
        <v/>
      </c>
    </row>
    <row r="525" spans="1:73">
      <c r="A525" s="1">
        <v>99228</v>
      </c>
      <c r="B525" t="str">
        <f>VLOOKUP($A525,[1]Table!$A$2:$N698,B$1,FALSE)</f>
        <v>N01AX07</v>
      </c>
      <c r="C525" t="str">
        <f>VLOOKUP($A525,[1]Table!$A$2:$N698,C$1,FALSE)</f>
        <v>ANAESTHETICA</v>
      </c>
      <c r="D525" t="str">
        <f>VLOOKUP($A525,[1]Table!$A$2:$N698,D$1,FALSE)</f>
        <v>ALGEMENE ANAESTHETICA</v>
      </c>
      <c r="E525" t="str">
        <f>VLOOKUP($A525,[1]Table!$A$2:$N698,E$1,FALSE)</f>
        <v>ETOMIDAAT</v>
      </c>
      <c r="F525" t="str">
        <f>VLOOKUP($A525,[1]Table!$A$2:$N698,F$1,FALSE)</f>
        <v>ETOMIDAAT LIPURO 2 MG/ML AMPUL 10ML</v>
      </c>
      <c r="G525" t="str">
        <f>VLOOKUP($A525,[1]Table!$A$2:$N698,G$1,FALSE)</f>
        <v>ETOMIDAAT 2MG/ML INJEMULSIE</v>
      </c>
      <c r="H525" t="str">
        <f>VLOOKUP($A525,[1]Table!$A$2:$N698,H$1,FALSE)</f>
        <v>emulsie voor injectie</v>
      </c>
      <c r="I525" t="str">
        <f>VLOOKUP($A525,[1]Table!$A$2:$N698,I$1,FALSE)</f>
        <v>iv</v>
      </c>
      <c r="J525">
        <f>VLOOKUP($A525,[1]Table!$A$2:$N698,J$1,FALSE)</f>
        <v>2</v>
      </c>
      <c r="K525" t="str">
        <f>VLOOKUP($A525,[1]Table!$A$2:$N698,K$1,FALSE)</f>
        <v>mg/ml</v>
      </c>
      <c r="L525">
        <f>VLOOKUP($A525,[1]Table!$A$2:$N698,L$1,FALSE)</f>
        <v>2</v>
      </c>
      <c r="M525" t="str">
        <f>VLOOKUP($A525,[1]Table!$A$2:$N698,M$1,FALSE)</f>
        <v>mg</v>
      </c>
      <c r="N525" t="str">
        <f>VLOOKUP($A525,[1]Table!$A$2:$N698,N$1,FALSE)</f>
        <v>Anaesthesie: inductie</v>
      </c>
      <c r="O525" t="str">
        <f>ConcatenateRange(AZ525:BU525,"||")</f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  <c r="BU525" t="str">
        <f t="shared" si="219"/>
        <v/>
      </c>
    </row>
    <row r="526" spans="1:73">
      <c r="A526" s="1">
        <v>11371</v>
      </c>
      <c r="B526" t="str">
        <f>VLOOKUP($A526,[1]Table!$A$2:$N699,B$1,FALSE)</f>
        <v>N01AX07</v>
      </c>
      <c r="C526" t="str">
        <f>VLOOKUP($A526,[1]Table!$A$2:$N699,C$1,FALSE)</f>
        <v>ANAESTHETICA</v>
      </c>
      <c r="D526" t="str">
        <f>VLOOKUP($A526,[1]Table!$A$2:$N699,D$1,FALSE)</f>
        <v>ALGEMENE ANAESTHETICA</v>
      </c>
      <c r="E526" t="str">
        <f>VLOOKUP($A526,[1]Table!$A$2:$N699,E$1,FALSE)</f>
        <v>ETOMIDAAT</v>
      </c>
      <c r="F526" t="str">
        <f>VLOOKUP($A526,[1]Table!$A$2:$N699,F$1,FALSE)</f>
        <v>HYPNOMIDATE 2MG/ML AMPUL 10ML</v>
      </c>
      <c r="G526" t="str">
        <f>VLOOKUP($A526,[1]Table!$A$2:$N699,G$1,FALSE)</f>
        <v>ETOMIDAAT 2MG/ML INJVLST</v>
      </c>
      <c r="H526" t="str">
        <f>VLOOKUP($A526,[1]Table!$A$2:$N699,H$1,FALSE)</f>
        <v>injectievloeistof</v>
      </c>
      <c r="I526" t="str">
        <f>VLOOKUP($A526,[1]Table!$A$2:$N699,I$1,FALSE)</f>
        <v>iv</v>
      </c>
      <c r="J526">
        <f>VLOOKUP($A526,[1]Table!$A$2:$N699,J$1,FALSE)</f>
        <v>2</v>
      </c>
      <c r="K526" t="str">
        <f>VLOOKUP($A526,[1]Table!$A$2:$N699,K$1,FALSE)</f>
        <v>mg/ml</v>
      </c>
      <c r="L526">
        <f>VLOOKUP($A526,[1]Table!$A$2:$N699,L$1,FALSE)</f>
        <v>2</v>
      </c>
      <c r="M526" t="str">
        <f>VLOOKUP($A526,[1]Table!$A$2:$N699,M$1,FALSE)</f>
        <v>mg</v>
      </c>
      <c r="N526" t="str">
        <f>VLOOKUP($A526,[1]Table!$A$2:$N699,N$1,FALSE)</f>
        <v>Anaesthesie: inductie</v>
      </c>
      <c r="O526" t="str">
        <f>ConcatenateRange(AZ526:BU526,"||")</f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  <c r="BU526" t="str">
        <f t="shared" si="219"/>
        <v/>
      </c>
    </row>
    <row r="527" spans="1:73">
      <c r="A527" s="1">
        <v>53562</v>
      </c>
      <c r="B527" t="str">
        <f>VLOOKUP($A527,[1]Table!$A$2:$N700,B$1,FALSE)</f>
        <v>L01CB01</v>
      </c>
      <c r="C527" t="str">
        <f>VLOOKUP($A527,[1]Table!$A$2:$N700,C$1,FALSE)</f>
        <v>ONCOLYTICA</v>
      </c>
      <c r="D527" t="str">
        <f>VLOOKUP($A527,[1]Table!$A$2:$N700,D$1,FALSE)</f>
        <v>ALKALOIDEN EN OVERIGE NATUURLIJKE PRODUCTEN</v>
      </c>
      <c r="E527" t="str">
        <f>VLOOKUP($A527,[1]Table!$A$2:$N700,E$1,FALSE)</f>
        <v>ETOPOSIDE</v>
      </c>
      <c r="F527" t="str">
        <f>VLOOKUP($A527,[1]Table!$A$2:$N700,F$1,FALSE)</f>
        <v>VEPESID 50 MG CAPSULE</v>
      </c>
      <c r="G527" t="str">
        <f>VLOOKUP($A527,[1]Table!$A$2:$N700,G$1,FALSE)</f>
        <v>ETOPOSIDE 50MG CAPSULE</v>
      </c>
      <c r="H527" t="str">
        <f>VLOOKUP($A527,[1]Table!$A$2:$N700,H$1,FALSE)</f>
        <v>capsule</v>
      </c>
      <c r="I527" t="str">
        <f>VLOOKUP($A527,[1]Table!$A$2:$N700,I$1,FALSE)</f>
        <v>or</v>
      </c>
      <c r="J527">
        <f>VLOOKUP($A527,[1]Table!$A$2:$N700,J$1,FALSE)</f>
        <v>50</v>
      </c>
      <c r="K527" t="str">
        <f>VLOOKUP($A527,[1]Table!$A$2:$N700,K$1,FALSE)</f>
        <v>mg/stuk</v>
      </c>
      <c r="L527">
        <f>VLOOKUP($A527,[1]Table!$A$2:$N700,L$1,FALSE)</f>
        <v>50</v>
      </c>
      <c r="M527" t="str">
        <f>VLOOKUP($A527,[1]Table!$A$2:$N700,M$1,FALSE)</f>
        <v>mg</v>
      </c>
      <c r="N527" t="str">
        <f>VLOOKUP($A527,[1]Table!$A$2:$N700,N$1,FALSE)</f>
        <v>Oncologische aandoeningen</v>
      </c>
      <c r="O527" t="str">
        <f>ConcatenateRange(AZ527:BU527,"||")</f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  <c r="BU527" t="str">
        <f t="shared" si="219"/>
        <v/>
      </c>
    </row>
    <row r="528" spans="1:73">
      <c r="A528" s="1">
        <v>39004</v>
      </c>
      <c r="B528" t="str">
        <f>VLOOKUP($A528,[1]Table!$A$2:$N701,B$1,FALSE)</f>
        <v>L01CB01</v>
      </c>
      <c r="C528" t="str">
        <f>VLOOKUP($A528,[1]Table!$A$2:$N701,C$1,FALSE)</f>
        <v>ONCOLYTICA</v>
      </c>
      <c r="D528" t="str">
        <f>VLOOKUP($A528,[1]Table!$A$2:$N701,D$1,FALSE)</f>
        <v>ALKALOIDEN EN OVERIGE NATUURLIJKE PRODUCTEN</v>
      </c>
      <c r="E528" t="str">
        <f>VLOOKUP($A528,[1]Table!$A$2:$N701,E$1,FALSE)</f>
        <v>ETOPOSIDE</v>
      </c>
      <c r="F528" t="str">
        <f>VLOOKUP($A528,[1]Table!$A$2:$N701,F$1,FALSE)</f>
        <v>VEPESID 100 MG CAPSULE</v>
      </c>
      <c r="G528" t="str">
        <f>VLOOKUP($A528,[1]Table!$A$2:$N701,G$1,FALSE)</f>
        <v>ETOPOSIDE 100MG CAPSULE</v>
      </c>
      <c r="H528" t="str">
        <f>VLOOKUP($A528,[1]Table!$A$2:$N701,H$1,FALSE)</f>
        <v>capsule</v>
      </c>
      <c r="I528" t="str">
        <f>VLOOKUP($A528,[1]Table!$A$2:$N701,I$1,FALSE)</f>
        <v>or</v>
      </c>
      <c r="J528">
        <f>VLOOKUP($A528,[1]Table!$A$2:$N701,J$1,FALSE)</f>
        <v>100</v>
      </c>
      <c r="K528" t="str">
        <f>VLOOKUP($A528,[1]Table!$A$2:$N701,K$1,FALSE)</f>
        <v>mg/stuk</v>
      </c>
      <c r="L528">
        <f>VLOOKUP($A528,[1]Table!$A$2:$N701,L$1,FALSE)</f>
        <v>100</v>
      </c>
      <c r="M528" t="str">
        <f>VLOOKUP($A528,[1]Table!$A$2:$N701,M$1,FALSE)</f>
        <v>mg</v>
      </c>
      <c r="N528" t="str">
        <f>VLOOKUP($A528,[1]Table!$A$2:$N701,N$1,FALSE)</f>
        <v>Oncologische aandoeningen</v>
      </c>
      <c r="O528" t="str">
        <f>ConcatenateRange(AZ528:BU528,"||")</f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  <c r="BU528" t="str">
        <f t="shared" si="219"/>
        <v/>
      </c>
    </row>
    <row r="529" spans="1:73">
      <c r="A529" s="1">
        <v>38997</v>
      </c>
      <c r="B529" t="str">
        <f>VLOOKUP($A529,[1]Table!$A$2:$N702,B$1,FALSE)</f>
        <v>L01CB01</v>
      </c>
      <c r="C529" t="str">
        <f>VLOOKUP($A529,[1]Table!$A$2:$N702,C$1,FALSE)</f>
        <v>ONCOLYTICA</v>
      </c>
      <c r="D529" t="str">
        <f>VLOOKUP($A529,[1]Table!$A$2:$N702,D$1,FALSE)</f>
        <v>ALKALOIDEN EN OVERIGE NATUURLIJKE PRODUCTEN</v>
      </c>
      <c r="E529" t="str">
        <f>VLOOKUP($A529,[1]Table!$A$2:$N702,E$1,FALSE)</f>
        <v>ETOPOSIDE</v>
      </c>
      <c r="F529" t="str">
        <f>VLOOKUP($A529,[1]Table!$A$2:$N702,F$1,FALSE)</f>
        <v>TOPOSIN 100 MG = 5 ML FLACON</v>
      </c>
      <c r="G529" t="str">
        <f>VLOOKUP($A529,[1]Table!$A$2:$N702,G$1,FALSE)</f>
        <v>ETOPOSIDE 20MG/ML INF CONC</v>
      </c>
      <c r="H529" t="str">
        <f>VLOOKUP($A529,[1]Table!$A$2:$N702,H$1,FALSE)</f>
        <v>concentraat voor oplossing voor infusie</v>
      </c>
      <c r="I529" t="str">
        <f>VLOOKUP($A529,[1]Table!$A$2:$N702,I$1,FALSE)</f>
        <v>iv</v>
      </c>
      <c r="J529">
        <f>VLOOKUP($A529,[1]Table!$A$2:$N702,J$1,FALSE)</f>
        <v>20</v>
      </c>
      <c r="K529" t="str">
        <f>VLOOKUP($A529,[1]Table!$A$2:$N702,K$1,FALSE)</f>
        <v>mg/ml</v>
      </c>
      <c r="L529">
        <f>VLOOKUP($A529,[1]Table!$A$2:$N702,L$1,FALSE)</f>
        <v>20</v>
      </c>
      <c r="M529" t="str">
        <f>VLOOKUP($A529,[1]Table!$A$2:$N702,M$1,FALSE)</f>
        <v>mg</v>
      </c>
      <c r="N529" t="str">
        <f>VLOOKUP($A529,[1]Table!$A$2:$N702,N$1,FALSE)</f>
        <v>Oncologische aandoeningen</v>
      </c>
      <c r="O529" t="str">
        <f>ConcatenateRange(AZ529:BU529,"||")</f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  <c r="BU529" t="str">
        <f t="shared" si="219"/>
        <v/>
      </c>
    </row>
    <row r="530" spans="1:73">
      <c r="A530" s="1">
        <v>138568</v>
      </c>
      <c r="B530" t="str">
        <f>VLOOKUP($A530,[1]Table!$A$2:$N703,B$1,FALSE)</f>
        <v>J05AG04</v>
      </c>
      <c r="C530" t="str">
        <f>VLOOKUP($A530,[1]Table!$A$2:$N703,C$1,FALSE)</f>
        <v>ANTIVIRALE MIDDELEN VOOR SYSTEMISCH GEBRUIK</v>
      </c>
      <c r="D530" t="str">
        <f>VLOOKUP($A530,[1]Table!$A$2:$N703,D$1,FALSE)</f>
        <v>DIRECT WERKENDE ANTIVIRALE MIDDELEN</v>
      </c>
      <c r="E530" t="str">
        <f>VLOOKUP($A530,[1]Table!$A$2:$N703,E$1,FALSE)</f>
        <v>ETRAVIRINE</v>
      </c>
      <c r="F530" t="str">
        <f>VLOOKUP($A530,[1]Table!$A$2:$N703,F$1,FALSE)</f>
        <v>INTELENCE 200 MG TABLET</v>
      </c>
      <c r="G530" t="str">
        <f>VLOOKUP($A530,[1]Table!$A$2:$N703,G$1,FALSE)</f>
        <v>ETRAVIRINE 200MG TABLET</v>
      </c>
      <c r="H530" t="str">
        <f>VLOOKUP($A530,[1]Table!$A$2:$N703,H$1,FALSE)</f>
        <v>tablet</v>
      </c>
      <c r="I530" t="str">
        <f>VLOOKUP($A530,[1]Table!$A$2:$N703,I$1,FALSE)</f>
        <v>or</v>
      </c>
      <c r="J530">
        <f>VLOOKUP($A530,[1]Table!$A$2:$N703,J$1,FALSE)</f>
        <v>200</v>
      </c>
      <c r="K530" t="str">
        <f>VLOOKUP($A530,[1]Table!$A$2:$N703,K$1,FALSE)</f>
        <v>mg/stuk</v>
      </c>
      <c r="L530">
        <f>VLOOKUP($A530,[1]Table!$A$2:$N703,L$1,FALSE)</f>
        <v>200</v>
      </c>
      <c r="M530" t="str">
        <f>VLOOKUP($A530,[1]Table!$A$2:$N703,M$1,FALSE)</f>
        <v>mg</v>
      </c>
      <c r="N530" t="str">
        <f>VLOOKUP($A530,[1]Table!$A$2:$N703,N$1,FALSE)</f>
        <v>HIV</v>
      </c>
      <c r="O530" t="str">
        <f>ConcatenateRange(AZ530:BU530,"||")</f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  <c r="BU530" t="str">
        <f t="shared" si="219"/>
        <v/>
      </c>
    </row>
    <row r="531" spans="1:73">
      <c r="A531" s="1">
        <v>121754</v>
      </c>
      <c r="B531" t="str">
        <f>VLOOKUP($A531,[1]Table!$A$2:$N704,B$1,FALSE)</f>
        <v>L04AA18</v>
      </c>
      <c r="C531" t="str">
        <f>VLOOKUP($A531,[1]Table!$A$2:$N704,C$1,FALSE)</f>
        <v>IMMUNOSUPPRESSIVA</v>
      </c>
      <c r="D531" t="str">
        <f>VLOOKUP($A531,[1]Table!$A$2:$N704,D$1,FALSE)</f>
        <v>IMMUNOSUPPRESSIVA</v>
      </c>
      <c r="E531" t="str">
        <f>VLOOKUP($A531,[1]Table!$A$2:$N704,E$1,FALSE)</f>
        <v>EVEROLIMUS</v>
      </c>
      <c r="F531" t="str">
        <f>VLOOKUP($A531,[1]Table!$A$2:$N704,F$1,FALSE)</f>
        <v>CERTICAN 0,25 MG DISPER TABLET</v>
      </c>
      <c r="G531" t="str">
        <f>VLOOKUP($A531,[1]Table!$A$2:$N704,G$1,FALSE)</f>
        <v>EVEROLIMUS 0,25MG DISPERTAB</v>
      </c>
      <c r="H531" t="str">
        <f>VLOOKUP($A531,[1]Table!$A$2:$N704,H$1,FALSE)</f>
        <v>dispergeerbare tablet</v>
      </c>
      <c r="I531" t="str">
        <f>VLOOKUP($A531,[1]Table!$A$2:$N704,I$1,FALSE)</f>
        <v>or</v>
      </c>
      <c r="J531">
        <f>VLOOKUP($A531,[1]Table!$A$2:$N704,J$1,FALSE)</f>
        <v>0.25</v>
      </c>
      <c r="K531" t="str">
        <f>VLOOKUP($A531,[1]Table!$A$2:$N704,K$1,FALSE)</f>
        <v>mg/stuk</v>
      </c>
      <c r="L531">
        <f>VLOOKUP($A531,[1]Table!$A$2:$N704,L$1,FALSE)</f>
        <v>0.25</v>
      </c>
      <c r="M531" t="str">
        <f>VLOOKUP($A531,[1]Table!$A$2:$N704,M$1,FALSE)</f>
        <v>mg</v>
      </c>
      <c r="N531" t="str">
        <f>VLOOKUP($A531,[1]Table!$A$2:$N704,N$1,FALSE)</f>
        <v xml:space="preserve">Profylaxe afstoting niertransplantaat||Subependymaal reuscelastrocytoom (SEGA) geassocieerd met tubereuze sclerose complex (TSC) </v>
      </c>
      <c r="O531" t="str">
        <f>ConcatenateRange(AZ531:BU531,"||")</f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  <c r="BU531" t="str">
        <f t="shared" si="219"/>
        <v/>
      </c>
    </row>
    <row r="532" spans="1:73">
      <c r="A532" s="1">
        <v>147990</v>
      </c>
      <c r="B532" t="str">
        <f>VLOOKUP($A532,[1]Table!$A$2:$N705,B$1,FALSE)</f>
        <v>L01XE10</v>
      </c>
      <c r="C532" t="str">
        <f>VLOOKUP($A532,[1]Table!$A$2:$N705,C$1,FALSE)</f>
        <v>ONCOLYTICA</v>
      </c>
      <c r="D532" t="str">
        <f>VLOOKUP($A532,[1]Table!$A$2:$N705,D$1,FALSE)</f>
        <v>OVERIGE ONCOLYTICA</v>
      </c>
      <c r="E532" t="str">
        <f>VLOOKUP($A532,[1]Table!$A$2:$N705,E$1,FALSE)</f>
        <v>EVEROLIMUS</v>
      </c>
      <c r="F532" t="str">
        <f>VLOOKUP($A532,[1]Table!$A$2:$N705,F$1,FALSE)</f>
        <v>VOTUBIA 5 MG TABLET  DISPERGEERBAAR</v>
      </c>
      <c r="G532" t="str">
        <f>VLOOKUP($A532,[1]Table!$A$2:$N705,G$1,FALSE)</f>
        <v>EVEROLIMUS 5MG DISPERTABLET</v>
      </c>
      <c r="H532" t="str">
        <f>VLOOKUP($A532,[1]Table!$A$2:$N705,H$1,FALSE)</f>
        <v>dispergeerbare tablet</v>
      </c>
      <c r="I532" t="str">
        <f>VLOOKUP($A532,[1]Table!$A$2:$N705,I$1,FALSE)</f>
        <v>or</v>
      </c>
      <c r="J532">
        <f>VLOOKUP($A532,[1]Table!$A$2:$N705,J$1,FALSE)</f>
        <v>5</v>
      </c>
      <c r="K532" t="str">
        <f>VLOOKUP($A532,[1]Table!$A$2:$N705,K$1,FALSE)</f>
        <v>mg/stuk</v>
      </c>
      <c r="L532">
        <f>VLOOKUP($A532,[1]Table!$A$2:$N705,L$1,FALSE)</f>
        <v>5</v>
      </c>
      <c r="M532" t="str">
        <f>VLOOKUP($A532,[1]Table!$A$2:$N705,M$1,FALSE)</f>
        <v>mg</v>
      </c>
      <c r="N532" t="s">
        <v>56</v>
      </c>
      <c r="O532" t="str">
        <f>ConcatenateRange(AZ532:BU532,"||")</f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  <c r="BU532" t="str">
        <f t="shared" si="219"/>
        <v/>
      </c>
    </row>
    <row r="533" spans="1:73">
      <c r="A533" s="1">
        <v>121762</v>
      </c>
      <c r="B533" t="str">
        <f>VLOOKUP($A533,[1]Table!$A$2:$N706,B$1,FALSE)</f>
        <v>L04AA18</v>
      </c>
      <c r="C533" t="str">
        <f>VLOOKUP($A533,[1]Table!$A$2:$N706,C$1,FALSE)</f>
        <v>IMMUNOSUPPRESSIVA</v>
      </c>
      <c r="D533" t="str">
        <f>VLOOKUP($A533,[1]Table!$A$2:$N706,D$1,FALSE)</f>
        <v>IMMUNOSUPPRESSIVA</v>
      </c>
      <c r="E533" t="str">
        <f>VLOOKUP($A533,[1]Table!$A$2:$N706,E$1,FALSE)</f>
        <v>EVEROLIMUS</v>
      </c>
      <c r="F533" t="str">
        <f>VLOOKUP($A533,[1]Table!$A$2:$N706,F$1,FALSE)</f>
        <v>CERTICAN 0,25 MG TABLET</v>
      </c>
      <c r="G533" t="str">
        <f>VLOOKUP($A533,[1]Table!$A$2:$N706,G$1,FALSE)</f>
        <v>EVEROLIMUS 0,25MG TABLET</v>
      </c>
      <c r="H533" t="str">
        <f>VLOOKUP($A533,[1]Table!$A$2:$N706,H$1,FALSE)</f>
        <v>tablet</v>
      </c>
      <c r="I533" t="str">
        <f>VLOOKUP($A533,[1]Table!$A$2:$N706,I$1,FALSE)</f>
        <v>or</v>
      </c>
      <c r="J533">
        <f>VLOOKUP($A533,[1]Table!$A$2:$N706,J$1,FALSE)</f>
        <v>0.25</v>
      </c>
      <c r="K533" t="str">
        <f>VLOOKUP($A533,[1]Table!$A$2:$N706,K$1,FALSE)</f>
        <v>mg/stuk</v>
      </c>
      <c r="L533">
        <f>VLOOKUP($A533,[1]Table!$A$2:$N706,L$1,FALSE)</f>
        <v>0.25</v>
      </c>
      <c r="M533" t="str">
        <f>VLOOKUP($A533,[1]Table!$A$2:$N706,M$1,FALSE)</f>
        <v>mg</v>
      </c>
      <c r="N533" t="str">
        <f>VLOOKUP($A533,[1]Table!$A$2:$N706,N$1,FALSE)</f>
        <v xml:space="preserve">Profylaxe afstoting niertransplantaat||Subependymaal reuscelastrocytoom (SEGA) geassocieerd met tubereuze sclerose complex (TSC) </v>
      </c>
      <c r="O533" t="str">
        <f>ConcatenateRange(AZ533:BU533,"||")</f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  <c r="BU533" t="str">
        <f t="shared" si="219"/>
        <v/>
      </c>
    </row>
    <row r="534" spans="1:73">
      <c r="A534" s="1">
        <v>121770</v>
      </c>
      <c r="B534" t="str">
        <f>VLOOKUP($A534,[1]Table!$A$2:$N707,B$1,FALSE)</f>
        <v>L04AA18</v>
      </c>
      <c r="C534" t="str">
        <f>VLOOKUP($A534,[1]Table!$A$2:$N707,C$1,FALSE)</f>
        <v>IMMUNOSUPPRESSIVA</v>
      </c>
      <c r="D534" t="str">
        <f>VLOOKUP($A534,[1]Table!$A$2:$N707,D$1,FALSE)</f>
        <v>IMMUNOSUPPRESSIVA</v>
      </c>
      <c r="E534" t="str">
        <f>VLOOKUP($A534,[1]Table!$A$2:$N707,E$1,FALSE)</f>
        <v>EVEROLIMUS</v>
      </c>
      <c r="F534" t="str">
        <f>VLOOKUP($A534,[1]Table!$A$2:$N707,F$1,FALSE)</f>
        <v>CERTICAN 0,75 MG TABLET</v>
      </c>
      <c r="G534" t="str">
        <f>VLOOKUP($A534,[1]Table!$A$2:$N707,G$1,FALSE)</f>
        <v>EVEROLIMUS 0,75MG TABLET</v>
      </c>
      <c r="H534" t="str">
        <f>VLOOKUP($A534,[1]Table!$A$2:$N707,H$1,FALSE)</f>
        <v>tablet</v>
      </c>
      <c r="I534" t="str">
        <f>VLOOKUP($A534,[1]Table!$A$2:$N707,I$1,FALSE)</f>
        <v>or</v>
      </c>
      <c r="J534">
        <f>VLOOKUP($A534,[1]Table!$A$2:$N707,J$1,FALSE)</f>
        <v>0.75</v>
      </c>
      <c r="K534" t="str">
        <f>VLOOKUP($A534,[1]Table!$A$2:$N707,K$1,FALSE)</f>
        <v>mg/stuk</v>
      </c>
      <c r="L534">
        <f>VLOOKUP($A534,[1]Table!$A$2:$N707,L$1,FALSE)</f>
        <v>0.75</v>
      </c>
      <c r="M534" t="str">
        <f>VLOOKUP($A534,[1]Table!$A$2:$N707,M$1,FALSE)</f>
        <v>mg</v>
      </c>
      <c r="N534" t="str">
        <f>VLOOKUP($A534,[1]Table!$A$2:$N707,N$1,FALSE)</f>
        <v xml:space="preserve">Profylaxe afstoting niertransplantaat||Subependymaal reuscelastrocytoom (SEGA) geassocieerd met tubereuze sclerose complex (TSC) </v>
      </c>
      <c r="O534" t="str">
        <f>ConcatenateRange(AZ534:BU534,"||")</f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  <c r="BU534" t="str">
        <f t="shared" si="219"/>
        <v/>
      </c>
    </row>
    <row r="535" spans="1:73">
      <c r="A535" s="1">
        <v>138576</v>
      </c>
      <c r="B535" t="str">
        <f>VLOOKUP($A535,[1]Table!$A$2:$N708,B$1,FALSE)</f>
        <v>L01XE10</v>
      </c>
      <c r="C535" t="str">
        <f>VLOOKUP($A535,[1]Table!$A$2:$N708,C$1,FALSE)</f>
        <v>ONCOLYTICA</v>
      </c>
      <c r="D535" t="str">
        <f>VLOOKUP($A535,[1]Table!$A$2:$N708,D$1,FALSE)</f>
        <v>OVERIGE ONCOLYTICA</v>
      </c>
      <c r="E535" t="str">
        <f>VLOOKUP($A535,[1]Table!$A$2:$N708,E$1,FALSE)</f>
        <v>EVEROLIMUS</v>
      </c>
      <c r="F535" t="str">
        <f>VLOOKUP($A535,[1]Table!$A$2:$N708,F$1,FALSE)</f>
        <v>AFINITOR 2,5MG TABLET</v>
      </c>
      <c r="G535" t="str">
        <f>VLOOKUP($A535,[1]Table!$A$2:$N708,G$1,FALSE)</f>
        <v>EVEROLIMUS 2,5MG TABLET</v>
      </c>
      <c r="H535" t="str">
        <f>VLOOKUP($A535,[1]Table!$A$2:$N708,H$1,FALSE)</f>
        <v>tablet</v>
      </c>
      <c r="I535" t="str">
        <f>VLOOKUP($A535,[1]Table!$A$2:$N708,I$1,FALSE)</f>
        <v>or</v>
      </c>
      <c r="J535">
        <f>VLOOKUP($A535,[1]Table!$A$2:$N708,J$1,FALSE)</f>
        <v>2.5</v>
      </c>
      <c r="K535" t="str">
        <f>VLOOKUP($A535,[1]Table!$A$2:$N708,K$1,FALSE)</f>
        <v>mg/stuk</v>
      </c>
      <c r="L535">
        <f>VLOOKUP($A535,[1]Table!$A$2:$N708,L$1,FALSE)</f>
        <v>2.5</v>
      </c>
      <c r="M535" t="str">
        <f>VLOOKUP($A535,[1]Table!$A$2:$N708,M$1,FALSE)</f>
        <v>mg</v>
      </c>
      <c r="N535" t="s">
        <v>56</v>
      </c>
      <c r="O535" t="str">
        <f>ConcatenateRange(AZ535:BU535,"||")</f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  <c r="BU535" t="str">
        <f t="shared" si="219"/>
        <v/>
      </c>
    </row>
    <row r="536" spans="1:73">
      <c r="A536" s="1">
        <v>133175</v>
      </c>
      <c r="B536" t="str">
        <f>VLOOKUP($A536,[1]Table!$A$2:$N709,B$1,FALSE)</f>
        <v>L01XE10</v>
      </c>
      <c r="C536" t="str">
        <f>VLOOKUP($A536,[1]Table!$A$2:$N709,C$1,FALSE)</f>
        <v>ONCOLYTICA</v>
      </c>
      <c r="D536" t="str">
        <f>VLOOKUP($A536,[1]Table!$A$2:$N709,D$1,FALSE)</f>
        <v>OVERIGE ONCOLYTICA</v>
      </c>
      <c r="E536" t="str">
        <f>VLOOKUP($A536,[1]Table!$A$2:$N709,E$1,FALSE)</f>
        <v>EVEROLIMUS</v>
      </c>
      <c r="F536" t="str">
        <f>VLOOKUP($A536,[1]Table!$A$2:$N709,F$1,FALSE)</f>
        <v>AFINITOR  5 MG TABLET</v>
      </c>
      <c r="G536" t="str">
        <f>VLOOKUP($A536,[1]Table!$A$2:$N709,G$1,FALSE)</f>
        <v>EVEROLIMUS 5MG TABLET</v>
      </c>
      <c r="H536" t="str">
        <f>VLOOKUP($A536,[1]Table!$A$2:$N709,H$1,FALSE)</f>
        <v>tablet</v>
      </c>
      <c r="I536" t="str">
        <f>VLOOKUP($A536,[1]Table!$A$2:$N709,I$1,FALSE)</f>
        <v>or</v>
      </c>
      <c r="J536">
        <f>VLOOKUP($A536,[1]Table!$A$2:$N709,J$1,FALSE)</f>
        <v>5</v>
      </c>
      <c r="K536" t="str">
        <f>VLOOKUP($A536,[1]Table!$A$2:$N709,K$1,FALSE)</f>
        <v>mg/stuk</v>
      </c>
      <c r="L536">
        <f>VLOOKUP($A536,[1]Table!$A$2:$N709,L$1,FALSE)</f>
        <v>5</v>
      </c>
      <c r="M536" t="str">
        <f>VLOOKUP($A536,[1]Table!$A$2:$N709,M$1,FALSE)</f>
        <v>mg</v>
      </c>
      <c r="N536" t="s">
        <v>56</v>
      </c>
      <c r="O536" t="str">
        <f>ConcatenateRange(AZ536:BU536,"||")</f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  <c r="BU536" t="str">
        <f t="shared" si="219"/>
        <v/>
      </c>
    </row>
    <row r="537" spans="1:73">
      <c r="A537" s="1">
        <v>133183</v>
      </c>
      <c r="B537" t="str">
        <f>VLOOKUP($A537,[1]Table!$A$2:$N710,B$1,FALSE)</f>
        <v>L01XE10</v>
      </c>
      <c r="C537" t="str">
        <f>VLOOKUP($A537,[1]Table!$A$2:$N710,C$1,FALSE)</f>
        <v>ONCOLYTICA</v>
      </c>
      <c r="D537" t="str">
        <f>VLOOKUP($A537,[1]Table!$A$2:$N710,D$1,FALSE)</f>
        <v>OVERIGE ONCOLYTICA</v>
      </c>
      <c r="E537" t="str">
        <f>VLOOKUP($A537,[1]Table!$A$2:$N710,E$1,FALSE)</f>
        <v>EVEROLIMUS</v>
      </c>
      <c r="F537" t="str">
        <f>VLOOKUP($A537,[1]Table!$A$2:$N710,F$1,FALSE)</f>
        <v>AFINITOR 10 MG TABLET</v>
      </c>
      <c r="G537" t="str">
        <f>VLOOKUP($A537,[1]Table!$A$2:$N710,G$1,FALSE)</f>
        <v>EVEROLIMUS 10MG TABLET</v>
      </c>
      <c r="H537" t="str">
        <f>VLOOKUP($A537,[1]Table!$A$2:$N710,H$1,FALSE)</f>
        <v>tablet</v>
      </c>
      <c r="I537" t="str">
        <f>VLOOKUP($A537,[1]Table!$A$2:$N710,I$1,FALSE)</f>
        <v>or</v>
      </c>
      <c r="J537">
        <f>VLOOKUP($A537,[1]Table!$A$2:$N710,J$1,FALSE)</f>
        <v>10</v>
      </c>
      <c r="K537" t="str">
        <f>VLOOKUP($A537,[1]Table!$A$2:$N710,K$1,FALSE)</f>
        <v>mg/stuk</v>
      </c>
      <c r="L537">
        <f>VLOOKUP($A537,[1]Table!$A$2:$N710,L$1,FALSE)</f>
        <v>10</v>
      </c>
      <c r="M537" t="str">
        <f>VLOOKUP($A537,[1]Table!$A$2:$N710,M$1,FALSE)</f>
        <v>mg</v>
      </c>
      <c r="N537" t="s">
        <v>56</v>
      </c>
      <c r="O537" t="str">
        <f>ConcatenateRange(AZ537:BU537,"||")</f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  <c r="BU537" t="str">
        <f t="shared" si="219"/>
        <v/>
      </c>
    </row>
    <row r="538" spans="1:73">
      <c r="A538" s="1">
        <v>118575</v>
      </c>
      <c r="B538" t="str">
        <f>VLOOKUP($A538,[1]Table!$A$2:$N711,B$1,FALSE)</f>
        <v>C10AX09</v>
      </c>
      <c r="C538" t="str">
        <f>VLOOKUP($A538,[1]Table!$A$2:$N711,C$1,FALSE)</f>
        <v>ANTILIPAEMICA</v>
      </c>
      <c r="D538" t="str">
        <f>VLOOKUP($A538,[1]Table!$A$2:$N711,D$1,FALSE)</f>
        <v>ANTILIPAEMICA, ENKELVOUDIG</v>
      </c>
      <c r="E538" t="str">
        <f>VLOOKUP($A538,[1]Table!$A$2:$N711,E$1,FALSE)</f>
        <v>EZETIMIB</v>
      </c>
      <c r="F538" t="str">
        <f>VLOOKUP($A538,[1]Table!$A$2:$N711,F$1,FALSE)</f>
        <v>EZETROL 10 MG TABLET</v>
      </c>
      <c r="G538" t="str">
        <f>VLOOKUP($A538,[1]Table!$A$2:$N711,G$1,FALSE)</f>
        <v>EZETIMIB 10MG TABLET</v>
      </c>
      <c r="H538" t="str">
        <f>VLOOKUP($A538,[1]Table!$A$2:$N711,H$1,FALSE)</f>
        <v>tablet</v>
      </c>
      <c r="I538" t="str">
        <f>VLOOKUP($A538,[1]Table!$A$2:$N711,I$1,FALSE)</f>
        <v>or</v>
      </c>
      <c r="J538">
        <f>VLOOKUP($A538,[1]Table!$A$2:$N711,J$1,FALSE)</f>
        <v>10</v>
      </c>
      <c r="K538" t="str">
        <f>VLOOKUP($A538,[1]Table!$A$2:$N711,K$1,FALSE)</f>
        <v>mg/stuk</v>
      </c>
      <c r="L538">
        <f>VLOOKUP($A538,[1]Table!$A$2:$N711,L$1,FALSE)</f>
        <v>10</v>
      </c>
      <c r="M538" t="str">
        <f>VLOOKUP($A538,[1]Table!$A$2:$N711,M$1,FALSE)</f>
        <v>mg</v>
      </c>
      <c r="N538" t="str">
        <f>VLOOKUP($A538,[1]Table!$A$2:$N711,N$1,FALSE)</f>
        <v>Primaire hypercholesterolemie, Homozygote familiaire hypercholesterolemie, Homozygote sitosterolemie (Fytosterolemie)</v>
      </c>
      <c r="O538" t="str">
        <f>ConcatenateRange(AZ538:BU538,"||")</f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  <c r="BU538" t="str">
        <f t="shared" si="219"/>
        <v/>
      </c>
    </row>
    <row r="539" spans="1:73">
      <c r="A539" s="1">
        <v>123137</v>
      </c>
      <c r="B539" t="str">
        <f>VLOOKUP($A539,[1]Table!$A$2:$N1504,B$1,FALSE)</f>
        <v>C10BA02</v>
      </c>
      <c r="C539" t="str">
        <f>VLOOKUP($A539,[1]Table!$A$2:$N1504,C$1,FALSE)</f>
        <v>ANTILIPAEMICA</v>
      </c>
      <c r="D539" t="str">
        <f>VLOOKUP($A539,[1]Table!$A$2:$N1504,D$1,FALSE)</f>
        <v>ANTILIPAEMICA, COMBINATIEPREPARATEN</v>
      </c>
      <c r="E539" t="str">
        <f>VLOOKUP($A539,[1]Table!$A$2:$N1504,E$1,FALSE)</f>
        <v>EZETIMIB/SIMVASTATINE</v>
      </c>
      <c r="F539" t="str">
        <f>VLOOKUP($A539,[1]Table!$A$2:$N1504,F$1,FALSE)</f>
        <v>INEGY 10/40 MG TABLET</v>
      </c>
      <c r="G539" t="str">
        <f>VLOOKUP($A539,[1]Table!$A$2:$N1504,G$1,FALSE)</f>
        <v>EZETIMIB/SIMVASTATINE 10/40</v>
      </c>
      <c r="H539" t="str">
        <f>VLOOKUP($A539,[1]Table!$A$2:$N1504,H$1,FALSE)</f>
        <v>tablet</v>
      </c>
      <c r="I539" t="str">
        <f>VLOOKUP($A539,[1]Table!$A$2:$N1504,I$1,FALSE)</f>
        <v>or</v>
      </c>
      <c r="J539">
        <f>VLOOKUP($A539,[1]Table!$A$2:$N1504,J$1,FALSE)</f>
        <v>40</v>
      </c>
      <c r="K539" t="str">
        <f>VLOOKUP($A539,[1]Table!$A$2:$N1504,K$1,FALSE)</f>
        <v>mg/stuk</v>
      </c>
      <c r="L539">
        <f>VLOOKUP($A539,[1]Table!$A$2:$N1504,L$1,FALSE)</f>
        <v>40</v>
      </c>
      <c r="M539" t="str">
        <f>VLOOKUP($A539,[1]Table!$A$2:$N1504,M$1,FALSE)</f>
        <v>mg</v>
      </c>
      <c r="N539" t="str">
        <f>VLOOKUP($A539,[1]Table!$A$2:$N1504,N$1,FALSE)</f>
        <v>Homozychote familiaire hypercholesterolemie</v>
      </c>
      <c r="O539" t="str">
        <f>ConcatenateRange(AZ539:BU539,"||")</f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  <c r="BU539" t="str">
        <f t="shared" si="219"/>
        <v/>
      </c>
    </row>
    <row r="540" spans="1:73">
      <c r="A540" s="1">
        <v>123145</v>
      </c>
      <c r="B540" t="str">
        <f>VLOOKUP($A540,[1]Table!$A$2:$N1505,B$1,FALSE)</f>
        <v>C10BA02</v>
      </c>
      <c r="C540" t="str">
        <f>VLOOKUP($A540,[1]Table!$A$2:$N1505,C$1,FALSE)</f>
        <v>ANTILIPAEMICA</v>
      </c>
      <c r="D540" t="str">
        <f>VLOOKUP($A540,[1]Table!$A$2:$N1505,D$1,FALSE)</f>
        <v>ANTILIPAEMICA, COMBINATIEPREPARATEN</v>
      </c>
      <c r="E540" t="str">
        <f>VLOOKUP($A540,[1]Table!$A$2:$N1505,E$1,FALSE)</f>
        <v>EZETIMIB/SIMVASTATINE</v>
      </c>
      <c r="F540" t="str">
        <f>VLOOKUP($A540,[1]Table!$A$2:$N1505,F$1,FALSE)</f>
        <v>INEGY 10/80 MG TABLET</v>
      </c>
      <c r="G540" t="str">
        <f>VLOOKUP($A540,[1]Table!$A$2:$N1505,G$1,FALSE)</f>
        <v>EZETIMIB/SIMVASTATINE 10/80</v>
      </c>
      <c r="H540" t="str">
        <f>VLOOKUP($A540,[1]Table!$A$2:$N1505,H$1,FALSE)</f>
        <v>tablet</v>
      </c>
      <c r="I540" t="str">
        <f>VLOOKUP($A540,[1]Table!$A$2:$N1505,I$1,FALSE)</f>
        <v>or</v>
      </c>
      <c r="J540">
        <f>VLOOKUP($A540,[1]Table!$A$2:$N1505,J$1,FALSE)</f>
        <v>80</v>
      </c>
      <c r="K540" t="str">
        <f>VLOOKUP($A540,[1]Table!$A$2:$N1505,K$1,FALSE)</f>
        <v>mg/stuk</v>
      </c>
      <c r="L540">
        <f>VLOOKUP($A540,[1]Table!$A$2:$N1505,L$1,FALSE)</f>
        <v>80</v>
      </c>
      <c r="M540" t="str">
        <f>VLOOKUP($A540,[1]Table!$A$2:$N1505,M$1,FALSE)</f>
        <v>mg</v>
      </c>
      <c r="N540" t="str">
        <f>VLOOKUP($A540,[1]Table!$A$2:$N1505,N$1,FALSE)</f>
        <v>Homozychote familiaire hypercholesterolemie</v>
      </c>
      <c r="O540" t="str">
        <f>ConcatenateRange(AZ540:BU540,"||")</f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  <c r="BU540" t="str">
        <f t="shared" si="219"/>
        <v/>
      </c>
    </row>
    <row r="541" spans="1:73">
      <c r="A541" s="1">
        <v>99163</v>
      </c>
      <c r="B541" t="str">
        <f>VLOOKUP($A541,[1]Table!$A$2:$N712,B$1,FALSE)</f>
        <v>B02BD04</v>
      </c>
      <c r="C541" t="str">
        <f>VLOOKUP($A541,[1]Table!$A$2:$N712,C$1,FALSE)</f>
        <v>ANTIHAEMORRHAGICA</v>
      </c>
      <c r="D541" t="str">
        <f>VLOOKUP($A541,[1]Table!$A$2:$N712,D$1,FALSE)</f>
        <v>VITAMINE K EN OVERIGE HAEMOSTATICA</v>
      </c>
      <c r="E541" t="str">
        <f>VLOOKUP($A541,[1]Table!$A$2:$N712,E$1,FALSE)</f>
        <v>FACTOR IX</v>
      </c>
      <c r="F541" t="str">
        <f>VLOOKUP($A541,[1]Table!$A$2:$N712,F$1,FALSE)</f>
        <v>MONONINE 1000IE INJPDR+SOLV</v>
      </c>
      <c r="G541" t="str">
        <f>VLOOKUP($A541,[1]Table!$A$2:$N712,G$1,FALSE)</f>
        <v>FACTOR IX 1000IE INJPDR</v>
      </c>
      <c r="H541" t="str">
        <f>VLOOKUP($A541,[1]Table!$A$2:$N712,H$1,FALSE)</f>
        <v>poeder voor injectievloeistof</v>
      </c>
      <c r="I541" t="str">
        <f>VLOOKUP($A541,[1]Table!$A$2:$N712,I$1,FALSE)</f>
        <v>iv</v>
      </c>
      <c r="J541">
        <f>VLOOKUP($A541,[1]Table!$A$2:$N712,J$1,FALSE)</f>
        <v>1000</v>
      </c>
      <c r="K541" t="str">
        <f>VLOOKUP($A541,[1]Table!$A$2:$N712,K$1,FALSE)</f>
        <v>IE/stuk</v>
      </c>
      <c r="L541">
        <f>VLOOKUP($A541,[1]Table!$A$2:$N712,L$1,FALSE)</f>
        <v>1000</v>
      </c>
      <c r="M541" t="str">
        <f>VLOOKUP($A541,[1]Table!$A$2:$N712,M$1,FALSE)</f>
        <v>IE</v>
      </c>
      <c r="N541" t="str">
        <f>VLOOKUP($A541,[1]Table!$A$2:$N712,N$1,FALSE)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1" t="str">
        <f>ConcatenateRange(AZ541:BU541,"||")</f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  <c r="BU541" t="str">
        <f t="shared" si="219"/>
        <v/>
      </c>
    </row>
    <row r="542" spans="1:73">
      <c r="A542" s="1">
        <v>86150</v>
      </c>
      <c r="B542" t="str">
        <f>VLOOKUP($A542,[1]Table!$A$2:$N713,B$1,FALSE)</f>
        <v>B02BD04</v>
      </c>
      <c r="C542" t="str">
        <f>VLOOKUP($A542,[1]Table!$A$2:$N713,C$1,FALSE)</f>
        <v>ANTIHAEMORRHAGICA</v>
      </c>
      <c r="D542" t="str">
        <f>VLOOKUP($A542,[1]Table!$A$2:$N713,D$1,FALSE)</f>
        <v>VITAMINE K EN OVERIGE HAEMOSTATICA</v>
      </c>
      <c r="E542" t="str">
        <f>VLOOKUP($A542,[1]Table!$A$2:$N713,E$1,FALSE)</f>
        <v>FACTOR IX</v>
      </c>
      <c r="F542" t="str">
        <f>VLOOKUP($A542,[1]Table!$A$2:$N713,F$1,FALSE)</f>
        <v>IMMUNINE BAXTER 1200 IE INJPDR + SOLVENS</v>
      </c>
      <c r="G542" t="str">
        <f>VLOOKUP($A542,[1]Table!$A$2:$N713,G$1,FALSE)</f>
        <v>FACTOR IX 1200IE INJPDR</v>
      </c>
      <c r="H542" t="str">
        <f>VLOOKUP($A542,[1]Table!$A$2:$N713,H$1,FALSE)</f>
        <v>poeder voor injectievloeistof</v>
      </c>
      <c r="I542" t="str">
        <f>VLOOKUP($A542,[1]Table!$A$2:$N713,I$1,FALSE)</f>
        <v>iv</v>
      </c>
      <c r="J542">
        <f>VLOOKUP($A542,[1]Table!$A$2:$N713,J$1,FALSE)</f>
        <v>1200</v>
      </c>
      <c r="K542" t="str">
        <f>VLOOKUP($A542,[1]Table!$A$2:$N713,K$1,FALSE)</f>
        <v>IE/stuk</v>
      </c>
      <c r="L542">
        <f>VLOOKUP($A542,[1]Table!$A$2:$N713,L$1,FALSE)</f>
        <v>1200</v>
      </c>
      <c r="M542" t="str">
        <f>VLOOKUP($A542,[1]Table!$A$2:$N713,M$1,FALSE)</f>
        <v>IE</v>
      </c>
      <c r="N542" t="str">
        <f>VLOOKUP($A542,[1]Table!$A$2:$N713,N$1,FALSE)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2" t="str">
        <f>ConcatenateRange(AZ542:BU542,"||")</f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  <c r="BU542" t="str">
        <f t="shared" si="219"/>
        <v/>
      </c>
    </row>
    <row r="543" spans="1:73">
      <c r="A543" s="1">
        <v>73814</v>
      </c>
      <c r="B543" t="str">
        <f>VLOOKUP($A543,[1]Table!$A$2:$N714,B$1,FALSE)</f>
        <v>B02BD02</v>
      </c>
      <c r="C543" t="str">
        <f>VLOOKUP($A543,[1]Table!$A$2:$N714,C$1,FALSE)</f>
        <v>ANTIHAEMORRHAGICA</v>
      </c>
      <c r="D543" t="str">
        <f>VLOOKUP($A543,[1]Table!$A$2:$N714,D$1,FALSE)</f>
        <v>VITAMINE K EN OVERIGE HAEMOSTATICA</v>
      </c>
      <c r="E543" t="str">
        <f>VLOOKUP($A543,[1]Table!$A$2:$N714,E$1,FALSE)</f>
        <v>FACTOR VIII</v>
      </c>
      <c r="F543" t="str">
        <f>VLOOKUP($A543,[1]Table!$A$2:$N714,F$1,FALSE)</f>
        <v>AAFACT CI 500IE INJPD FL+SV (G251)</v>
      </c>
      <c r="G543" t="str">
        <f>VLOOKUP($A543,[1]Table!$A$2:$N714,G$1,FALSE)</f>
        <v>FACTOR VIII CONC 500IE INJP</v>
      </c>
      <c r="H543" t="str">
        <f>VLOOKUP($A543,[1]Table!$A$2:$N714,H$1,FALSE)</f>
        <v>poeder voor injectievloeistof</v>
      </c>
      <c r="I543" t="str">
        <f>VLOOKUP($A543,[1]Table!$A$2:$N714,I$1,FALSE)</f>
        <v>iv</v>
      </c>
      <c r="J543">
        <f>VLOOKUP($A543,[1]Table!$A$2:$N714,J$1,FALSE)</f>
        <v>500</v>
      </c>
      <c r="K543" t="str">
        <f>VLOOKUP($A543,[1]Table!$A$2:$N714,K$1,FALSE)</f>
        <v>IE/stuk</v>
      </c>
      <c r="L543">
        <f>VLOOKUP($A543,[1]Table!$A$2:$N714,L$1,FALSE)</f>
        <v>500</v>
      </c>
      <c r="M543" t="str">
        <f>VLOOKUP($A543,[1]Table!$A$2:$N714,M$1,FALSE)</f>
        <v>IE</v>
      </c>
      <c r="N543" t="str">
        <f>VLOOKUP($A543,[1]Table!$A$2:$N714,N$1,FALSE)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3" t="str">
        <f>ConcatenateRange(AZ543:BU543,"||")</f>
        <v/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  <c r="BU543" t="str">
        <f t="shared" si="219"/>
        <v/>
      </c>
    </row>
    <row r="544" spans="1:73">
      <c r="A544" s="1">
        <v>73822</v>
      </c>
      <c r="B544" t="str">
        <f>VLOOKUP($A544,[1]Table!$A$2:$N715,B$1,FALSE)</f>
        <v>B02BD02</v>
      </c>
      <c r="C544" t="str">
        <f>VLOOKUP($A544,[1]Table!$A$2:$N715,C$1,FALSE)</f>
        <v>ANTIHAEMORRHAGICA</v>
      </c>
      <c r="D544" t="str">
        <f>VLOOKUP($A544,[1]Table!$A$2:$N715,D$1,FALSE)</f>
        <v>VITAMINE K EN OVERIGE HAEMOSTATICA</v>
      </c>
      <c r="E544" t="str">
        <f>VLOOKUP($A544,[1]Table!$A$2:$N715,E$1,FALSE)</f>
        <v>FACTOR VIII</v>
      </c>
      <c r="F544" t="str">
        <f>VLOOKUP($A544,[1]Table!$A$2:$N715,F$1,FALSE)</f>
        <v>AAFACT CI 1000IE INJP FLAC (G252)</v>
      </c>
      <c r="G544" t="str">
        <f>VLOOKUP($A544,[1]Table!$A$2:$N715,G$1,FALSE)</f>
        <v>FACTOR VIII CONC 1000IE INJ</v>
      </c>
      <c r="H544" t="str">
        <f>VLOOKUP($A544,[1]Table!$A$2:$N715,H$1,FALSE)</f>
        <v>poeder voor injectievloeistof</v>
      </c>
      <c r="I544" t="str">
        <f>VLOOKUP($A544,[1]Table!$A$2:$N715,I$1,FALSE)</f>
        <v>iv</v>
      </c>
      <c r="J544">
        <f>VLOOKUP($A544,[1]Table!$A$2:$N715,J$1,FALSE)</f>
        <v>1000</v>
      </c>
      <c r="K544" t="str">
        <f>VLOOKUP($A544,[1]Table!$A$2:$N715,K$1,FALSE)</f>
        <v>IE/stuk</v>
      </c>
      <c r="L544">
        <f>VLOOKUP($A544,[1]Table!$A$2:$N715,L$1,FALSE)</f>
        <v>1000</v>
      </c>
      <c r="M544" t="str">
        <f>VLOOKUP($A544,[1]Table!$A$2:$N715,M$1,FALSE)</f>
        <v>IE</v>
      </c>
      <c r="N544" t="str">
        <f>VLOOKUP($A544,[1]Table!$A$2:$N715,N$1,FALSE)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4" t="str">
        <f>ConcatenateRange(AZ544:BU544,"||")</f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  <c r="BU544" t="str">
        <f t="shared" si="219"/>
        <v/>
      </c>
    </row>
    <row r="545" spans="1:73">
      <c r="A545" s="1">
        <v>97977</v>
      </c>
      <c r="B545" t="str">
        <f>VLOOKUP($A545,[1]Table!$A$2:$N716,B$1,FALSE)</f>
        <v>N03AX10</v>
      </c>
      <c r="C545" t="str">
        <f>VLOOKUP($A545,[1]Table!$A$2:$N716,C$1,FALSE)</f>
        <v>ANTI-EPILEPTICA</v>
      </c>
      <c r="D545" t="str">
        <f>VLOOKUP($A545,[1]Table!$A$2:$N716,D$1,FALSE)</f>
        <v>ANTI-EPILEPTICA</v>
      </c>
      <c r="E545" t="str">
        <f>VLOOKUP($A545,[1]Table!$A$2:$N716,E$1,FALSE)</f>
        <v>FELBAMAAT</v>
      </c>
      <c r="F545" t="str">
        <f>VLOOKUP($A545,[1]Table!$A$2:$N716,F$1,FALSE)</f>
        <v>TALOXA 120 MG/ML SUSPENSIE</v>
      </c>
      <c r="G545" t="str">
        <f>VLOOKUP($A545,[1]Table!$A$2:$N716,G$1,FALSE)</f>
        <v>FELBAMAAT 120MG/ML SUSPENSI</v>
      </c>
      <c r="H545" t="str">
        <f>VLOOKUP($A545,[1]Table!$A$2:$N716,H$1,FALSE)</f>
        <v>suspensie voor oraal gebruik</v>
      </c>
      <c r="I545" t="str">
        <f>VLOOKUP($A545,[1]Table!$A$2:$N716,I$1,FALSE)</f>
        <v>or</v>
      </c>
      <c r="J545">
        <f>VLOOKUP($A545,[1]Table!$A$2:$N716,J$1,FALSE)</f>
        <v>120</v>
      </c>
      <c r="K545" t="str">
        <f>VLOOKUP($A545,[1]Table!$A$2:$N716,K$1,FALSE)</f>
        <v>mg/ml</v>
      </c>
      <c r="L545">
        <f>VLOOKUP($A545,[1]Table!$A$2:$N716,L$1,FALSE)</f>
        <v>120</v>
      </c>
      <c r="M545" t="str">
        <f>VLOOKUP($A545,[1]Table!$A$2:$N716,M$1,FALSE)</f>
        <v>mg</v>
      </c>
      <c r="N545" t="str">
        <f>VLOOKUP($A545,[1]Table!$A$2:$N716,N$1,FALSE)</f>
        <v>Syndroom van Lennox-Gastault, niet reagerend op andere anti-epileptica</v>
      </c>
      <c r="O545" t="str">
        <f>ConcatenateRange(AZ545:BU545,"||")</f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  <c r="BU545" t="str">
        <f t="shared" si="219"/>
        <v/>
      </c>
    </row>
    <row r="546" spans="1:73">
      <c r="A546" s="1">
        <v>97969</v>
      </c>
      <c r="B546" t="str">
        <f>VLOOKUP($A546,[1]Table!$A$2:$N717,B$1,FALSE)</f>
        <v>N03AX10</v>
      </c>
      <c r="C546" t="str">
        <f>VLOOKUP($A546,[1]Table!$A$2:$N717,C$1,FALSE)</f>
        <v>ANTI-EPILEPTICA</v>
      </c>
      <c r="D546" t="str">
        <f>VLOOKUP($A546,[1]Table!$A$2:$N717,D$1,FALSE)</f>
        <v>ANTI-EPILEPTICA</v>
      </c>
      <c r="E546" t="str">
        <f>VLOOKUP($A546,[1]Table!$A$2:$N717,E$1,FALSE)</f>
        <v>FELBAMAAT</v>
      </c>
      <c r="F546" t="str">
        <f>VLOOKUP($A546,[1]Table!$A$2:$N717,F$1,FALSE)</f>
        <v>TALOXA 600 MG TABLET</v>
      </c>
      <c r="G546" t="str">
        <f>VLOOKUP($A546,[1]Table!$A$2:$N717,G$1,FALSE)</f>
        <v>FELBAMAAT 600MG TABLET</v>
      </c>
      <c r="H546" t="str">
        <f>VLOOKUP($A546,[1]Table!$A$2:$N717,H$1,FALSE)</f>
        <v>tablet</v>
      </c>
      <c r="I546" t="str">
        <f>VLOOKUP($A546,[1]Table!$A$2:$N717,I$1,FALSE)</f>
        <v>or</v>
      </c>
      <c r="J546">
        <f>VLOOKUP($A546,[1]Table!$A$2:$N717,J$1,FALSE)</f>
        <v>600</v>
      </c>
      <c r="K546" t="str">
        <f>VLOOKUP($A546,[1]Table!$A$2:$N717,K$1,FALSE)</f>
        <v>mg/stuk</v>
      </c>
      <c r="L546">
        <f>VLOOKUP($A546,[1]Table!$A$2:$N717,L$1,FALSE)</f>
        <v>600</v>
      </c>
      <c r="M546" t="str">
        <f>VLOOKUP($A546,[1]Table!$A$2:$N717,M$1,FALSE)</f>
        <v>mg</v>
      </c>
      <c r="N546" t="str">
        <f>VLOOKUP($A546,[1]Table!$A$2:$N717,N$1,FALSE)</f>
        <v>Syndroom van Lennox-Gastault, niet reagerend op andere anti-epileptica</v>
      </c>
      <c r="O546" t="str">
        <f>ConcatenateRange(AZ546:BU546,"||")</f>
        <v/>
      </c>
      <c r="AZ546" t="str">
        <f t="shared" ref="AZ546:AZ608" si="220">IF(AA546&lt;&gt;0,AA$2,"")</f>
        <v/>
      </c>
      <c r="BA546" t="str">
        <f t="shared" ref="BA546:BA608" si="221">IF(AB546&lt;&gt;0,AB$2,"")</f>
        <v/>
      </c>
      <c r="BB546" t="str">
        <f t="shared" ref="BB546:BB608" si="222">IF(AC546&lt;&gt;0,AC$2,"")</f>
        <v/>
      </c>
      <c r="BC546" t="str">
        <f t="shared" ref="BC546:BC608" si="223">IF(AD546&lt;&gt;0,AD$2,"")</f>
        <v/>
      </c>
      <c r="BD546" t="str">
        <f t="shared" ref="BD546:BD608" si="224">IF(AE546&lt;&gt;0,AE$2,"")</f>
        <v/>
      </c>
      <c r="BE546" t="str">
        <f t="shared" ref="BE546:BE608" si="225">IF(AF546&lt;&gt;0,AF$2,"")</f>
        <v/>
      </c>
      <c r="BF546" t="str">
        <f t="shared" ref="BF546:BF608" si="226">IF(AG546&lt;&gt;0,AG$2,"")</f>
        <v/>
      </c>
      <c r="BG546" t="str">
        <f t="shared" ref="BG546:BG608" si="227">IF(AH546&lt;&gt;0,AH$2,"")</f>
        <v/>
      </c>
      <c r="BH546" t="str">
        <f t="shared" ref="BH546:BH608" si="228">IF(AI546&lt;&gt;0,AI$2,"")</f>
        <v/>
      </c>
      <c r="BI546" t="str">
        <f t="shared" ref="BI546:BI608" si="229">IF(AJ546&lt;&gt;0,AJ$2,"")</f>
        <v/>
      </c>
      <c r="BJ546" t="str">
        <f t="shared" ref="BJ546:BJ608" si="230">IF(AK546&lt;&gt;0,AK$2,"")</f>
        <v/>
      </c>
      <c r="BK546" t="str">
        <f t="shared" ref="BK546:BK608" si="231">IF(AL546&lt;&gt;0,AL$2,"")</f>
        <v/>
      </c>
      <c r="BL546" t="str">
        <f t="shared" ref="BL546:BL608" si="232">IF(AM546&lt;&gt;0,AM$2,"")</f>
        <v/>
      </c>
      <c r="BM546" t="str">
        <f t="shared" ref="BM546:BM608" si="233">IF(AN546&lt;&gt;0,AN$2,"")</f>
        <v/>
      </c>
      <c r="BN546" t="str">
        <f t="shared" ref="BN546:BN608" si="234">IF(AO546&lt;&gt;0,AO$2,"")</f>
        <v/>
      </c>
      <c r="BO546" t="str">
        <f t="shared" ref="BO546:BO608" si="235">IF(AP546&lt;&gt;0,AP$2,"")</f>
        <v/>
      </c>
      <c r="BP546" t="str">
        <f t="shared" ref="BP546:BP608" si="236">IF(AQ546&lt;&gt;0,AQ$2,"")</f>
        <v/>
      </c>
      <c r="BQ546" t="str">
        <f t="shared" ref="BQ546:BQ608" si="237">IF(AR546&lt;&gt;0,AR$2,"")</f>
        <v/>
      </c>
      <c r="BR546" t="str">
        <f t="shared" ref="BR546:BR608" si="238">IF(AS546&lt;&gt;0,AS$2,"")</f>
        <v/>
      </c>
      <c r="BS546" t="str">
        <f t="shared" ref="BS546:BS608" si="239">IF(AT546&lt;&gt;0,AT$2,"")</f>
        <v/>
      </c>
      <c r="BT546" t="str">
        <f t="shared" ref="BT546:BT608" si="240">IF(AU546&lt;&gt;0,AU$2,"")</f>
        <v/>
      </c>
      <c r="BU546" t="str">
        <f t="shared" ref="BU546:BU608" si="241">IF(AV546&lt;&gt;0,AV$2,"")</f>
        <v/>
      </c>
    </row>
    <row r="547" spans="1:73">
      <c r="A547" s="1">
        <v>13137</v>
      </c>
      <c r="B547" t="str">
        <f>VLOOKUP($A547,[1]Table!$A$2:$N718,B$1,FALSE)</f>
        <v>J01CE05</v>
      </c>
      <c r="C547" t="str">
        <f>VLOOKUP($A547,[1]Table!$A$2:$N718,C$1,FALSE)</f>
        <v>ANTIBACTERIELE MIDDELEN VOOR SYSTEMISCH GEBRUIK</v>
      </c>
      <c r="D547" t="str">
        <f>VLOOKUP($A547,[1]Table!$A$2:$N718,D$1,FALSE)</f>
        <v>BETALACTAM-ANTIBIOTICA, PENICILLINES</v>
      </c>
      <c r="E547" t="str">
        <f>VLOOKUP($A547,[1]Table!$A$2:$N718,E$1,FALSE)</f>
        <v>FENETICILLINE</v>
      </c>
      <c r="F547" t="str">
        <f>VLOOKUP($A547,[1]Table!$A$2:$N718,F$1,FALSE)</f>
        <v>BROXIL 250 MG CAPSULE</v>
      </c>
      <c r="G547" t="str">
        <f>VLOOKUP($A547,[1]Table!$A$2:$N718,G$1,FALSE)</f>
        <v>FENETICILLINE 250MG CAPSULE</v>
      </c>
      <c r="H547" t="str">
        <f>VLOOKUP($A547,[1]Table!$A$2:$N718,H$1,FALSE)</f>
        <v>capsule</v>
      </c>
      <c r="I547" t="str">
        <f>VLOOKUP($A547,[1]Table!$A$2:$N718,I$1,FALSE)</f>
        <v>or</v>
      </c>
      <c r="J547">
        <f>VLOOKUP($A547,[1]Table!$A$2:$N718,J$1,FALSE)</f>
        <v>250</v>
      </c>
      <c r="K547" t="str">
        <f>VLOOKUP($A547,[1]Table!$A$2:$N718,K$1,FALSE)</f>
        <v>mg/stuk</v>
      </c>
      <c r="L547">
        <f>VLOOKUP($A547,[1]Table!$A$2:$N718,L$1,FALSE)</f>
        <v>250</v>
      </c>
      <c r="M547" t="str">
        <f>VLOOKUP($A547,[1]Table!$A$2:$N718,M$1,FALSE)</f>
        <v>mg</v>
      </c>
      <c r="N547" t="str">
        <f>VLOOKUP($A547,[1]Table!$A$2:$N718,N$1,FALSE)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7" t="str">
        <f>ConcatenateRange(AZ547:BU547,"||")</f>
        <v/>
      </c>
      <c r="AZ547" t="str">
        <f t="shared" si="220"/>
        <v/>
      </c>
      <c r="BA547" t="str">
        <f t="shared" si="221"/>
        <v/>
      </c>
      <c r="BB547" t="str">
        <f t="shared" si="222"/>
        <v/>
      </c>
      <c r="BC547" t="str">
        <f t="shared" si="223"/>
        <v/>
      </c>
      <c r="BD547" t="str">
        <f t="shared" si="224"/>
        <v/>
      </c>
      <c r="BE547" t="str">
        <f t="shared" si="225"/>
        <v/>
      </c>
      <c r="BF547" t="str">
        <f t="shared" si="226"/>
        <v/>
      </c>
      <c r="BG547" t="str">
        <f t="shared" si="227"/>
        <v/>
      </c>
      <c r="BH547" t="str">
        <f t="shared" si="228"/>
        <v/>
      </c>
      <c r="BI547" t="str">
        <f t="shared" si="229"/>
        <v/>
      </c>
      <c r="BJ547" t="str">
        <f t="shared" si="230"/>
        <v/>
      </c>
      <c r="BK547" t="str">
        <f t="shared" si="231"/>
        <v/>
      </c>
      <c r="BL547" t="str">
        <f t="shared" si="232"/>
        <v/>
      </c>
      <c r="BM547" t="str">
        <f t="shared" si="233"/>
        <v/>
      </c>
      <c r="BN547" t="str">
        <f t="shared" si="234"/>
        <v/>
      </c>
      <c r="BO547" t="str">
        <f t="shared" si="235"/>
        <v/>
      </c>
      <c r="BP547" t="str">
        <f t="shared" si="236"/>
        <v/>
      </c>
      <c r="BQ547" t="str">
        <f t="shared" si="237"/>
        <v/>
      </c>
      <c r="BR547" t="str">
        <f t="shared" si="238"/>
        <v/>
      </c>
      <c r="BS547" t="str">
        <f t="shared" si="239"/>
        <v/>
      </c>
      <c r="BT547" t="str">
        <f t="shared" si="240"/>
        <v/>
      </c>
      <c r="BU547" t="str">
        <f t="shared" si="241"/>
        <v/>
      </c>
    </row>
    <row r="548" spans="1:73">
      <c r="A548" s="1">
        <v>41092</v>
      </c>
      <c r="B548" t="str">
        <f>VLOOKUP($A548,[1]Table!$A$2:$N719,B$1,FALSE)</f>
        <v>J01CE05</v>
      </c>
      <c r="C548" t="str">
        <f>VLOOKUP($A548,[1]Table!$A$2:$N719,C$1,FALSE)</f>
        <v>ANTIBACTERIELE MIDDELEN VOOR SYSTEMISCH GEBRUIK</v>
      </c>
      <c r="D548" t="str">
        <f>VLOOKUP($A548,[1]Table!$A$2:$N719,D$1,FALSE)</f>
        <v>BETALACTAM-ANTIBIOTICA, PENICILLINES</v>
      </c>
      <c r="E548" t="str">
        <f>VLOOKUP($A548,[1]Table!$A$2:$N719,E$1,FALSE)</f>
        <v>FENETICILLINE</v>
      </c>
      <c r="F548" t="str">
        <f>VLOOKUP($A548,[1]Table!$A$2:$N719,F$1,FALSE)</f>
        <v>BROXIL 500 MG CAPSULE</v>
      </c>
      <c r="G548" t="str">
        <f>VLOOKUP($A548,[1]Table!$A$2:$N719,G$1,FALSE)</f>
        <v>FENETICILLINE 500MG CAPSULE</v>
      </c>
      <c r="H548" t="str">
        <f>VLOOKUP($A548,[1]Table!$A$2:$N719,H$1,FALSE)</f>
        <v>capsule</v>
      </c>
      <c r="I548" t="str">
        <f>VLOOKUP($A548,[1]Table!$A$2:$N719,I$1,FALSE)</f>
        <v>or</v>
      </c>
      <c r="J548">
        <f>VLOOKUP($A548,[1]Table!$A$2:$N719,J$1,FALSE)</f>
        <v>500</v>
      </c>
      <c r="K548" t="str">
        <f>VLOOKUP($A548,[1]Table!$A$2:$N719,K$1,FALSE)</f>
        <v>mg/stuk</v>
      </c>
      <c r="L548">
        <f>VLOOKUP($A548,[1]Table!$A$2:$N719,L$1,FALSE)</f>
        <v>500</v>
      </c>
      <c r="M548" t="str">
        <f>VLOOKUP($A548,[1]Table!$A$2:$N719,M$1,FALSE)</f>
        <v>mg</v>
      </c>
      <c r="N548" t="str">
        <f>VLOOKUP($A548,[1]Table!$A$2:$N719,N$1,FALSE)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8" t="str">
        <f>ConcatenateRange(AZ548:BU548,"||")</f>
        <v/>
      </c>
      <c r="AZ548" t="str">
        <f t="shared" si="220"/>
        <v/>
      </c>
      <c r="BA548" t="str">
        <f t="shared" si="221"/>
        <v/>
      </c>
      <c r="BB548" t="str">
        <f t="shared" si="222"/>
        <v/>
      </c>
      <c r="BC548" t="str">
        <f t="shared" si="223"/>
        <v/>
      </c>
      <c r="BD548" t="str">
        <f t="shared" si="224"/>
        <v/>
      </c>
      <c r="BE548" t="str">
        <f t="shared" si="225"/>
        <v/>
      </c>
      <c r="BF548" t="str">
        <f t="shared" si="226"/>
        <v/>
      </c>
      <c r="BG548" t="str">
        <f t="shared" si="227"/>
        <v/>
      </c>
      <c r="BH548" t="str">
        <f t="shared" si="228"/>
        <v/>
      </c>
      <c r="BI548" t="str">
        <f t="shared" si="229"/>
        <v/>
      </c>
      <c r="BJ548" t="str">
        <f t="shared" si="230"/>
        <v/>
      </c>
      <c r="BK548" t="str">
        <f t="shared" si="231"/>
        <v/>
      </c>
      <c r="BL548" t="str">
        <f t="shared" si="232"/>
        <v/>
      </c>
      <c r="BM548" t="str">
        <f t="shared" si="233"/>
        <v/>
      </c>
      <c r="BN548" t="str">
        <f t="shared" si="234"/>
        <v/>
      </c>
      <c r="BO548" t="str">
        <f t="shared" si="235"/>
        <v/>
      </c>
      <c r="BP548" t="str">
        <f t="shared" si="236"/>
        <v/>
      </c>
      <c r="BQ548" t="str">
        <f t="shared" si="237"/>
        <v/>
      </c>
      <c r="BR548" t="str">
        <f t="shared" si="238"/>
        <v/>
      </c>
      <c r="BS548" t="str">
        <f t="shared" si="239"/>
        <v/>
      </c>
      <c r="BT548" t="str">
        <f t="shared" si="240"/>
        <v/>
      </c>
      <c r="BU548" t="str">
        <f t="shared" si="241"/>
        <v/>
      </c>
    </row>
    <row r="549" spans="1:73">
      <c r="A549" s="1">
        <v>13196</v>
      </c>
      <c r="B549" t="str">
        <f>VLOOKUP($A549,[1]Table!$A$2:$N720,B$1,FALSE)</f>
        <v>J01CE05</v>
      </c>
      <c r="C549" t="str">
        <f>VLOOKUP($A549,[1]Table!$A$2:$N720,C$1,FALSE)</f>
        <v>ANTIBACTERIELE MIDDELEN VOOR SYSTEMISCH GEBRUIK</v>
      </c>
      <c r="D549" t="str">
        <f>VLOOKUP($A549,[1]Table!$A$2:$N720,D$1,FALSE)</f>
        <v>BETALACTAM-ANTIBIOTICA, PENICILLINES</v>
      </c>
      <c r="E549" t="str">
        <f>VLOOKUP($A549,[1]Table!$A$2:$N720,E$1,FALSE)</f>
        <v>FENETICILLINE</v>
      </c>
      <c r="F549" t="str">
        <f>VLOOKUP($A549,[1]Table!$A$2:$N720,F$1,FALSE)</f>
        <v>BROXIL 25 MG/ML SUSPENSIE 100 ML</v>
      </c>
      <c r="G549" t="str">
        <f>VLOOKUP($A549,[1]Table!$A$2:$N720,G$1,FALSE)</f>
        <v>FENETICILLIN 25MG/ML STROOP</v>
      </c>
      <c r="H549" t="str">
        <f>VLOOKUP($A549,[1]Table!$A$2:$N720,H$1,FALSE)</f>
        <v>stroop</v>
      </c>
      <c r="I549" t="str">
        <f>VLOOKUP($A549,[1]Table!$A$2:$N720,I$1,FALSE)</f>
        <v>or</v>
      </c>
      <c r="J549">
        <f>VLOOKUP($A549,[1]Table!$A$2:$N720,J$1,FALSE)</f>
        <v>25</v>
      </c>
      <c r="K549" t="str">
        <f>VLOOKUP($A549,[1]Table!$A$2:$N720,K$1,FALSE)</f>
        <v>mg/ml</v>
      </c>
      <c r="L549">
        <f>VLOOKUP($A549,[1]Table!$A$2:$N720,L$1,FALSE)</f>
        <v>25</v>
      </c>
      <c r="M549" t="str">
        <f>VLOOKUP($A549,[1]Table!$A$2:$N720,M$1,FALSE)</f>
        <v>mg</v>
      </c>
      <c r="N549" t="str">
        <f>VLOOKUP($A549,[1]Table!$A$2:$N720,N$1,FALSE)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9" t="str">
        <f>ConcatenateRange(AZ549:BU549,"||")</f>
        <v/>
      </c>
      <c r="AZ549" t="str">
        <f t="shared" si="220"/>
        <v/>
      </c>
      <c r="BA549" t="str">
        <f t="shared" si="221"/>
        <v/>
      </c>
      <c r="BB549" t="str">
        <f t="shared" si="222"/>
        <v/>
      </c>
      <c r="BC549" t="str">
        <f t="shared" si="223"/>
        <v/>
      </c>
      <c r="BD549" t="str">
        <f t="shared" si="224"/>
        <v/>
      </c>
      <c r="BE549" t="str">
        <f t="shared" si="225"/>
        <v/>
      </c>
      <c r="BF549" t="str">
        <f t="shared" si="226"/>
        <v/>
      </c>
      <c r="BG549" t="str">
        <f t="shared" si="227"/>
        <v/>
      </c>
      <c r="BH549" t="str">
        <f t="shared" si="228"/>
        <v/>
      </c>
      <c r="BI549" t="str">
        <f t="shared" si="229"/>
        <v/>
      </c>
      <c r="BJ549" t="str">
        <f t="shared" si="230"/>
        <v/>
      </c>
      <c r="BK549" t="str">
        <f t="shared" si="231"/>
        <v/>
      </c>
      <c r="BL549" t="str">
        <f t="shared" si="232"/>
        <v/>
      </c>
      <c r="BM549" t="str">
        <f t="shared" si="233"/>
        <v/>
      </c>
      <c r="BN549" t="str">
        <f t="shared" si="234"/>
        <v/>
      </c>
      <c r="BO549" t="str">
        <f t="shared" si="235"/>
        <v/>
      </c>
      <c r="BP549" t="str">
        <f t="shared" si="236"/>
        <v/>
      </c>
      <c r="BQ549" t="str">
        <f t="shared" si="237"/>
        <v/>
      </c>
      <c r="BR549" t="str">
        <f t="shared" si="238"/>
        <v/>
      </c>
      <c r="BS549" t="str">
        <f t="shared" si="239"/>
        <v/>
      </c>
      <c r="BT549" t="str">
        <f t="shared" si="240"/>
        <v/>
      </c>
      <c r="BU549" t="str">
        <f t="shared" si="241"/>
        <v/>
      </c>
    </row>
    <row r="550" spans="1:73">
      <c r="A550" s="16">
        <v>98080717</v>
      </c>
      <c r="B550" t="str">
        <f>VLOOKUP($A550,[1]Table!$A$2:$N1713,B$1,FALSE)</f>
        <v>N03AA02</v>
      </c>
      <c r="C550" t="str">
        <f>VLOOKUP($A550,[1]Table!$A$2:$N1713,C$1,FALSE)</f>
        <v>ANTI-EPILEPTICA</v>
      </c>
      <c r="D550" t="str">
        <f>VLOOKUP($A550,[1]Table!$A$2:$N1713,D$1,FALSE)</f>
        <v>ANTI-EPILEPTICA</v>
      </c>
      <c r="E550" t="s">
        <v>101</v>
      </c>
      <c r="F550" t="str">
        <f>VLOOKUP($A550,[1]Table!$A$2:$N1713,F$1,FALSE)</f>
        <v>FENOBARBITAL 20 MG = 1 ML INFCONC AMPUL</v>
      </c>
      <c r="G550" t="str">
        <f>VLOOKUP($A550,[1]Table!$A$2:$N1713,G$1,FALSE)</f>
        <v>FENOBARBITAL INFCONC 20MG/M</v>
      </c>
      <c r="H550" t="str">
        <f>VLOOKUP($A550,[1]Table!$A$2:$N1713,H$1,FALSE)</f>
        <v>infusievloeistof</v>
      </c>
      <c r="I550" t="str">
        <f>VLOOKUP($A550,[1]Table!$A$2:$N1713,I$1,FALSE)</f>
        <v>iv</v>
      </c>
      <c r="J550">
        <f>VLOOKUP($A550,[1]Table!$A$2:$N1713,J$1,FALSE)</f>
        <v>100</v>
      </c>
      <c r="K550" t="str">
        <f>VLOOKUP($A550,[1]Table!$A$2:$N1713,K$1,FALSE)</f>
        <v>mg/ml</v>
      </c>
      <c r="L550">
        <f>VLOOKUP($A550,[1]Table!$A$2:$N1713,L$1,FALSE)</f>
        <v>100</v>
      </c>
      <c r="M550" t="str">
        <f>VLOOKUP($A550,[1]Table!$A$2:$N1713,M$1,FALSE)</f>
        <v>mg</v>
      </c>
      <c r="N550" t="str">
        <f>VLOOKUP($A550,[1]Table!$A$2:$N1713,N$1,FALSE)</f>
        <v>Persisterende status epilepticus bij overgevoeligheid voor fenytoine||Epilepsie (alle aanvallen), onderhoud na neonatale convulsies /status epilepticus||Neonatale epileptische aanvallen</v>
      </c>
      <c r="AZ550" t="str">
        <f t="shared" si="220"/>
        <v/>
      </c>
      <c r="BA550" t="str">
        <f t="shared" si="221"/>
        <v/>
      </c>
      <c r="BB550" t="str">
        <f t="shared" si="222"/>
        <v/>
      </c>
      <c r="BC550" t="str">
        <f t="shared" si="223"/>
        <v/>
      </c>
      <c r="BD550" t="str">
        <f t="shared" si="224"/>
        <v/>
      </c>
      <c r="BE550" t="str">
        <f t="shared" si="225"/>
        <v/>
      </c>
      <c r="BF550" t="str">
        <f t="shared" si="226"/>
        <v/>
      </c>
      <c r="BG550" t="str">
        <f t="shared" si="227"/>
        <v/>
      </c>
      <c r="BH550" t="str">
        <f t="shared" si="228"/>
        <v/>
      </c>
      <c r="BI550" t="str">
        <f t="shared" si="229"/>
        <v/>
      </c>
      <c r="BJ550" t="str">
        <f t="shared" si="230"/>
        <v/>
      </c>
      <c r="BK550" t="str">
        <f t="shared" si="231"/>
        <v/>
      </c>
      <c r="BL550" t="str">
        <f t="shared" si="232"/>
        <v/>
      </c>
      <c r="BM550" t="str">
        <f t="shared" si="233"/>
        <v/>
      </c>
      <c r="BN550" t="str">
        <f t="shared" si="234"/>
        <v/>
      </c>
      <c r="BO550" t="str">
        <f t="shared" si="235"/>
        <v/>
      </c>
      <c r="BP550" t="str">
        <f t="shared" si="236"/>
        <v/>
      </c>
      <c r="BQ550" t="str">
        <f t="shared" si="237"/>
        <v/>
      </c>
      <c r="BR550" t="str">
        <f t="shared" si="238"/>
        <v/>
      </c>
      <c r="BS550" t="str">
        <f t="shared" si="239"/>
        <v/>
      </c>
      <c r="BT550" t="str">
        <f t="shared" si="240"/>
        <v/>
      </c>
      <c r="BU550" t="str">
        <f t="shared" si="241"/>
        <v/>
      </c>
    </row>
    <row r="551" spans="1:73">
      <c r="A551" s="1">
        <v>23671</v>
      </c>
      <c r="B551" t="str">
        <f>VLOOKUP($A551,[1]Table!$A$2:$N722,B$1,FALSE)</f>
        <v>N03AA02</v>
      </c>
      <c r="C551" t="str">
        <f>VLOOKUP($A551,[1]Table!$A$2:$N722,C$1,FALSE)</f>
        <v>ANTI-EPILEPTICA</v>
      </c>
      <c r="D551" t="str">
        <f>VLOOKUP($A551,[1]Table!$A$2:$N722,D$1,FALSE)</f>
        <v>ANTI-EPILEPTICA</v>
      </c>
      <c r="E551" t="str">
        <f>VLOOKUP($A551,[1]Table!$A$2:$N722,E$1,FALSE)</f>
        <v>FENOBARBITAL</v>
      </c>
      <c r="F551" t="str">
        <f>VLOOKUP($A551,[1]Table!$A$2:$N722,F$1,FALSE)</f>
        <v>FENOBARBITAL  25 MG TABLET</v>
      </c>
      <c r="G551" t="str">
        <f>VLOOKUP($A551,[1]Table!$A$2:$N722,G$1,FALSE)</f>
        <v>FENOBARBITAL 25MG TABLET</v>
      </c>
      <c r="H551" t="str">
        <f>VLOOKUP($A551,[1]Table!$A$2:$N722,H$1,FALSE)</f>
        <v>tablet</v>
      </c>
      <c r="I551" t="str">
        <f>VLOOKUP($A551,[1]Table!$A$2:$N722,I$1,FALSE)</f>
        <v>or</v>
      </c>
      <c r="J551">
        <f>VLOOKUP($A551,[1]Table!$A$2:$N722,J$1,FALSE)</f>
        <v>25</v>
      </c>
      <c r="K551" t="str">
        <f>VLOOKUP($A551,[1]Table!$A$2:$N722,K$1,FALSE)</f>
        <v>mg/stuk</v>
      </c>
      <c r="L551">
        <f>VLOOKUP($A551,[1]Table!$A$2:$N722,L$1,FALSE)</f>
        <v>25</v>
      </c>
      <c r="M551" t="str">
        <f>VLOOKUP($A551,[1]Table!$A$2:$N722,M$1,FALSE)</f>
        <v>mg</v>
      </c>
      <c r="N551" t="str">
        <f>VLOOKUP($A551,[1]Table!$A$2:$N722,N$1,FALSE)</f>
        <v>Persisterende status epilepticus bij overgevoeligheid voor fenytoine||Epilepsie (alle aanvallen), onderhoud na neonatale convulsies /status epilepticus||Neonatale epileptische aanvallen</v>
      </c>
      <c r="O551" t="str">
        <f>ConcatenateRange(AZ551:BU551,"||")</f>
        <v/>
      </c>
      <c r="R551" s="11"/>
      <c r="S551" s="11"/>
      <c r="U551" s="11"/>
      <c r="V551" s="11"/>
      <c r="AZ551" t="str">
        <f t="shared" si="220"/>
        <v/>
      </c>
      <c r="BA551" t="str">
        <f t="shared" si="221"/>
        <v/>
      </c>
      <c r="BB551" t="str">
        <f t="shared" si="222"/>
        <v/>
      </c>
      <c r="BC551" t="str">
        <f t="shared" si="223"/>
        <v/>
      </c>
      <c r="BD551" t="str">
        <f t="shared" si="224"/>
        <v/>
      </c>
      <c r="BE551" t="str">
        <f t="shared" si="225"/>
        <v/>
      </c>
      <c r="BF551" t="str">
        <f t="shared" si="226"/>
        <v/>
      </c>
      <c r="BG551" t="str">
        <f t="shared" si="227"/>
        <v/>
      </c>
      <c r="BH551" t="str">
        <f t="shared" si="228"/>
        <v/>
      </c>
      <c r="BI551" t="str">
        <f t="shared" si="229"/>
        <v/>
      </c>
      <c r="BJ551" t="str">
        <f t="shared" si="230"/>
        <v/>
      </c>
      <c r="BK551" t="str">
        <f t="shared" si="231"/>
        <v/>
      </c>
      <c r="BL551" t="str">
        <f t="shared" si="232"/>
        <v/>
      </c>
      <c r="BM551" t="str">
        <f t="shared" si="233"/>
        <v/>
      </c>
      <c r="BN551" t="str">
        <f t="shared" si="234"/>
        <v/>
      </c>
      <c r="BO551" t="str">
        <f t="shared" si="235"/>
        <v/>
      </c>
      <c r="BP551" t="str">
        <f t="shared" si="236"/>
        <v/>
      </c>
      <c r="BQ551" t="str">
        <f t="shared" si="237"/>
        <v/>
      </c>
      <c r="BR551" t="str">
        <f t="shared" si="238"/>
        <v/>
      </c>
      <c r="BS551" t="str">
        <f t="shared" si="239"/>
        <v/>
      </c>
      <c r="BT551" t="str">
        <f t="shared" si="240"/>
        <v/>
      </c>
      <c r="BU551" t="str">
        <f t="shared" si="241"/>
        <v/>
      </c>
    </row>
    <row r="552" spans="1:73">
      <c r="A552" s="1">
        <v>23728</v>
      </c>
      <c r="B552" t="str">
        <f>VLOOKUP($A552,[1]Table!$A$2:$N723,B$1,FALSE)</f>
        <v>N03AA02</v>
      </c>
      <c r="C552" t="str">
        <f>VLOOKUP($A552,[1]Table!$A$2:$N723,C$1,FALSE)</f>
        <v>ANTI-EPILEPTICA</v>
      </c>
      <c r="D552" t="str">
        <f>VLOOKUP($A552,[1]Table!$A$2:$N723,D$1,FALSE)</f>
        <v>ANTI-EPILEPTICA</v>
      </c>
      <c r="E552" t="str">
        <f>VLOOKUP($A552,[1]Table!$A$2:$N723,E$1,FALSE)</f>
        <v>FENOBARBITAL</v>
      </c>
      <c r="F552" t="str">
        <f>VLOOKUP($A552,[1]Table!$A$2:$N723,F$1,FALSE)</f>
        <v>FENOBARBITAL 50 MG TABLET</v>
      </c>
      <c r="G552" t="str">
        <f>VLOOKUP($A552,[1]Table!$A$2:$N723,G$1,FALSE)</f>
        <v>FENOBARBITAL 50MG TABLET</v>
      </c>
      <c r="H552" t="str">
        <f>VLOOKUP($A552,[1]Table!$A$2:$N723,H$1,FALSE)</f>
        <v>tablet</v>
      </c>
      <c r="I552" t="str">
        <f>VLOOKUP($A552,[1]Table!$A$2:$N723,I$1,FALSE)</f>
        <v>or</v>
      </c>
      <c r="J552">
        <f>VLOOKUP($A552,[1]Table!$A$2:$N723,J$1,FALSE)</f>
        <v>50</v>
      </c>
      <c r="K552" t="str">
        <f>VLOOKUP($A552,[1]Table!$A$2:$N723,K$1,FALSE)</f>
        <v>mg/stuk</v>
      </c>
      <c r="L552">
        <f>VLOOKUP($A552,[1]Table!$A$2:$N723,L$1,FALSE)</f>
        <v>25</v>
      </c>
      <c r="M552" t="str">
        <f>VLOOKUP($A552,[1]Table!$A$2:$N723,M$1,FALSE)</f>
        <v>mg</v>
      </c>
      <c r="N552" t="str">
        <f>VLOOKUP($A552,[1]Table!$A$2:$N723,N$1,FALSE)</f>
        <v>Persisterende status epilepticus bij overgevoeligheid voor fenytoine||Epilepsie (alle aanvallen), onderhoud na neonatale convulsies /status epilepticus||Neonatale epileptische aanvallen</v>
      </c>
      <c r="O552" t="str">
        <f>ConcatenateRange(AZ552:BU552,"||")</f>
        <v/>
      </c>
      <c r="R552" s="13"/>
      <c r="S552" s="13"/>
      <c r="U552" s="13"/>
      <c r="V552" s="13"/>
      <c r="AZ552" t="str">
        <f t="shared" si="220"/>
        <v/>
      </c>
      <c r="BA552" t="str">
        <f t="shared" si="221"/>
        <v/>
      </c>
      <c r="BB552" t="str">
        <f t="shared" si="222"/>
        <v/>
      </c>
      <c r="BC552" t="str">
        <f t="shared" si="223"/>
        <v/>
      </c>
      <c r="BD552" t="str">
        <f t="shared" si="224"/>
        <v/>
      </c>
      <c r="BE552" t="str">
        <f t="shared" si="225"/>
        <v/>
      </c>
      <c r="BF552" t="str">
        <f t="shared" si="226"/>
        <v/>
      </c>
      <c r="BG552" t="str">
        <f t="shared" si="227"/>
        <v/>
      </c>
      <c r="BH552" t="str">
        <f t="shared" si="228"/>
        <v/>
      </c>
      <c r="BI552" t="str">
        <f t="shared" si="229"/>
        <v/>
      </c>
      <c r="BJ552" t="str">
        <f t="shared" si="230"/>
        <v/>
      </c>
      <c r="BK552" t="str">
        <f t="shared" si="231"/>
        <v/>
      </c>
      <c r="BL552" t="str">
        <f t="shared" si="232"/>
        <v/>
      </c>
      <c r="BM552" t="str">
        <f t="shared" si="233"/>
        <v/>
      </c>
      <c r="BN552" t="str">
        <f t="shared" si="234"/>
        <v/>
      </c>
      <c r="BO552" t="str">
        <f t="shared" si="235"/>
        <v/>
      </c>
      <c r="BP552" t="str">
        <f t="shared" si="236"/>
        <v/>
      </c>
      <c r="BQ552" t="str">
        <f t="shared" si="237"/>
        <v/>
      </c>
      <c r="BR552" t="str">
        <f t="shared" si="238"/>
        <v/>
      </c>
      <c r="BS552" t="str">
        <f t="shared" si="239"/>
        <v/>
      </c>
      <c r="BT552" t="str">
        <f t="shared" si="240"/>
        <v/>
      </c>
      <c r="BU552" t="str">
        <f t="shared" si="241"/>
        <v/>
      </c>
    </row>
    <row r="553" spans="1:73">
      <c r="A553" s="1">
        <v>23744</v>
      </c>
      <c r="B553" t="str">
        <f>VLOOKUP($A553,[1]Table!$A$2:$N724,B$1,FALSE)</f>
        <v>N03AA02</v>
      </c>
      <c r="C553" t="str">
        <f>VLOOKUP($A553,[1]Table!$A$2:$N724,C$1,FALSE)</f>
        <v>ANTI-EPILEPTICA</v>
      </c>
      <c r="D553" t="str">
        <f>VLOOKUP($A553,[1]Table!$A$2:$N724,D$1,FALSE)</f>
        <v>ANTI-EPILEPTICA</v>
      </c>
      <c r="E553" t="str">
        <f>VLOOKUP($A553,[1]Table!$A$2:$N724,E$1,FALSE)</f>
        <v>FENOBARBITAL</v>
      </c>
      <c r="F553" t="str">
        <f>VLOOKUP($A553,[1]Table!$A$2:$N724,F$1,FALSE)</f>
        <v>FENOBARBITAL100 MG TABLET</v>
      </c>
      <c r="G553" t="str">
        <f>VLOOKUP($A553,[1]Table!$A$2:$N724,G$1,FALSE)</f>
        <v>FENOBARBITAL 100MG TABLET</v>
      </c>
      <c r="H553" t="str">
        <f>VLOOKUP($A553,[1]Table!$A$2:$N724,H$1,FALSE)</f>
        <v>tablet</v>
      </c>
      <c r="I553" t="str">
        <f>VLOOKUP($A553,[1]Table!$A$2:$N724,I$1,FALSE)</f>
        <v>or</v>
      </c>
      <c r="J553">
        <f>VLOOKUP($A553,[1]Table!$A$2:$N724,J$1,FALSE)</f>
        <v>100</v>
      </c>
      <c r="K553" t="str">
        <f>VLOOKUP($A553,[1]Table!$A$2:$N724,K$1,FALSE)</f>
        <v>mg/stuk</v>
      </c>
      <c r="L553">
        <f>VLOOKUP($A553,[1]Table!$A$2:$N724,L$1,FALSE)</f>
        <v>100</v>
      </c>
      <c r="M553" t="str">
        <f>VLOOKUP($A553,[1]Table!$A$2:$N724,M$1,FALSE)</f>
        <v>mg</v>
      </c>
      <c r="N553" t="str">
        <f>VLOOKUP($A553,[1]Table!$A$2:$N724,N$1,FALSE)</f>
        <v>Persisterende status epilepticus bij overgevoeligheid voor fenytoine||Epilepsie (alle aanvallen), onderhoud na neonatale convulsies /status epilepticus||Neonatale epileptische aanvallen</v>
      </c>
      <c r="O553" t="str">
        <f>ConcatenateRange(AZ553:BU553,"||")</f>
        <v/>
      </c>
      <c r="AZ553" t="str">
        <f t="shared" si="220"/>
        <v/>
      </c>
      <c r="BA553" t="str">
        <f t="shared" si="221"/>
        <v/>
      </c>
      <c r="BB553" t="str">
        <f t="shared" si="222"/>
        <v/>
      </c>
      <c r="BC553" t="str">
        <f t="shared" si="223"/>
        <v/>
      </c>
      <c r="BD553" t="str">
        <f t="shared" si="224"/>
        <v/>
      </c>
      <c r="BE553" t="str">
        <f t="shared" si="225"/>
        <v/>
      </c>
      <c r="BF553" t="str">
        <f t="shared" si="226"/>
        <v/>
      </c>
      <c r="BG553" t="str">
        <f t="shared" si="227"/>
        <v/>
      </c>
      <c r="BH553" t="str">
        <f t="shared" si="228"/>
        <v/>
      </c>
      <c r="BI553" t="str">
        <f t="shared" si="229"/>
        <v/>
      </c>
      <c r="BJ553" t="str">
        <f t="shared" si="230"/>
        <v/>
      </c>
      <c r="BK553" t="str">
        <f t="shared" si="231"/>
        <v/>
      </c>
      <c r="BL553" t="str">
        <f t="shared" si="232"/>
        <v/>
      </c>
      <c r="BM553" t="str">
        <f t="shared" si="233"/>
        <v/>
      </c>
      <c r="BN553" t="str">
        <f t="shared" si="234"/>
        <v/>
      </c>
      <c r="BO553" t="str">
        <f t="shared" si="235"/>
        <v/>
      </c>
      <c r="BP553" t="str">
        <f t="shared" si="236"/>
        <v/>
      </c>
      <c r="BQ553" t="str">
        <f t="shared" si="237"/>
        <v/>
      </c>
      <c r="BR553" t="str">
        <f t="shared" si="238"/>
        <v/>
      </c>
      <c r="BS553" t="str">
        <f t="shared" si="239"/>
        <v/>
      </c>
      <c r="BT553" t="str">
        <f t="shared" si="240"/>
        <v/>
      </c>
      <c r="BU553" t="str">
        <f t="shared" si="241"/>
        <v/>
      </c>
    </row>
    <row r="554" spans="1:73">
      <c r="A554" s="1">
        <v>92134</v>
      </c>
      <c r="B554" t="str">
        <f>VLOOKUP($A554,[1]Table!$A$2:$N948,B$1,FALSE)</f>
        <v>R03AL01</v>
      </c>
      <c r="C554" t="str">
        <f>VLOOKUP($A554,[1]Table!$A$2:$N948,C$1,FALSE)</f>
        <v>MIDDELEN BIJ ASTMA/COPD</v>
      </c>
      <c r="D554" t="str">
        <f>VLOOKUP($A554,[1]Table!$A$2:$N948,D$1,FALSE)</f>
        <v>SYMPATHICOMIMETICA VOOR INHALATIE</v>
      </c>
      <c r="E554" t="str">
        <f>VLOOKUP($A554,[1]Table!$A$2:$N948,E$1,FALSE)</f>
        <v>FENOTEROL/IPRATROPIUM</v>
      </c>
      <c r="F554" t="str">
        <f>VLOOKUP($A554,[1]Table!$A$2:$N948,F$1,FALSE)</f>
        <v>BERODUAL AEROSOL 200 DOSES</v>
      </c>
      <c r="G554" t="str">
        <f>VLOOKUP($A554,[1]Table!$A$2:$N948,G$1,FALSE)</f>
        <v>FENOT/IPRATR 50/20UG AEROSO</v>
      </c>
      <c r="H554" t="str">
        <f>VLOOKUP($A554,[1]Table!$A$2:$N948,H$1,FALSE)</f>
        <v>aerosol</v>
      </c>
      <c r="I554" t="str">
        <f>VLOOKUP($A554,[1]Table!$A$2:$N948,I$1,FALSE)</f>
        <v>inh</v>
      </c>
      <c r="J554">
        <f>VLOOKUP($A554,[1]Table!$A$2:$N948,J$1,FALSE)</f>
        <v>20</v>
      </c>
      <c r="K554" t="str">
        <f>VLOOKUP($A554,[1]Table!$A$2:$N948,K$1,FALSE)</f>
        <v>mcg/dose</v>
      </c>
      <c r="L554">
        <f>VLOOKUP($A554,[1]Table!$A$2:$N948,L$1,FALSE)</f>
        <v>20</v>
      </c>
      <c r="M554" t="str">
        <f>VLOOKUP($A554,[1]Table!$A$2:$N948,M$1,FALSE)</f>
        <v>mcg</v>
      </c>
      <c r="N554" t="str">
        <f>VLOOKUP($A554,[1]Table!$A$2:$N948,N$1,FALSE)</f>
        <v>Acute astma aanval||Astma onderhoudsbehandeling</v>
      </c>
      <c r="O554" t="str">
        <f>ConcatenateRange(AZ554:BU554,"||")</f>
        <v/>
      </c>
      <c r="R554" s="13"/>
      <c r="S554" s="13"/>
      <c r="U554" s="13"/>
      <c r="V554" s="13"/>
      <c r="AZ554" t="str">
        <f t="shared" si="220"/>
        <v/>
      </c>
      <c r="BA554" t="str">
        <f t="shared" si="221"/>
        <v/>
      </c>
      <c r="BB554" t="str">
        <f t="shared" si="222"/>
        <v/>
      </c>
      <c r="BC554" t="str">
        <f t="shared" si="223"/>
        <v/>
      </c>
      <c r="BD554" t="str">
        <f t="shared" si="224"/>
        <v/>
      </c>
      <c r="BE554" t="str">
        <f t="shared" si="225"/>
        <v/>
      </c>
      <c r="BF554" t="str">
        <f t="shared" si="226"/>
        <v/>
      </c>
      <c r="BG554" t="str">
        <f t="shared" si="227"/>
        <v/>
      </c>
      <c r="BH554" t="str">
        <f t="shared" si="228"/>
        <v/>
      </c>
      <c r="BI554" t="str">
        <f t="shared" si="229"/>
        <v/>
      </c>
      <c r="BJ554" t="str">
        <f t="shared" si="230"/>
        <v/>
      </c>
      <c r="BK554" t="str">
        <f t="shared" si="231"/>
        <v/>
      </c>
      <c r="BL554" t="str">
        <f t="shared" si="232"/>
        <v/>
      </c>
      <c r="BM554" t="str">
        <f t="shared" si="233"/>
        <v/>
      </c>
      <c r="BN554" t="str">
        <f t="shared" si="234"/>
        <v/>
      </c>
      <c r="BO554" t="str">
        <f t="shared" si="235"/>
        <v/>
      </c>
      <c r="BP554" t="str">
        <f t="shared" si="236"/>
        <v/>
      </c>
      <c r="BQ554" t="str">
        <f t="shared" si="237"/>
        <v/>
      </c>
      <c r="BR554" t="str">
        <f t="shared" si="238"/>
        <v/>
      </c>
      <c r="BS554" t="str">
        <f t="shared" si="239"/>
        <v/>
      </c>
      <c r="BT554" t="str">
        <f t="shared" si="240"/>
        <v/>
      </c>
      <c r="BU554" t="str">
        <f t="shared" si="241"/>
        <v/>
      </c>
    </row>
    <row r="555" spans="1:73">
      <c r="A555" s="16">
        <v>149942</v>
      </c>
      <c r="B555" t="str">
        <f>VLOOKUP($A555,[1]Table!$A$2:$N1699,B$1,FALSE)</f>
        <v>B01AA04</v>
      </c>
      <c r="C555" t="str">
        <f>VLOOKUP($A555,[1]Table!$A$2:$N1699,C$1,FALSE)</f>
        <v>ANTITHROMBOTICA</v>
      </c>
      <c r="D555" t="str">
        <f>VLOOKUP($A555,[1]Table!$A$2:$N1699,D$1,FALSE)</f>
        <v>ANTITHROMBOTICA</v>
      </c>
      <c r="E555" t="str">
        <f>VLOOKUP($A555,[1]Table!$A$2:$N1699,E$1,FALSE)</f>
        <v>FENPROCOUMON</v>
      </c>
      <c r="F555" t="str">
        <f>VLOOKUP($A555,[1]Table!$A$2:$N1699,F$1,FALSE)</f>
        <v>FENPROCOUMON 1 MG/ML SUSPENSIE 100 ML</v>
      </c>
      <c r="G555" t="str">
        <f>VLOOKUP($A555,[1]Table!$A$2:$N1699,G$1,FALSE)</f>
        <v>FENPROCOUMON 1MG/ML SUSPENS</v>
      </c>
      <c r="H555" t="str">
        <f>VLOOKUP($A555,[1]Table!$A$2:$N1699,H$1,FALSE)</f>
        <v>drank</v>
      </c>
      <c r="I555" t="str">
        <f>VLOOKUP($A555,[1]Table!$A$2:$N1699,I$1,FALSE)</f>
        <v>or</v>
      </c>
      <c r="J555">
        <f>VLOOKUP($A555,[1]Table!$A$2:$N1699,J$1,FALSE)</f>
        <v>1</v>
      </c>
      <c r="K555" t="str">
        <f>VLOOKUP($A555,[1]Table!$A$2:$N1699,K$1,FALSE)</f>
        <v>mg/ml</v>
      </c>
      <c r="L555">
        <f>VLOOKUP($A555,[1]Table!$A$2:$N1699,L$1,FALSE)</f>
        <v>0.1</v>
      </c>
      <c r="M555" t="str">
        <f>VLOOKUP($A555,[1]Table!$A$2:$N1699,M$1,FALSE)</f>
        <v>mg</v>
      </c>
      <c r="N555" t="str">
        <f>VLOOKUP($A555,[1]Table!$A$2:$N1699,N$1,FALSE)</f>
        <v>Antistolling</v>
      </c>
      <c r="R555" s="13"/>
      <c r="S555" s="13"/>
      <c r="U555" s="13"/>
      <c r="V555" s="13"/>
      <c r="AZ555" t="str">
        <f t="shared" si="220"/>
        <v/>
      </c>
      <c r="BA555" t="str">
        <f t="shared" si="221"/>
        <v/>
      </c>
      <c r="BB555" t="str">
        <f t="shared" si="222"/>
        <v/>
      </c>
      <c r="BC555" t="str">
        <f t="shared" si="223"/>
        <v/>
      </c>
      <c r="BD555" t="str">
        <f t="shared" si="224"/>
        <v/>
      </c>
      <c r="BE555" t="str">
        <f t="shared" si="225"/>
        <v/>
      </c>
      <c r="BF555" t="str">
        <f t="shared" si="226"/>
        <v/>
      </c>
      <c r="BG555" t="str">
        <f t="shared" si="227"/>
        <v/>
      </c>
      <c r="BH555" t="str">
        <f t="shared" si="228"/>
        <v/>
      </c>
      <c r="BI555" t="str">
        <f t="shared" si="229"/>
        <v/>
      </c>
      <c r="BJ555" t="str">
        <f t="shared" si="230"/>
        <v/>
      </c>
      <c r="BK555" t="str">
        <f t="shared" si="231"/>
        <v/>
      </c>
      <c r="BL555" t="str">
        <f t="shared" si="232"/>
        <v/>
      </c>
      <c r="BM555" t="str">
        <f t="shared" si="233"/>
        <v/>
      </c>
      <c r="BN555" t="str">
        <f t="shared" si="234"/>
        <v/>
      </c>
      <c r="BO555" t="str">
        <f t="shared" si="235"/>
        <v/>
      </c>
      <c r="BP555" t="str">
        <f t="shared" si="236"/>
        <v/>
      </c>
      <c r="BQ555" t="str">
        <f t="shared" si="237"/>
        <v/>
      </c>
      <c r="BR555" t="str">
        <f t="shared" si="238"/>
        <v/>
      </c>
      <c r="BS555" t="str">
        <f t="shared" si="239"/>
        <v/>
      </c>
      <c r="BT555" t="str">
        <f t="shared" si="240"/>
        <v/>
      </c>
      <c r="BU555" t="str">
        <f t="shared" si="241"/>
        <v/>
      </c>
    </row>
    <row r="556" spans="1:73">
      <c r="A556" s="1">
        <v>6637</v>
      </c>
      <c r="B556" t="str">
        <f>VLOOKUP($A556,[1]Table!$A$2:$N725,B$1,FALSE)</f>
        <v>B01AA04</v>
      </c>
      <c r="C556" t="str">
        <f>VLOOKUP($A556,[1]Table!$A$2:$N725,C$1,FALSE)</f>
        <v>ANTITHROMBOTICA</v>
      </c>
      <c r="D556" t="str">
        <f>VLOOKUP($A556,[1]Table!$A$2:$N725,D$1,FALSE)</f>
        <v>ANTITHROMBOTICA</v>
      </c>
      <c r="E556" t="str">
        <f>VLOOKUP($A556,[1]Table!$A$2:$N725,E$1,FALSE)</f>
        <v>FENPROCOUMON</v>
      </c>
      <c r="F556" t="str">
        <f>VLOOKUP($A556,[1]Table!$A$2:$N725,F$1,FALSE)</f>
        <v>MARCOUMAR  3 MG TABLET</v>
      </c>
      <c r="G556" t="str">
        <f>VLOOKUP($A556,[1]Table!$A$2:$N725,G$1,FALSE)</f>
        <v>FENPROCOUMON 3MG TABLET</v>
      </c>
      <c r="H556" t="str">
        <f>VLOOKUP($A556,[1]Table!$A$2:$N725,H$1,FALSE)</f>
        <v>tablet</v>
      </c>
      <c r="I556" t="str">
        <f>VLOOKUP($A556,[1]Table!$A$2:$N725,I$1,FALSE)</f>
        <v>or</v>
      </c>
      <c r="J556">
        <f>VLOOKUP($A556,[1]Table!$A$2:$N725,J$1,FALSE)</f>
        <v>3</v>
      </c>
      <c r="K556" t="str">
        <f>VLOOKUP($A556,[1]Table!$A$2:$N725,K$1,FALSE)</f>
        <v>mg/stuk</v>
      </c>
      <c r="L556">
        <f>VLOOKUP($A556,[1]Table!$A$2:$N725,L$1,FALSE)</f>
        <v>3</v>
      </c>
      <c r="M556" t="str">
        <f>VLOOKUP($A556,[1]Table!$A$2:$N725,M$1,FALSE)</f>
        <v>mg</v>
      </c>
      <c r="N556" t="str">
        <f>VLOOKUP($A556,[1]Table!$A$2:$N725,N$1,FALSE)</f>
        <v>Antistolling</v>
      </c>
      <c r="O556" t="str">
        <f>ConcatenateRange(AZ556:BU556,"||")</f>
        <v/>
      </c>
      <c r="R556" s="13"/>
      <c r="S556" s="13"/>
      <c r="U556" s="13"/>
      <c r="V556" s="13"/>
      <c r="AZ556" t="str">
        <f t="shared" si="220"/>
        <v/>
      </c>
      <c r="BA556" t="str">
        <f t="shared" si="221"/>
        <v/>
      </c>
      <c r="BB556" t="str">
        <f t="shared" si="222"/>
        <v/>
      </c>
      <c r="BC556" t="str">
        <f t="shared" si="223"/>
        <v/>
      </c>
      <c r="BD556" t="str">
        <f t="shared" si="224"/>
        <v/>
      </c>
      <c r="BE556" t="str">
        <f t="shared" si="225"/>
        <v/>
      </c>
      <c r="BF556" t="str">
        <f t="shared" si="226"/>
        <v/>
      </c>
      <c r="BG556" t="str">
        <f t="shared" si="227"/>
        <v/>
      </c>
      <c r="BH556" t="str">
        <f t="shared" si="228"/>
        <v/>
      </c>
      <c r="BI556" t="str">
        <f t="shared" si="229"/>
        <v/>
      </c>
      <c r="BJ556" t="str">
        <f t="shared" si="230"/>
        <v/>
      </c>
      <c r="BK556" t="str">
        <f t="shared" si="231"/>
        <v/>
      </c>
      <c r="BL556" t="str">
        <f t="shared" si="232"/>
        <v/>
      </c>
      <c r="BM556" t="str">
        <f t="shared" si="233"/>
        <v/>
      </c>
      <c r="BN556" t="str">
        <f t="shared" si="234"/>
        <v/>
      </c>
      <c r="BO556" t="str">
        <f t="shared" si="235"/>
        <v/>
      </c>
      <c r="BP556" t="str">
        <f t="shared" si="236"/>
        <v/>
      </c>
      <c r="BQ556" t="str">
        <f t="shared" si="237"/>
        <v/>
      </c>
      <c r="BR556" t="str">
        <f t="shared" si="238"/>
        <v/>
      </c>
      <c r="BS556" t="str">
        <f t="shared" si="239"/>
        <v/>
      </c>
      <c r="BT556" t="str">
        <f t="shared" si="240"/>
        <v/>
      </c>
      <c r="BU556" t="str">
        <f t="shared" si="241"/>
        <v/>
      </c>
    </row>
    <row r="557" spans="1:73">
      <c r="A557" s="1">
        <v>15334</v>
      </c>
      <c r="B557" t="str">
        <f>VLOOKUP($A557,[1]Table!$A$2:$N726,B$1,FALSE)</f>
        <v>N01AH01</v>
      </c>
      <c r="C557" t="str">
        <f>VLOOKUP($A557,[1]Table!$A$2:$N726,C$1,FALSE)</f>
        <v>ANAESTHETICA</v>
      </c>
      <c r="D557" t="str">
        <f>VLOOKUP($A557,[1]Table!$A$2:$N726,D$1,FALSE)</f>
        <v>ALGEMENE ANAESTHETICA</v>
      </c>
      <c r="E557" t="str">
        <f>VLOOKUP($A557,[1]Table!$A$2:$N726,E$1,FALSE)</f>
        <v>FENTANYL</v>
      </c>
      <c r="F557" t="str">
        <f>VLOOKUP($A557,[1]Table!$A$2:$N726,F$1,FALSE)</f>
        <v>FENTANYL  0.05 MG/ML AMPUL 2 ML</v>
      </c>
      <c r="G557" t="str">
        <f>VLOOKUP($A557,[1]Table!$A$2:$N726,G$1,FALSE)</f>
        <v>FENTANYL 0,05MG/ML INJVLST</v>
      </c>
      <c r="H557" t="str">
        <f>VLOOKUP($A557,[1]Table!$A$2:$N726,H$1,FALSE)</f>
        <v>injectievloeistof</v>
      </c>
      <c r="I557" t="str">
        <f>VLOOKUP($A557,[1]Table!$A$2:$N726,I$1,FALSE)</f>
        <v>iv</v>
      </c>
      <c r="J557">
        <f>VLOOKUP($A557,[1]Table!$A$2:$N726,J$1,FALSE)</f>
        <v>0.05</v>
      </c>
      <c r="K557" t="str">
        <f>VLOOKUP($A557,[1]Table!$A$2:$N726,K$1,FALSE)</f>
        <v>mg/ml</v>
      </c>
      <c r="L557">
        <v>5</v>
      </c>
      <c r="M557" t="s">
        <v>73</v>
      </c>
      <c r="N557" t="str">
        <f>VLOOKUP($A557,[1]Table!$A$2:$N726,N$1,FALSE)</f>
        <v>Pijnbestrijding</v>
      </c>
      <c r="O557" t="str">
        <f>ConcatenateRange(AZ557:BU557,"||")</f>
        <v/>
      </c>
      <c r="R557" s="3">
        <v>5</v>
      </c>
      <c r="S557" s="4"/>
      <c r="U557" s="3">
        <v>5</v>
      </c>
      <c r="V557" s="3"/>
      <c r="AZ557" t="str">
        <f t="shared" si="220"/>
        <v/>
      </c>
      <c r="BA557" t="str">
        <f t="shared" si="221"/>
        <v/>
      </c>
      <c r="BB557" t="str">
        <f t="shared" si="222"/>
        <v/>
      </c>
      <c r="BC557" t="str">
        <f t="shared" si="223"/>
        <v/>
      </c>
      <c r="BD557" t="str">
        <f t="shared" si="224"/>
        <v/>
      </c>
      <c r="BE557" t="str">
        <f t="shared" si="225"/>
        <v/>
      </c>
      <c r="BF557" t="str">
        <f t="shared" si="226"/>
        <v/>
      </c>
      <c r="BG557" t="str">
        <f t="shared" si="227"/>
        <v/>
      </c>
      <c r="BH557" t="str">
        <f t="shared" si="228"/>
        <v/>
      </c>
      <c r="BI557" t="str">
        <f t="shared" si="229"/>
        <v/>
      </c>
      <c r="BJ557" t="str">
        <f t="shared" si="230"/>
        <v/>
      </c>
      <c r="BK557" t="str">
        <f t="shared" si="231"/>
        <v/>
      </c>
      <c r="BL557" t="str">
        <f t="shared" si="232"/>
        <v/>
      </c>
      <c r="BM557" t="str">
        <f t="shared" si="233"/>
        <v/>
      </c>
      <c r="BN557" t="str">
        <f t="shared" si="234"/>
        <v/>
      </c>
      <c r="BO557" t="str">
        <f t="shared" si="235"/>
        <v/>
      </c>
      <c r="BP557" t="str">
        <f t="shared" si="236"/>
        <v/>
      </c>
      <c r="BQ557" t="str">
        <f t="shared" si="237"/>
        <v/>
      </c>
      <c r="BR557" t="str">
        <f t="shared" si="238"/>
        <v/>
      </c>
      <c r="BS557" t="str">
        <f t="shared" si="239"/>
        <v/>
      </c>
      <c r="BT557" t="str">
        <f t="shared" si="240"/>
        <v/>
      </c>
      <c r="BU557" t="str">
        <f t="shared" si="241"/>
        <v/>
      </c>
    </row>
    <row r="558" spans="1:73">
      <c r="A558" s="1">
        <v>136786</v>
      </c>
      <c r="B558" t="str">
        <f>VLOOKUP($A558,[1]Table!$A$2:$N727,B$1,FALSE)</f>
        <v>N02AB03</v>
      </c>
      <c r="C558" t="str">
        <f>VLOOKUP($A558,[1]Table!$A$2:$N727,C$1,FALSE)</f>
        <v>ANALGETICA</v>
      </c>
      <c r="D558" t="str">
        <f>VLOOKUP($A558,[1]Table!$A$2:$N727,D$1,FALSE)</f>
        <v>OPIOIDEN</v>
      </c>
      <c r="E558" t="str">
        <f>VLOOKUP($A558,[1]Table!$A$2:$N727,E$1,FALSE)</f>
        <v>FENTANYL</v>
      </c>
      <c r="F558" t="str">
        <f>VLOOKUP($A558,[1]Table!$A$2:$N727,F$1,FALSE)</f>
        <v>INSTANYL 50 MCG/DOSIS NEUSSPRAY EENMALIG GEBRUIK</v>
      </c>
      <c r="G558" t="str">
        <f>VLOOKUP($A558,[1]Table!$A$2:$N727,G$1,FALSE)</f>
        <v>FENTANYL 50UG NEUSSPRAY</v>
      </c>
      <c r="H558" t="str">
        <f>VLOOKUP($A558,[1]Table!$A$2:$N727,H$1,FALSE)</f>
        <v>neusspray</v>
      </c>
      <c r="I558" t="str">
        <f>VLOOKUP($A558,[1]Table!$A$2:$N727,I$1,FALSE)</f>
        <v>nasaal</v>
      </c>
      <c r="J558">
        <f>VLOOKUP($A558,[1]Table!$A$2:$N727,J$1,FALSE)</f>
        <v>50</v>
      </c>
      <c r="K558" t="str">
        <f>VLOOKUP($A558,[1]Table!$A$2:$N727,K$1,FALSE)</f>
        <v>mcg/stuk</v>
      </c>
      <c r="L558">
        <f>VLOOKUP($A558,[1]Table!$A$2:$N727,L$1,FALSE)</f>
        <v>50</v>
      </c>
      <c r="M558" t="str">
        <f>VLOOKUP($A558,[1]Table!$A$2:$N727,M$1,FALSE)</f>
        <v>mcg</v>
      </c>
      <c r="N558" t="str">
        <f>VLOOKUP($A558,[1]Table!$A$2:$N727,N$1,FALSE)</f>
        <v>Acute pijn||Palliatieve zorg</v>
      </c>
      <c r="O558" t="str">
        <f>ConcatenateRange(AZ558:BU558,"||")</f>
        <v/>
      </c>
      <c r="AZ558" t="str">
        <f t="shared" si="220"/>
        <v/>
      </c>
      <c r="BA558" t="str">
        <f t="shared" si="221"/>
        <v/>
      </c>
      <c r="BB558" t="str">
        <f t="shared" si="222"/>
        <v/>
      </c>
      <c r="BC558" t="str">
        <f t="shared" si="223"/>
        <v/>
      </c>
      <c r="BD558" t="str">
        <f t="shared" si="224"/>
        <v/>
      </c>
      <c r="BE558" t="str">
        <f t="shared" si="225"/>
        <v/>
      </c>
      <c r="BF558" t="str">
        <f t="shared" si="226"/>
        <v/>
      </c>
      <c r="BG558" t="str">
        <f t="shared" si="227"/>
        <v/>
      </c>
      <c r="BH558" t="str">
        <f t="shared" si="228"/>
        <v/>
      </c>
      <c r="BI558" t="str">
        <f t="shared" si="229"/>
        <v/>
      </c>
      <c r="BJ558" t="str">
        <f t="shared" si="230"/>
        <v/>
      </c>
      <c r="BK558" t="str">
        <f t="shared" si="231"/>
        <v/>
      </c>
      <c r="BL558" t="str">
        <f t="shared" si="232"/>
        <v/>
      </c>
      <c r="BM558" t="str">
        <f t="shared" si="233"/>
        <v/>
      </c>
      <c r="BN558" t="str">
        <f t="shared" si="234"/>
        <v/>
      </c>
      <c r="BO558" t="str">
        <f t="shared" si="235"/>
        <v/>
      </c>
      <c r="BP558" t="str">
        <f t="shared" si="236"/>
        <v/>
      </c>
      <c r="BQ558" t="str">
        <f t="shared" si="237"/>
        <v/>
      </c>
      <c r="BR558" t="str">
        <f t="shared" si="238"/>
        <v/>
      </c>
      <c r="BS558" t="str">
        <f t="shared" si="239"/>
        <v/>
      </c>
      <c r="BT558" t="str">
        <f t="shared" si="240"/>
        <v/>
      </c>
      <c r="BU558" t="str">
        <f t="shared" si="241"/>
        <v/>
      </c>
    </row>
    <row r="559" spans="1:73">
      <c r="A559" s="1">
        <v>132381</v>
      </c>
      <c r="B559" t="str">
        <f>VLOOKUP($A559,[1]Table!$A$2:$N728,B$1,FALSE)</f>
        <v>N02AB03</v>
      </c>
      <c r="C559" t="str">
        <f>VLOOKUP($A559,[1]Table!$A$2:$N728,C$1,FALSE)</f>
        <v>ANALGETICA</v>
      </c>
      <c r="D559" t="str">
        <f>VLOOKUP($A559,[1]Table!$A$2:$N728,D$1,FALSE)</f>
        <v>OPIOIDEN</v>
      </c>
      <c r="E559" t="str">
        <f>VLOOKUP($A559,[1]Table!$A$2:$N728,E$1,FALSE)</f>
        <v>FENTANYL</v>
      </c>
      <c r="F559" t="str">
        <f>VLOOKUP($A559,[1]Table!$A$2:$N728,F$1,FALSE)</f>
        <v>INSTANYL 50 MCG/DOSIS NEUSSPRAY 10 DOSES</v>
      </c>
      <c r="G559" t="str">
        <f>VLOOKUP($A559,[1]Table!$A$2:$N728,G$1,FALSE)</f>
        <v>FENTANYL 50UG/DO NEUSSPRAY</v>
      </c>
      <c r="H559" t="str">
        <f>VLOOKUP($A559,[1]Table!$A$2:$N728,H$1,FALSE)</f>
        <v>neusspray</v>
      </c>
      <c r="I559" t="str">
        <f>VLOOKUP($A559,[1]Table!$A$2:$N728,I$1,FALSE)</f>
        <v>nasaal</v>
      </c>
      <c r="J559">
        <f>VLOOKUP($A559,[1]Table!$A$2:$N728,J$1,FALSE)</f>
        <v>50</v>
      </c>
      <c r="K559" t="str">
        <f>VLOOKUP($A559,[1]Table!$A$2:$N728,K$1,FALSE)</f>
        <v>mcg/dose</v>
      </c>
      <c r="L559">
        <f>VLOOKUP($A559,[1]Table!$A$2:$N728,L$1,FALSE)</f>
        <v>50</v>
      </c>
      <c r="M559" t="str">
        <f>VLOOKUP($A559,[1]Table!$A$2:$N728,M$1,FALSE)</f>
        <v>mcg</v>
      </c>
      <c r="N559" t="str">
        <f>VLOOKUP($A559,[1]Table!$A$2:$N728,N$1,FALSE)</f>
        <v>Acute pijn||Palliatieve zorg</v>
      </c>
      <c r="O559" t="str">
        <f>ConcatenateRange(AZ559:BU559,"||")</f>
        <v/>
      </c>
      <c r="AZ559" t="str">
        <f t="shared" si="220"/>
        <v/>
      </c>
      <c r="BA559" t="str">
        <f t="shared" si="221"/>
        <v/>
      </c>
      <c r="BB559" t="str">
        <f t="shared" si="222"/>
        <v/>
      </c>
      <c r="BC559" t="str">
        <f t="shared" si="223"/>
        <v/>
      </c>
      <c r="BD559" t="str">
        <f t="shared" si="224"/>
        <v/>
      </c>
      <c r="BE559" t="str">
        <f t="shared" si="225"/>
        <v/>
      </c>
      <c r="BF559" t="str">
        <f t="shared" si="226"/>
        <v/>
      </c>
      <c r="BG559" t="str">
        <f t="shared" si="227"/>
        <v/>
      </c>
      <c r="BH559" t="str">
        <f t="shared" si="228"/>
        <v/>
      </c>
      <c r="BI559" t="str">
        <f t="shared" si="229"/>
        <v/>
      </c>
      <c r="BJ559" t="str">
        <f t="shared" si="230"/>
        <v/>
      </c>
      <c r="BK559" t="str">
        <f t="shared" si="231"/>
        <v/>
      </c>
      <c r="BL559" t="str">
        <f t="shared" si="232"/>
        <v/>
      </c>
      <c r="BM559" t="str">
        <f t="shared" si="233"/>
        <v/>
      </c>
      <c r="BN559" t="str">
        <f t="shared" si="234"/>
        <v/>
      </c>
      <c r="BO559" t="str">
        <f t="shared" si="235"/>
        <v/>
      </c>
      <c r="BP559" t="str">
        <f t="shared" si="236"/>
        <v/>
      </c>
      <c r="BQ559" t="str">
        <f t="shared" si="237"/>
        <v/>
      </c>
      <c r="BR559" t="str">
        <f t="shared" si="238"/>
        <v/>
      </c>
      <c r="BS559" t="str">
        <f t="shared" si="239"/>
        <v/>
      </c>
      <c r="BT559" t="str">
        <f t="shared" si="240"/>
        <v/>
      </c>
      <c r="BU559" t="str">
        <f t="shared" si="241"/>
        <v/>
      </c>
    </row>
    <row r="560" spans="1:73">
      <c r="A560" s="1">
        <v>132365</v>
      </c>
      <c r="B560" t="str">
        <f>VLOOKUP($A560,[1]Table!$A$2:$N729,B$1,FALSE)</f>
        <v>N02AB03</v>
      </c>
      <c r="C560" t="str">
        <f>VLOOKUP($A560,[1]Table!$A$2:$N729,C$1,FALSE)</f>
        <v>ANALGETICA</v>
      </c>
      <c r="D560" t="str">
        <f>VLOOKUP($A560,[1]Table!$A$2:$N729,D$1,FALSE)</f>
        <v>OPIOIDEN</v>
      </c>
      <c r="E560" t="str">
        <f>VLOOKUP($A560,[1]Table!$A$2:$N729,E$1,FALSE)</f>
        <v>FENTANYL</v>
      </c>
      <c r="F560" t="str">
        <f>VLOOKUP($A560,[1]Table!$A$2:$N729,F$1,FALSE)</f>
        <v>INSTANYL 100 MICROG/DOSIS NEUSSPRAY10 DOSES</v>
      </c>
      <c r="G560" t="str">
        <f>VLOOKUP($A560,[1]Table!$A$2:$N729,G$1,FALSE)</f>
        <v>FENTANYL 100UG/DO NEUSSPRAY</v>
      </c>
      <c r="H560" t="str">
        <f>VLOOKUP($A560,[1]Table!$A$2:$N729,H$1,FALSE)</f>
        <v>neusspray</v>
      </c>
      <c r="I560" t="str">
        <f>VLOOKUP($A560,[1]Table!$A$2:$N729,I$1,FALSE)</f>
        <v>nasaal</v>
      </c>
      <c r="J560">
        <f>VLOOKUP($A560,[1]Table!$A$2:$N729,J$1,FALSE)</f>
        <v>100</v>
      </c>
      <c r="K560" t="str">
        <f>VLOOKUP($A560,[1]Table!$A$2:$N729,K$1,FALSE)</f>
        <v>mcg/dose</v>
      </c>
      <c r="L560">
        <f>VLOOKUP($A560,[1]Table!$A$2:$N729,L$1,FALSE)</f>
        <v>100</v>
      </c>
      <c r="M560" t="str">
        <f>VLOOKUP($A560,[1]Table!$A$2:$N729,M$1,FALSE)</f>
        <v>mcg</v>
      </c>
      <c r="N560" t="str">
        <f>VLOOKUP($A560,[1]Table!$A$2:$N729,N$1,FALSE)</f>
        <v>Acute pijn||Palliatieve zorg</v>
      </c>
      <c r="O560" t="str">
        <f>ConcatenateRange(AZ560:BU560,"||")</f>
        <v/>
      </c>
      <c r="AZ560" t="str">
        <f t="shared" si="220"/>
        <v/>
      </c>
      <c r="BA560" t="str">
        <f t="shared" si="221"/>
        <v/>
      </c>
      <c r="BB560" t="str">
        <f t="shared" si="222"/>
        <v/>
      </c>
      <c r="BC560" t="str">
        <f t="shared" si="223"/>
        <v/>
      </c>
      <c r="BD560" t="str">
        <f t="shared" si="224"/>
        <v/>
      </c>
      <c r="BE560" t="str">
        <f t="shared" si="225"/>
        <v/>
      </c>
      <c r="BF560" t="str">
        <f t="shared" si="226"/>
        <v/>
      </c>
      <c r="BG560" t="str">
        <f t="shared" si="227"/>
        <v/>
      </c>
      <c r="BH560" t="str">
        <f t="shared" si="228"/>
        <v/>
      </c>
      <c r="BI560" t="str">
        <f t="shared" si="229"/>
        <v/>
      </c>
      <c r="BJ560" t="str">
        <f t="shared" si="230"/>
        <v/>
      </c>
      <c r="BK560" t="str">
        <f t="shared" si="231"/>
        <v/>
      </c>
      <c r="BL560" t="str">
        <f t="shared" si="232"/>
        <v/>
      </c>
      <c r="BM560" t="str">
        <f t="shared" si="233"/>
        <v/>
      </c>
      <c r="BN560" t="str">
        <f t="shared" si="234"/>
        <v/>
      </c>
      <c r="BO560" t="str">
        <f t="shared" si="235"/>
        <v/>
      </c>
      <c r="BP560" t="str">
        <f t="shared" si="236"/>
        <v/>
      </c>
      <c r="BQ560" t="str">
        <f t="shared" si="237"/>
        <v/>
      </c>
      <c r="BR560" t="str">
        <f t="shared" si="238"/>
        <v/>
      </c>
      <c r="BS560" t="str">
        <f t="shared" si="239"/>
        <v/>
      </c>
      <c r="BT560" t="str">
        <f t="shared" si="240"/>
        <v/>
      </c>
      <c r="BU560" t="str">
        <f t="shared" si="241"/>
        <v/>
      </c>
    </row>
    <row r="561" spans="1:73">
      <c r="A561" s="1">
        <v>136794</v>
      </c>
      <c r="B561" t="str">
        <f>VLOOKUP($A561,[1]Table!$A$2:$N730,B$1,FALSE)</f>
        <v>N02AB03</v>
      </c>
      <c r="C561" t="str">
        <f>VLOOKUP($A561,[1]Table!$A$2:$N730,C$1,FALSE)</f>
        <v>ANALGETICA</v>
      </c>
      <c r="D561" t="str">
        <f>VLOOKUP($A561,[1]Table!$A$2:$N730,D$1,FALSE)</f>
        <v>OPIOIDEN</v>
      </c>
      <c r="E561" t="str">
        <f>VLOOKUP($A561,[1]Table!$A$2:$N730,E$1,FALSE)</f>
        <v>FENTANYL</v>
      </c>
      <c r="F561" t="str">
        <f>VLOOKUP($A561,[1]Table!$A$2:$N730,F$1,FALSE)</f>
        <v>INSTANYL 100 MCG/DOSIS NEUSSPRAY EENMALIG GEBRUIK</v>
      </c>
      <c r="G561" t="str">
        <f>VLOOKUP($A561,[1]Table!$A$2:$N730,G$1,FALSE)</f>
        <v>FENTANYL 100UG NEUSSPRAY</v>
      </c>
      <c r="H561" t="str">
        <f>VLOOKUP($A561,[1]Table!$A$2:$N730,H$1,FALSE)</f>
        <v>neusspray</v>
      </c>
      <c r="I561" t="str">
        <f>VLOOKUP($A561,[1]Table!$A$2:$N730,I$1,FALSE)</f>
        <v>nasaal</v>
      </c>
      <c r="J561">
        <f>VLOOKUP($A561,[1]Table!$A$2:$N730,J$1,FALSE)</f>
        <v>100</v>
      </c>
      <c r="K561" t="str">
        <f>VLOOKUP($A561,[1]Table!$A$2:$N730,K$1,FALSE)</f>
        <v>mcg/stuk</v>
      </c>
      <c r="L561">
        <f>VLOOKUP($A561,[1]Table!$A$2:$N730,L$1,FALSE)</f>
        <v>100</v>
      </c>
      <c r="M561" t="str">
        <f>VLOOKUP($A561,[1]Table!$A$2:$N730,M$1,FALSE)</f>
        <v>mcg</v>
      </c>
      <c r="N561" t="str">
        <f>VLOOKUP($A561,[1]Table!$A$2:$N730,N$1,FALSE)</f>
        <v>Acute pijn||Palliatieve zorg</v>
      </c>
      <c r="O561" t="str">
        <f>ConcatenateRange(AZ561:BU561,"||")</f>
        <v/>
      </c>
      <c r="AZ561" t="str">
        <f t="shared" si="220"/>
        <v/>
      </c>
      <c r="BA561" t="str">
        <f t="shared" si="221"/>
        <v/>
      </c>
      <c r="BB561" t="str">
        <f t="shared" si="222"/>
        <v/>
      </c>
      <c r="BC561" t="str">
        <f t="shared" si="223"/>
        <v/>
      </c>
      <c r="BD561" t="str">
        <f t="shared" si="224"/>
        <v/>
      </c>
      <c r="BE561" t="str">
        <f t="shared" si="225"/>
        <v/>
      </c>
      <c r="BF561" t="str">
        <f t="shared" si="226"/>
        <v/>
      </c>
      <c r="BG561" t="str">
        <f t="shared" si="227"/>
        <v/>
      </c>
      <c r="BH561" t="str">
        <f t="shared" si="228"/>
        <v/>
      </c>
      <c r="BI561" t="str">
        <f t="shared" si="229"/>
        <v/>
      </c>
      <c r="BJ561" t="str">
        <f t="shared" si="230"/>
        <v/>
      </c>
      <c r="BK561" t="str">
        <f t="shared" si="231"/>
        <v/>
      </c>
      <c r="BL561" t="str">
        <f t="shared" si="232"/>
        <v/>
      </c>
      <c r="BM561" t="str">
        <f t="shared" si="233"/>
        <v/>
      </c>
      <c r="BN561" t="str">
        <f t="shared" si="234"/>
        <v/>
      </c>
      <c r="BO561" t="str">
        <f t="shared" si="235"/>
        <v/>
      </c>
      <c r="BP561" t="str">
        <f t="shared" si="236"/>
        <v/>
      </c>
      <c r="BQ561" t="str">
        <f t="shared" si="237"/>
        <v/>
      </c>
      <c r="BR561" t="str">
        <f t="shared" si="238"/>
        <v/>
      </c>
      <c r="BS561" t="str">
        <f t="shared" si="239"/>
        <v/>
      </c>
      <c r="BT561" t="str">
        <f t="shared" si="240"/>
        <v/>
      </c>
      <c r="BU561" t="str">
        <f t="shared" si="241"/>
        <v/>
      </c>
    </row>
    <row r="562" spans="1:73">
      <c r="A562" s="1">
        <v>132373</v>
      </c>
      <c r="B562" t="str">
        <f>VLOOKUP($A562,[1]Table!$A$2:$N731,B$1,FALSE)</f>
        <v>N02AB03</v>
      </c>
      <c r="C562" t="str">
        <f>VLOOKUP($A562,[1]Table!$A$2:$N731,C$1,FALSE)</f>
        <v>ANALGETICA</v>
      </c>
      <c r="D562" t="str">
        <f>VLOOKUP($A562,[1]Table!$A$2:$N731,D$1,FALSE)</f>
        <v>OPIOIDEN</v>
      </c>
      <c r="E562" t="str">
        <f>VLOOKUP($A562,[1]Table!$A$2:$N731,E$1,FALSE)</f>
        <v>FENTANYL</v>
      </c>
      <c r="F562" t="str">
        <f>VLOOKUP($A562,[1]Table!$A$2:$N731,F$1,FALSE)</f>
        <v>INSTANYL 200MCG/DOSIS NEUSSPRAY 40 DOSES</v>
      </c>
      <c r="G562" t="str">
        <f>VLOOKUP($A562,[1]Table!$A$2:$N731,G$1,FALSE)</f>
        <v>FENTANYL 200UG/DO NEUSSPRAY</v>
      </c>
      <c r="H562" t="str">
        <f>VLOOKUP($A562,[1]Table!$A$2:$N731,H$1,FALSE)</f>
        <v>neusspray</v>
      </c>
      <c r="I562" t="str">
        <f>VLOOKUP($A562,[1]Table!$A$2:$N731,I$1,FALSE)</f>
        <v>nasaal</v>
      </c>
      <c r="J562">
        <f>VLOOKUP($A562,[1]Table!$A$2:$N731,J$1,FALSE)</f>
        <v>200</v>
      </c>
      <c r="K562" t="str">
        <f>VLOOKUP($A562,[1]Table!$A$2:$N731,K$1,FALSE)</f>
        <v>mcg/dose</v>
      </c>
      <c r="L562">
        <f>VLOOKUP($A562,[1]Table!$A$2:$N731,L$1,FALSE)</f>
        <v>200</v>
      </c>
      <c r="M562" t="str">
        <f>VLOOKUP($A562,[1]Table!$A$2:$N731,M$1,FALSE)</f>
        <v>mcg</v>
      </c>
      <c r="N562" t="str">
        <f>VLOOKUP($A562,[1]Table!$A$2:$N731,N$1,FALSE)</f>
        <v>Acute pijn||Palliatieve zorg</v>
      </c>
      <c r="O562" t="str">
        <f>ConcatenateRange(AZ562:BU562,"||")</f>
        <v/>
      </c>
      <c r="AZ562" t="str">
        <f t="shared" si="220"/>
        <v/>
      </c>
      <c r="BA562" t="str">
        <f t="shared" si="221"/>
        <v/>
      </c>
      <c r="BB562" t="str">
        <f t="shared" si="222"/>
        <v/>
      </c>
      <c r="BC562" t="str">
        <f t="shared" si="223"/>
        <v/>
      </c>
      <c r="BD562" t="str">
        <f t="shared" si="224"/>
        <v/>
      </c>
      <c r="BE562" t="str">
        <f t="shared" si="225"/>
        <v/>
      </c>
      <c r="BF562" t="str">
        <f t="shared" si="226"/>
        <v/>
      </c>
      <c r="BG562" t="str">
        <f t="shared" si="227"/>
        <v/>
      </c>
      <c r="BH562" t="str">
        <f t="shared" si="228"/>
        <v/>
      </c>
      <c r="BI562" t="str">
        <f t="shared" si="229"/>
        <v/>
      </c>
      <c r="BJ562" t="str">
        <f t="shared" si="230"/>
        <v/>
      </c>
      <c r="BK562" t="str">
        <f t="shared" si="231"/>
        <v/>
      </c>
      <c r="BL562" t="str">
        <f t="shared" si="232"/>
        <v/>
      </c>
      <c r="BM562" t="str">
        <f t="shared" si="233"/>
        <v/>
      </c>
      <c r="BN562" t="str">
        <f t="shared" si="234"/>
        <v/>
      </c>
      <c r="BO562" t="str">
        <f t="shared" si="235"/>
        <v/>
      </c>
      <c r="BP562" t="str">
        <f t="shared" si="236"/>
        <v/>
      </c>
      <c r="BQ562" t="str">
        <f t="shared" si="237"/>
        <v/>
      </c>
      <c r="BR562" t="str">
        <f t="shared" si="238"/>
        <v/>
      </c>
      <c r="BS562" t="str">
        <f t="shared" si="239"/>
        <v/>
      </c>
      <c r="BT562" t="str">
        <f t="shared" si="240"/>
        <v/>
      </c>
      <c r="BU562" t="str">
        <f t="shared" si="241"/>
        <v/>
      </c>
    </row>
    <row r="563" spans="1:73">
      <c r="A563" s="1">
        <v>122793</v>
      </c>
      <c r="B563" t="str">
        <f>VLOOKUP($A563,[1]Table!$A$2:$N732,B$1,FALSE)</f>
        <v>N02AB03</v>
      </c>
      <c r="C563" t="str">
        <f>VLOOKUP($A563,[1]Table!$A$2:$N732,C$1,FALSE)</f>
        <v>ANALGETICA</v>
      </c>
      <c r="D563" t="str">
        <f>VLOOKUP($A563,[1]Table!$A$2:$N732,D$1,FALSE)</f>
        <v>OPIOIDEN</v>
      </c>
      <c r="E563" t="str">
        <f>VLOOKUP($A563,[1]Table!$A$2:$N732,E$1,FALSE)</f>
        <v>FENTANYL</v>
      </c>
      <c r="F563" t="str">
        <f>VLOOKUP($A563,[1]Table!$A$2:$N732,F$1,FALSE)</f>
        <v>DUROGESIC  PLEISTER 12 MICROG/UUR</v>
      </c>
      <c r="G563" t="str">
        <f>VLOOKUP($A563,[1]Table!$A$2:$N732,G$1,FALSE)</f>
        <v>FENTANYL 12UG/UUR PLEISTER</v>
      </c>
      <c r="H563" t="str">
        <f>VLOOKUP($A563,[1]Table!$A$2:$N732,H$1,FALSE)</f>
        <v>pleister voor transdermaal gebruik</v>
      </c>
      <c r="I563" t="str">
        <f>VLOOKUP($A563,[1]Table!$A$2:$N732,I$1,FALSE)</f>
        <v>transderm</v>
      </c>
      <c r="J563">
        <f>VLOOKUP($A563,[1]Table!$A$2:$N732,J$1,FALSE)</f>
        <v>2.1</v>
      </c>
      <c r="K563" t="str">
        <f>VLOOKUP($A563,[1]Table!$A$2:$N732,K$1,FALSE)</f>
        <v>mg/stuk</v>
      </c>
      <c r="L563">
        <f>VLOOKUP($A563,[1]Table!$A$2:$N732,L$1,FALSE)</f>
        <v>2.1</v>
      </c>
      <c r="M563" t="str">
        <f>VLOOKUP($A563,[1]Table!$A$2:$N732,M$1,FALSE)</f>
        <v>mg</v>
      </c>
      <c r="N563" t="str">
        <f>VLOOKUP($A563,[1]Table!$A$2:$N732,N$1,FALSE)</f>
        <v>Acute pijn||Palliatieve zorg</v>
      </c>
      <c r="O563" t="str">
        <f>ConcatenateRange(AZ563:BU563,"||")</f>
        <v/>
      </c>
      <c r="AZ563" t="str">
        <f t="shared" si="220"/>
        <v/>
      </c>
      <c r="BA563" t="str">
        <f t="shared" si="221"/>
        <v/>
      </c>
      <c r="BB563" t="str">
        <f t="shared" si="222"/>
        <v/>
      </c>
      <c r="BC563" t="str">
        <f t="shared" si="223"/>
        <v/>
      </c>
      <c r="BD563" t="str">
        <f t="shared" si="224"/>
        <v/>
      </c>
      <c r="BE563" t="str">
        <f t="shared" si="225"/>
        <v/>
      </c>
      <c r="BF563" t="str">
        <f t="shared" si="226"/>
        <v/>
      </c>
      <c r="BG563" t="str">
        <f t="shared" si="227"/>
        <v/>
      </c>
      <c r="BH563" t="str">
        <f t="shared" si="228"/>
        <v/>
      </c>
      <c r="BI563" t="str">
        <f t="shared" si="229"/>
        <v/>
      </c>
      <c r="BJ563" t="str">
        <f t="shared" si="230"/>
        <v/>
      </c>
      <c r="BK563" t="str">
        <f t="shared" si="231"/>
        <v/>
      </c>
      <c r="BL563" t="str">
        <f t="shared" si="232"/>
        <v/>
      </c>
      <c r="BM563" t="str">
        <f t="shared" si="233"/>
        <v/>
      </c>
      <c r="BN563" t="str">
        <f t="shared" si="234"/>
        <v/>
      </c>
      <c r="BO563" t="str">
        <f t="shared" si="235"/>
        <v/>
      </c>
      <c r="BP563" t="str">
        <f t="shared" si="236"/>
        <v/>
      </c>
      <c r="BQ563" t="str">
        <f t="shared" si="237"/>
        <v/>
      </c>
      <c r="BR563" t="str">
        <f t="shared" si="238"/>
        <v/>
      </c>
      <c r="BS563" t="str">
        <f t="shared" si="239"/>
        <v/>
      </c>
      <c r="BT563" t="str">
        <f t="shared" si="240"/>
        <v/>
      </c>
      <c r="BU563" t="str">
        <f t="shared" si="241"/>
        <v/>
      </c>
    </row>
    <row r="564" spans="1:73">
      <c r="A564" s="1">
        <v>129585</v>
      </c>
      <c r="B564" t="str">
        <f>VLOOKUP($A564,[1]Table!$A$2:$N733,B$1,FALSE)</f>
        <v>N02AB03</v>
      </c>
      <c r="C564" t="str">
        <f>VLOOKUP($A564,[1]Table!$A$2:$N733,C$1,FALSE)</f>
        <v>ANALGETICA</v>
      </c>
      <c r="D564" t="str">
        <f>VLOOKUP($A564,[1]Table!$A$2:$N733,D$1,FALSE)</f>
        <v>OPIOIDEN</v>
      </c>
      <c r="E564" t="str">
        <f>VLOOKUP($A564,[1]Table!$A$2:$N733,E$1,FALSE)</f>
        <v>FENTANYL</v>
      </c>
      <c r="F564" t="str">
        <f>VLOOKUP($A564,[1]Table!$A$2:$N733,F$1,FALSE)</f>
        <v>FENTANYL PLEISTER 12 MICROG/UUR</v>
      </c>
      <c r="G564" t="str">
        <f>VLOOKUP($A564,[1]Table!$A$2:$N733,G$1,FALSE)</f>
        <v>FENTANYL 12UG/UUR PLEISTER</v>
      </c>
      <c r="H564" t="str">
        <f>VLOOKUP($A564,[1]Table!$A$2:$N733,H$1,FALSE)</f>
        <v>pleister voor transdermaal gebruik</v>
      </c>
      <c r="I564" t="str">
        <f>VLOOKUP($A564,[1]Table!$A$2:$N733,I$1,FALSE)</f>
        <v>transderm</v>
      </c>
      <c r="J564">
        <f>VLOOKUP($A564,[1]Table!$A$2:$N733,J$1,FALSE)</f>
        <v>2.89</v>
      </c>
      <c r="K564" t="str">
        <f>VLOOKUP($A564,[1]Table!$A$2:$N733,K$1,FALSE)</f>
        <v>mg/stuk</v>
      </c>
      <c r="L564">
        <f>VLOOKUP($A564,[1]Table!$A$2:$N733,L$1,FALSE)</f>
        <v>2.89</v>
      </c>
      <c r="M564" t="str">
        <f>VLOOKUP($A564,[1]Table!$A$2:$N733,M$1,FALSE)</f>
        <v>mg</v>
      </c>
      <c r="N564" t="str">
        <f>VLOOKUP($A564,[1]Table!$A$2:$N733,N$1,FALSE)</f>
        <v>Acute pijn||Palliatieve zorg</v>
      </c>
      <c r="O564" t="str">
        <f>ConcatenateRange(AZ564:BU564,"||")</f>
        <v/>
      </c>
      <c r="AZ564" t="str">
        <f t="shared" si="220"/>
        <v/>
      </c>
      <c r="BA564" t="str">
        <f t="shared" si="221"/>
        <v/>
      </c>
      <c r="BB564" t="str">
        <f t="shared" si="222"/>
        <v/>
      </c>
      <c r="BC564" t="str">
        <f t="shared" si="223"/>
        <v/>
      </c>
      <c r="BD564" t="str">
        <f t="shared" si="224"/>
        <v/>
      </c>
      <c r="BE564" t="str">
        <f t="shared" si="225"/>
        <v/>
      </c>
      <c r="BF564" t="str">
        <f t="shared" si="226"/>
        <v/>
      </c>
      <c r="BG564" t="str">
        <f t="shared" si="227"/>
        <v/>
      </c>
      <c r="BH564" t="str">
        <f t="shared" si="228"/>
        <v/>
      </c>
      <c r="BI564" t="str">
        <f t="shared" si="229"/>
        <v/>
      </c>
      <c r="BJ564" t="str">
        <f t="shared" si="230"/>
        <v/>
      </c>
      <c r="BK564" t="str">
        <f t="shared" si="231"/>
        <v/>
      </c>
      <c r="BL564" t="str">
        <f t="shared" si="232"/>
        <v/>
      </c>
      <c r="BM564" t="str">
        <f t="shared" si="233"/>
        <v/>
      </c>
      <c r="BN564" t="str">
        <f t="shared" si="234"/>
        <v/>
      </c>
      <c r="BO564" t="str">
        <f t="shared" si="235"/>
        <v/>
      </c>
      <c r="BP564" t="str">
        <f t="shared" si="236"/>
        <v/>
      </c>
      <c r="BQ564" t="str">
        <f t="shared" si="237"/>
        <v/>
      </c>
      <c r="BR564" t="str">
        <f t="shared" si="238"/>
        <v/>
      </c>
      <c r="BS564" t="str">
        <f t="shared" si="239"/>
        <v/>
      </c>
      <c r="BT564" t="str">
        <f t="shared" si="240"/>
        <v/>
      </c>
      <c r="BU564" t="str">
        <f t="shared" si="241"/>
        <v/>
      </c>
    </row>
    <row r="565" spans="1:73">
      <c r="A565" s="1">
        <v>136158</v>
      </c>
      <c r="B565" t="str">
        <f>VLOOKUP($A565,[1]Table!$A$2:$N734,B$1,FALSE)</f>
        <v>N02AB03</v>
      </c>
      <c r="C565" t="str">
        <f>VLOOKUP($A565,[1]Table!$A$2:$N734,C$1,FALSE)</f>
        <v>ANALGETICA</v>
      </c>
      <c r="D565" t="str">
        <f>VLOOKUP($A565,[1]Table!$A$2:$N734,D$1,FALSE)</f>
        <v>OPIOIDEN</v>
      </c>
      <c r="E565" t="str">
        <f>VLOOKUP($A565,[1]Table!$A$2:$N734,E$1,FALSE)</f>
        <v>FENTANYL</v>
      </c>
      <c r="F565" t="str">
        <f>VLOOKUP($A565,[1]Table!$A$2:$N734,F$1,FALSE)</f>
        <v>FENTANYL PLEISTER 25 MICROG/UUR</v>
      </c>
      <c r="G565" t="str">
        <f>VLOOKUP($A565,[1]Table!$A$2:$N734,G$1,FALSE)</f>
        <v>FENTANYL 25UG/UUR PLEISTER</v>
      </c>
      <c r="H565" t="str">
        <f>VLOOKUP($A565,[1]Table!$A$2:$N734,H$1,FALSE)</f>
        <v>pleister voor transdermaal gebruik</v>
      </c>
      <c r="I565" t="str">
        <f>VLOOKUP($A565,[1]Table!$A$2:$N734,I$1,FALSE)</f>
        <v>transderm</v>
      </c>
      <c r="J565">
        <f>VLOOKUP($A565,[1]Table!$A$2:$N734,J$1,FALSE)</f>
        <v>5.78</v>
      </c>
      <c r="K565" t="str">
        <f>VLOOKUP($A565,[1]Table!$A$2:$N734,K$1,FALSE)</f>
        <v>mg/stuk</v>
      </c>
      <c r="L565">
        <f>VLOOKUP($A565,[1]Table!$A$2:$N734,L$1,FALSE)</f>
        <v>5.78</v>
      </c>
      <c r="M565" t="str">
        <f>VLOOKUP($A565,[1]Table!$A$2:$N734,M$1,FALSE)</f>
        <v>mg</v>
      </c>
      <c r="N565" t="str">
        <f>VLOOKUP($A565,[1]Table!$A$2:$N734,N$1,FALSE)</f>
        <v>Acute pijn||Palliatieve zorg</v>
      </c>
      <c r="O565" t="str">
        <f>ConcatenateRange(AZ565:BU565,"||")</f>
        <v/>
      </c>
      <c r="AZ565" t="str">
        <f t="shared" si="220"/>
        <v/>
      </c>
      <c r="BA565" t="str">
        <f t="shared" si="221"/>
        <v/>
      </c>
      <c r="BB565" t="str">
        <f t="shared" si="222"/>
        <v/>
      </c>
      <c r="BC565" t="str">
        <f t="shared" si="223"/>
        <v/>
      </c>
      <c r="BD565" t="str">
        <f t="shared" si="224"/>
        <v/>
      </c>
      <c r="BE565" t="str">
        <f t="shared" si="225"/>
        <v/>
      </c>
      <c r="BF565" t="str">
        <f t="shared" si="226"/>
        <v/>
      </c>
      <c r="BG565" t="str">
        <f t="shared" si="227"/>
        <v/>
      </c>
      <c r="BH565" t="str">
        <f t="shared" si="228"/>
        <v/>
      </c>
      <c r="BI565" t="str">
        <f t="shared" si="229"/>
        <v/>
      </c>
      <c r="BJ565" t="str">
        <f t="shared" si="230"/>
        <v/>
      </c>
      <c r="BK565" t="str">
        <f t="shared" si="231"/>
        <v/>
      </c>
      <c r="BL565" t="str">
        <f t="shared" si="232"/>
        <v/>
      </c>
      <c r="BM565" t="str">
        <f t="shared" si="233"/>
        <v/>
      </c>
      <c r="BN565" t="str">
        <f t="shared" si="234"/>
        <v/>
      </c>
      <c r="BO565" t="str">
        <f t="shared" si="235"/>
        <v/>
      </c>
      <c r="BP565" t="str">
        <f t="shared" si="236"/>
        <v/>
      </c>
      <c r="BQ565" t="str">
        <f t="shared" si="237"/>
        <v/>
      </c>
      <c r="BR565" t="str">
        <f t="shared" si="238"/>
        <v/>
      </c>
      <c r="BS565" t="str">
        <f t="shared" si="239"/>
        <v/>
      </c>
      <c r="BT565" t="str">
        <f t="shared" si="240"/>
        <v/>
      </c>
      <c r="BU565" t="str">
        <f t="shared" si="241"/>
        <v/>
      </c>
    </row>
    <row r="566" spans="1:73">
      <c r="A566" s="1">
        <v>136166</v>
      </c>
      <c r="B566" t="str">
        <f>VLOOKUP($A566,[1]Table!$A$2:$N735,B$1,FALSE)</f>
        <v>N02AB03</v>
      </c>
      <c r="C566" t="str">
        <f>VLOOKUP($A566,[1]Table!$A$2:$N735,C$1,FALSE)</f>
        <v>ANALGETICA</v>
      </c>
      <c r="D566" t="str">
        <f>VLOOKUP($A566,[1]Table!$A$2:$N735,D$1,FALSE)</f>
        <v>OPIOIDEN</v>
      </c>
      <c r="E566" t="str">
        <f>VLOOKUP($A566,[1]Table!$A$2:$N735,E$1,FALSE)</f>
        <v>FENTANYL</v>
      </c>
      <c r="F566" t="str">
        <f>VLOOKUP($A566,[1]Table!$A$2:$N735,F$1,FALSE)</f>
        <v>FENTANYL PLEISTER 50 MICROG/UUR</v>
      </c>
      <c r="G566" t="str">
        <f>VLOOKUP($A566,[1]Table!$A$2:$N735,G$1,FALSE)</f>
        <v>FENTANYL 50UG/UUR PLEISTER</v>
      </c>
      <c r="H566" t="str">
        <f>VLOOKUP($A566,[1]Table!$A$2:$N735,H$1,FALSE)</f>
        <v>pleister voor transdermaal gebruik</v>
      </c>
      <c r="I566" t="str">
        <f>VLOOKUP($A566,[1]Table!$A$2:$N735,I$1,FALSE)</f>
        <v>transderm</v>
      </c>
      <c r="J566">
        <f>VLOOKUP($A566,[1]Table!$A$2:$N735,J$1,FALSE)</f>
        <v>11.56</v>
      </c>
      <c r="K566" t="str">
        <f>VLOOKUP($A566,[1]Table!$A$2:$N735,K$1,FALSE)</f>
        <v>mg/stuk</v>
      </c>
      <c r="L566">
        <f>VLOOKUP($A566,[1]Table!$A$2:$N735,L$1,FALSE)</f>
        <v>11.56</v>
      </c>
      <c r="M566" t="str">
        <f>VLOOKUP($A566,[1]Table!$A$2:$N735,M$1,FALSE)</f>
        <v>mg</v>
      </c>
      <c r="N566" t="str">
        <f>VLOOKUP($A566,[1]Table!$A$2:$N735,N$1,FALSE)</f>
        <v>Acute pijn||Palliatieve zorg</v>
      </c>
      <c r="O566" t="str">
        <f>ConcatenateRange(AZ566:BU566,"||")</f>
        <v/>
      </c>
      <c r="AZ566" t="str">
        <f t="shared" si="220"/>
        <v/>
      </c>
      <c r="BA566" t="str">
        <f t="shared" si="221"/>
        <v/>
      </c>
      <c r="BB566" t="str">
        <f t="shared" si="222"/>
        <v/>
      </c>
      <c r="BC566" t="str">
        <f t="shared" si="223"/>
        <v/>
      </c>
      <c r="BD566" t="str">
        <f t="shared" si="224"/>
        <v/>
      </c>
      <c r="BE566" t="str">
        <f t="shared" si="225"/>
        <v/>
      </c>
      <c r="BF566" t="str">
        <f t="shared" si="226"/>
        <v/>
      </c>
      <c r="BG566" t="str">
        <f t="shared" si="227"/>
        <v/>
      </c>
      <c r="BH566" t="str">
        <f t="shared" si="228"/>
        <v/>
      </c>
      <c r="BI566" t="str">
        <f t="shared" si="229"/>
        <v/>
      </c>
      <c r="BJ566" t="str">
        <f t="shared" si="230"/>
        <v/>
      </c>
      <c r="BK566" t="str">
        <f t="shared" si="231"/>
        <v/>
      </c>
      <c r="BL566" t="str">
        <f t="shared" si="232"/>
        <v/>
      </c>
      <c r="BM566" t="str">
        <f t="shared" si="233"/>
        <v/>
      </c>
      <c r="BN566" t="str">
        <f t="shared" si="234"/>
        <v/>
      </c>
      <c r="BO566" t="str">
        <f t="shared" si="235"/>
        <v/>
      </c>
      <c r="BP566" t="str">
        <f t="shared" si="236"/>
        <v/>
      </c>
      <c r="BQ566" t="str">
        <f t="shared" si="237"/>
        <v/>
      </c>
      <c r="BR566" t="str">
        <f t="shared" si="238"/>
        <v/>
      </c>
      <c r="BS566" t="str">
        <f t="shared" si="239"/>
        <v/>
      </c>
      <c r="BT566" t="str">
        <f t="shared" si="240"/>
        <v/>
      </c>
      <c r="BU566" t="str">
        <f t="shared" si="241"/>
        <v/>
      </c>
    </row>
    <row r="567" spans="1:73">
      <c r="A567" s="1">
        <v>136174</v>
      </c>
      <c r="B567" t="str">
        <f>VLOOKUP($A567,[1]Table!$A$2:$N736,B$1,FALSE)</f>
        <v>N02AB03</v>
      </c>
      <c r="C567" t="str">
        <f>VLOOKUP($A567,[1]Table!$A$2:$N736,C$1,FALSE)</f>
        <v>ANALGETICA</v>
      </c>
      <c r="D567" t="str">
        <f>VLOOKUP($A567,[1]Table!$A$2:$N736,D$1,FALSE)</f>
        <v>OPIOIDEN</v>
      </c>
      <c r="E567" t="str">
        <f>VLOOKUP($A567,[1]Table!$A$2:$N736,E$1,FALSE)</f>
        <v>FENTANYL</v>
      </c>
      <c r="F567" t="str">
        <f>VLOOKUP($A567,[1]Table!$A$2:$N736,F$1,FALSE)</f>
        <v>FENTANYL PLEISTER 75 MICROG/UUR</v>
      </c>
      <c r="G567" t="str">
        <f>VLOOKUP($A567,[1]Table!$A$2:$N736,G$1,FALSE)</f>
        <v>FENTANYL 75UG/UUR PLEISTER</v>
      </c>
      <c r="H567" t="str">
        <f>VLOOKUP($A567,[1]Table!$A$2:$N736,H$1,FALSE)</f>
        <v>pleister voor transdermaal gebruik</v>
      </c>
      <c r="I567" t="str">
        <f>VLOOKUP($A567,[1]Table!$A$2:$N736,I$1,FALSE)</f>
        <v>transderm</v>
      </c>
      <c r="J567">
        <f>VLOOKUP($A567,[1]Table!$A$2:$N736,J$1,FALSE)</f>
        <v>17.34</v>
      </c>
      <c r="K567" t="str">
        <f>VLOOKUP($A567,[1]Table!$A$2:$N736,K$1,FALSE)</f>
        <v>mg/stuk</v>
      </c>
      <c r="L567">
        <f>VLOOKUP($A567,[1]Table!$A$2:$N736,L$1,FALSE)</f>
        <v>17.34</v>
      </c>
      <c r="M567" t="str">
        <f>VLOOKUP($A567,[1]Table!$A$2:$N736,M$1,FALSE)</f>
        <v>mg</v>
      </c>
      <c r="N567" t="str">
        <f>VLOOKUP($A567,[1]Table!$A$2:$N736,N$1,FALSE)</f>
        <v>Acute pijn||Palliatieve zorg</v>
      </c>
      <c r="O567" t="str">
        <f>ConcatenateRange(AZ567:BU567,"||")</f>
        <v/>
      </c>
      <c r="AZ567" t="str">
        <f t="shared" si="220"/>
        <v/>
      </c>
      <c r="BA567" t="str">
        <f t="shared" si="221"/>
        <v/>
      </c>
      <c r="BB567" t="str">
        <f t="shared" si="222"/>
        <v/>
      </c>
      <c r="BC567" t="str">
        <f t="shared" si="223"/>
        <v/>
      </c>
      <c r="BD567" t="str">
        <f t="shared" si="224"/>
        <v/>
      </c>
      <c r="BE567" t="str">
        <f t="shared" si="225"/>
        <v/>
      </c>
      <c r="BF567" t="str">
        <f t="shared" si="226"/>
        <v/>
      </c>
      <c r="BG567" t="str">
        <f t="shared" si="227"/>
        <v/>
      </c>
      <c r="BH567" t="str">
        <f t="shared" si="228"/>
        <v/>
      </c>
      <c r="BI567" t="str">
        <f t="shared" si="229"/>
        <v/>
      </c>
      <c r="BJ567" t="str">
        <f t="shared" si="230"/>
        <v/>
      </c>
      <c r="BK567" t="str">
        <f t="shared" si="231"/>
        <v/>
      </c>
      <c r="BL567" t="str">
        <f t="shared" si="232"/>
        <v/>
      </c>
      <c r="BM567" t="str">
        <f t="shared" si="233"/>
        <v/>
      </c>
      <c r="BN567" t="str">
        <f t="shared" si="234"/>
        <v/>
      </c>
      <c r="BO567" t="str">
        <f t="shared" si="235"/>
        <v/>
      </c>
      <c r="BP567" t="str">
        <f t="shared" si="236"/>
        <v/>
      </c>
      <c r="BQ567" t="str">
        <f t="shared" si="237"/>
        <v/>
      </c>
      <c r="BR567" t="str">
        <f t="shared" si="238"/>
        <v/>
      </c>
      <c r="BS567" t="str">
        <f t="shared" si="239"/>
        <v/>
      </c>
      <c r="BT567" t="str">
        <f t="shared" si="240"/>
        <v/>
      </c>
      <c r="BU567" t="str">
        <f t="shared" si="241"/>
        <v/>
      </c>
    </row>
    <row r="568" spans="1:73">
      <c r="A568" s="1">
        <v>136182</v>
      </c>
      <c r="B568" t="str">
        <f>VLOOKUP($A568,[1]Table!$A$2:$N737,B$1,FALSE)</f>
        <v>N02AB03</v>
      </c>
      <c r="C568" t="str">
        <f>VLOOKUP($A568,[1]Table!$A$2:$N737,C$1,FALSE)</f>
        <v>ANALGETICA</v>
      </c>
      <c r="D568" t="str">
        <f>VLOOKUP($A568,[1]Table!$A$2:$N737,D$1,FALSE)</f>
        <v>OPIOIDEN</v>
      </c>
      <c r="E568" t="str">
        <f>VLOOKUP($A568,[1]Table!$A$2:$N737,E$1,FALSE)</f>
        <v>FENTANYL</v>
      </c>
      <c r="F568" t="str">
        <f>VLOOKUP($A568,[1]Table!$A$2:$N737,F$1,FALSE)</f>
        <v>FENTANYL PLEISTER 100 MICROG/UUR</v>
      </c>
      <c r="G568" t="str">
        <f>VLOOKUP($A568,[1]Table!$A$2:$N737,G$1,FALSE)</f>
        <v>FENTANYL 100UG/UUR PLEISTER</v>
      </c>
      <c r="H568" t="str">
        <f>VLOOKUP($A568,[1]Table!$A$2:$N737,H$1,FALSE)</f>
        <v>pleister voor transdermaal gebruik</v>
      </c>
      <c r="I568" t="str">
        <f>VLOOKUP($A568,[1]Table!$A$2:$N737,I$1,FALSE)</f>
        <v>transderm</v>
      </c>
      <c r="J568">
        <f>VLOOKUP($A568,[1]Table!$A$2:$N737,J$1,FALSE)</f>
        <v>23.12</v>
      </c>
      <c r="K568" t="str">
        <f>VLOOKUP($A568,[1]Table!$A$2:$N737,K$1,FALSE)</f>
        <v>mg/stuk</v>
      </c>
      <c r="L568">
        <f>VLOOKUP($A568,[1]Table!$A$2:$N737,L$1,FALSE)</f>
        <v>23.12</v>
      </c>
      <c r="M568" t="str">
        <f>VLOOKUP($A568,[1]Table!$A$2:$N737,M$1,FALSE)</f>
        <v>mg</v>
      </c>
      <c r="N568" t="str">
        <f>VLOOKUP($A568,[1]Table!$A$2:$N737,N$1,FALSE)</f>
        <v>Acute pijn||Palliatieve zorg</v>
      </c>
      <c r="O568" t="str">
        <f>ConcatenateRange(AZ568:BU568,"||")</f>
        <v/>
      </c>
      <c r="AZ568" t="str">
        <f t="shared" si="220"/>
        <v/>
      </c>
      <c r="BA568" t="str">
        <f t="shared" si="221"/>
        <v/>
      </c>
      <c r="BB568" t="str">
        <f t="shared" si="222"/>
        <v/>
      </c>
      <c r="BC568" t="str">
        <f t="shared" si="223"/>
        <v/>
      </c>
      <c r="BD568" t="str">
        <f t="shared" si="224"/>
        <v/>
      </c>
      <c r="BE568" t="str">
        <f t="shared" si="225"/>
        <v/>
      </c>
      <c r="BF568" t="str">
        <f t="shared" si="226"/>
        <v/>
      </c>
      <c r="BG568" t="str">
        <f t="shared" si="227"/>
        <v/>
      </c>
      <c r="BH568" t="str">
        <f t="shared" si="228"/>
        <v/>
      </c>
      <c r="BI568" t="str">
        <f t="shared" si="229"/>
        <v/>
      </c>
      <c r="BJ568" t="str">
        <f t="shared" si="230"/>
        <v/>
      </c>
      <c r="BK568" t="str">
        <f t="shared" si="231"/>
        <v/>
      </c>
      <c r="BL568" t="str">
        <f t="shared" si="232"/>
        <v/>
      </c>
      <c r="BM568" t="str">
        <f t="shared" si="233"/>
        <v/>
      </c>
      <c r="BN568" t="str">
        <f t="shared" si="234"/>
        <v/>
      </c>
      <c r="BO568" t="str">
        <f t="shared" si="235"/>
        <v/>
      </c>
      <c r="BP568" t="str">
        <f t="shared" si="236"/>
        <v/>
      </c>
      <c r="BQ568" t="str">
        <f t="shared" si="237"/>
        <v/>
      </c>
      <c r="BR568" t="str">
        <f t="shared" si="238"/>
        <v/>
      </c>
      <c r="BS568" t="str">
        <f t="shared" si="239"/>
        <v/>
      </c>
      <c r="BT568" t="str">
        <f t="shared" si="240"/>
        <v/>
      </c>
      <c r="BU568" t="str">
        <f t="shared" si="241"/>
        <v/>
      </c>
    </row>
    <row r="569" spans="1:73">
      <c r="A569" s="1">
        <v>135461</v>
      </c>
      <c r="B569" t="str">
        <f>VLOOKUP($A569,[1]Table!$A$2:$N738,B$1,FALSE)</f>
        <v>N02AB03</v>
      </c>
      <c r="C569" t="str">
        <f>VLOOKUP($A569,[1]Table!$A$2:$N738,C$1,FALSE)</f>
        <v>ANALGETICA</v>
      </c>
      <c r="D569" t="str">
        <f>VLOOKUP($A569,[1]Table!$A$2:$N738,D$1,FALSE)</f>
        <v>OPIOIDEN</v>
      </c>
      <c r="E569" t="str">
        <f>VLOOKUP($A569,[1]Table!$A$2:$N738,E$1,FALSE)</f>
        <v>FENTANYL</v>
      </c>
      <c r="F569" t="str">
        <f>VLOOKUP($A569,[1]Table!$A$2:$N738,F$1,FALSE)</f>
        <v>EFFENTORA 100 MCG TABLET BUCCAAL</v>
      </c>
      <c r="G569" t="str">
        <f>VLOOKUP($A569,[1]Table!$A$2:$N738,G$1,FALSE)</f>
        <v>FENTANYL 100UG TAB BUCCAAL</v>
      </c>
      <c r="H569" t="str">
        <f>VLOOKUP($A569,[1]Table!$A$2:$N738,H$1,FALSE)</f>
        <v>tablet voor buccaal gebruik</v>
      </c>
      <c r="I569" t="str">
        <f>VLOOKUP($A569,[1]Table!$A$2:$N738,I$1,FALSE)</f>
        <v>oromuc</v>
      </c>
      <c r="J569">
        <f>VLOOKUP($A569,[1]Table!$A$2:$N738,J$1,FALSE)</f>
        <v>100</v>
      </c>
      <c r="K569" t="str">
        <f>VLOOKUP($A569,[1]Table!$A$2:$N738,K$1,FALSE)</f>
        <v>mcg/stuk</v>
      </c>
      <c r="L569">
        <f>VLOOKUP($A569,[1]Table!$A$2:$N738,L$1,FALSE)</f>
        <v>100</v>
      </c>
      <c r="M569" t="str">
        <f>VLOOKUP($A569,[1]Table!$A$2:$N738,M$1,FALSE)</f>
        <v>mcg</v>
      </c>
      <c r="N569" t="str">
        <f>VLOOKUP($A569,[1]Table!$A$2:$N738,N$1,FALSE)</f>
        <v>Acute pijn||Palliatieve zorg</v>
      </c>
      <c r="O569" t="str">
        <f>ConcatenateRange(AZ569:BU569,"||")</f>
        <v/>
      </c>
      <c r="AZ569" t="str">
        <f t="shared" si="220"/>
        <v/>
      </c>
      <c r="BA569" t="str">
        <f t="shared" si="221"/>
        <v/>
      </c>
      <c r="BB569" t="str">
        <f t="shared" si="222"/>
        <v/>
      </c>
      <c r="BC569" t="str">
        <f t="shared" si="223"/>
        <v/>
      </c>
      <c r="BD569" t="str">
        <f t="shared" si="224"/>
        <v/>
      </c>
      <c r="BE569" t="str">
        <f t="shared" si="225"/>
        <v/>
      </c>
      <c r="BF569" t="str">
        <f t="shared" si="226"/>
        <v/>
      </c>
      <c r="BG569" t="str">
        <f t="shared" si="227"/>
        <v/>
      </c>
      <c r="BH569" t="str">
        <f t="shared" si="228"/>
        <v/>
      </c>
      <c r="BI569" t="str">
        <f t="shared" si="229"/>
        <v/>
      </c>
      <c r="BJ569" t="str">
        <f t="shared" si="230"/>
        <v/>
      </c>
      <c r="BK569" t="str">
        <f t="shared" si="231"/>
        <v/>
      </c>
      <c r="BL569" t="str">
        <f t="shared" si="232"/>
        <v/>
      </c>
      <c r="BM569" t="str">
        <f t="shared" si="233"/>
        <v/>
      </c>
      <c r="BN569" t="str">
        <f t="shared" si="234"/>
        <v/>
      </c>
      <c r="BO569" t="str">
        <f t="shared" si="235"/>
        <v/>
      </c>
      <c r="BP569" t="str">
        <f t="shared" si="236"/>
        <v/>
      </c>
      <c r="BQ569" t="str">
        <f t="shared" si="237"/>
        <v/>
      </c>
      <c r="BR569" t="str">
        <f t="shared" si="238"/>
        <v/>
      </c>
      <c r="BS569" t="str">
        <f t="shared" si="239"/>
        <v/>
      </c>
      <c r="BT569" t="str">
        <f t="shared" si="240"/>
        <v/>
      </c>
      <c r="BU569" t="str">
        <f t="shared" si="241"/>
        <v/>
      </c>
    </row>
    <row r="570" spans="1:73">
      <c r="A570" s="1">
        <v>135496</v>
      </c>
      <c r="B570" t="str">
        <f>VLOOKUP($A570,[1]Table!$A$2:$N739,B$1,FALSE)</f>
        <v>N02AB03</v>
      </c>
      <c r="C570" t="str">
        <f>VLOOKUP($A570,[1]Table!$A$2:$N739,C$1,FALSE)</f>
        <v>ANALGETICA</v>
      </c>
      <c r="D570" t="str">
        <f>VLOOKUP($A570,[1]Table!$A$2:$N739,D$1,FALSE)</f>
        <v>OPIOIDEN</v>
      </c>
      <c r="E570" t="str">
        <f>VLOOKUP($A570,[1]Table!$A$2:$N739,E$1,FALSE)</f>
        <v>FENTANYL</v>
      </c>
      <c r="F570" t="str">
        <f>VLOOKUP($A570,[1]Table!$A$2:$N739,F$1,FALSE)</f>
        <v>EFFENTORA  400 MCG TABLET BUCCAAL</v>
      </c>
      <c r="G570" t="str">
        <f>VLOOKUP($A570,[1]Table!$A$2:$N739,G$1,FALSE)</f>
        <v>FENTANYL 400UG TAB BUCCAAL</v>
      </c>
      <c r="H570" t="str">
        <f>VLOOKUP($A570,[1]Table!$A$2:$N739,H$1,FALSE)</f>
        <v>tablet voor buccaal gebruik</v>
      </c>
      <c r="I570" t="str">
        <f>VLOOKUP($A570,[1]Table!$A$2:$N739,I$1,FALSE)</f>
        <v>oromuc</v>
      </c>
      <c r="J570">
        <f>VLOOKUP($A570,[1]Table!$A$2:$N739,J$1,FALSE)</f>
        <v>400</v>
      </c>
      <c r="K570" t="str">
        <f>VLOOKUP($A570,[1]Table!$A$2:$N739,K$1,FALSE)</f>
        <v>mcg/stuk</v>
      </c>
      <c r="L570">
        <f>VLOOKUP($A570,[1]Table!$A$2:$N739,L$1,FALSE)</f>
        <v>400</v>
      </c>
      <c r="M570" t="str">
        <f>VLOOKUP($A570,[1]Table!$A$2:$N739,M$1,FALSE)</f>
        <v>mcg</v>
      </c>
      <c r="N570" t="str">
        <f>VLOOKUP($A570,[1]Table!$A$2:$N739,N$1,FALSE)</f>
        <v>Acute pijn||Palliatieve zorg</v>
      </c>
      <c r="O570" t="str">
        <f>ConcatenateRange(AZ570:BU570,"||")</f>
        <v/>
      </c>
      <c r="AZ570" t="str">
        <f t="shared" si="220"/>
        <v/>
      </c>
      <c r="BA570" t="str">
        <f t="shared" si="221"/>
        <v/>
      </c>
      <c r="BB570" t="str">
        <f t="shared" si="222"/>
        <v/>
      </c>
      <c r="BC570" t="str">
        <f t="shared" si="223"/>
        <v/>
      </c>
      <c r="BD570" t="str">
        <f t="shared" si="224"/>
        <v/>
      </c>
      <c r="BE570" t="str">
        <f t="shared" si="225"/>
        <v/>
      </c>
      <c r="BF570" t="str">
        <f t="shared" si="226"/>
        <v/>
      </c>
      <c r="BG570" t="str">
        <f t="shared" si="227"/>
        <v/>
      </c>
      <c r="BH570" t="str">
        <f t="shared" si="228"/>
        <v/>
      </c>
      <c r="BI570" t="str">
        <f t="shared" si="229"/>
        <v/>
      </c>
      <c r="BJ570" t="str">
        <f t="shared" si="230"/>
        <v/>
      </c>
      <c r="BK570" t="str">
        <f t="shared" si="231"/>
        <v/>
      </c>
      <c r="BL570" t="str">
        <f t="shared" si="232"/>
        <v/>
      </c>
      <c r="BM570" t="str">
        <f t="shared" si="233"/>
        <v/>
      </c>
      <c r="BN570" t="str">
        <f t="shared" si="234"/>
        <v/>
      </c>
      <c r="BO570" t="str">
        <f t="shared" si="235"/>
        <v/>
      </c>
      <c r="BP570" t="str">
        <f t="shared" si="236"/>
        <v/>
      </c>
      <c r="BQ570" t="str">
        <f t="shared" si="237"/>
        <v/>
      </c>
      <c r="BR570" t="str">
        <f t="shared" si="238"/>
        <v/>
      </c>
      <c r="BS570" t="str">
        <f t="shared" si="239"/>
        <v/>
      </c>
      <c r="BT570" t="str">
        <f t="shared" si="240"/>
        <v/>
      </c>
      <c r="BU570" t="str">
        <f t="shared" si="241"/>
        <v/>
      </c>
    </row>
    <row r="571" spans="1:73">
      <c r="A571" s="1">
        <v>136913</v>
      </c>
      <c r="B571" t="str">
        <f>VLOOKUP($A571,[1]Table!$A$2:$N740,B$1,FALSE)</f>
        <v>N02AB03</v>
      </c>
      <c r="C571" t="str">
        <f>VLOOKUP($A571,[1]Table!$A$2:$N740,C$1,FALSE)</f>
        <v>ANALGETICA</v>
      </c>
      <c r="D571" t="str">
        <f>VLOOKUP($A571,[1]Table!$A$2:$N740,D$1,FALSE)</f>
        <v>OPIOIDEN</v>
      </c>
      <c r="E571" t="str">
        <f>VLOOKUP($A571,[1]Table!$A$2:$N740,E$1,FALSE)</f>
        <v>FENTANYL</v>
      </c>
      <c r="F571" t="str">
        <f>VLOOKUP($A571,[1]Table!$A$2:$N740,F$1,FALSE)</f>
        <v>ABSTRAL 100 MICROG TABLET SUBLINGUAAL</v>
      </c>
      <c r="G571" t="str">
        <f>VLOOKUP($A571,[1]Table!$A$2:$N740,G$1,FALSE)</f>
        <v>FENTANYL 100UG TAB SUBLINGU</v>
      </c>
      <c r="H571" t="str">
        <f>VLOOKUP($A571,[1]Table!$A$2:$N740,H$1,FALSE)</f>
        <v>tablet voor sublinguaal gebruik</v>
      </c>
      <c r="I571" t="str">
        <f>VLOOKUP($A571,[1]Table!$A$2:$N740,I$1,FALSE)</f>
        <v>subling</v>
      </c>
      <c r="J571">
        <f>VLOOKUP($A571,[1]Table!$A$2:$N740,J$1,FALSE)</f>
        <v>100</v>
      </c>
      <c r="K571" t="str">
        <f>VLOOKUP($A571,[1]Table!$A$2:$N740,K$1,FALSE)</f>
        <v>mcg/stuk</v>
      </c>
      <c r="L571">
        <f>VLOOKUP($A571,[1]Table!$A$2:$N740,L$1,FALSE)</f>
        <v>100</v>
      </c>
      <c r="M571" t="str">
        <f>VLOOKUP($A571,[1]Table!$A$2:$N740,M$1,FALSE)</f>
        <v>mcg</v>
      </c>
      <c r="N571" t="str">
        <f>VLOOKUP($A571,[1]Table!$A$2:$N740,N$1,FALSE)</f>
        <v>Acute pijn||Palliatieve zorg</v>
      </c>
      <c r="O571" t="str">
        <f>ConcatenateRange(AZ571:BU571,"||")</f>
        <v/>
      </c>
      <c r="AZ571" t="str">
        <f t="shared" si="220"/>
        <v/>
      </c>
      <c r="BA571" t="str">
        <f t="shared" si="221"/>
        <v/>
      </c>
      <c r="BB571" t="str">
        <f t="shared" si="222"/>
        <v/>
      </c>
      <c r="BC571" t="str">
        <f t="shared" si="223"/>
        <v/>
      </c>
      <c r="BD571" t="str">
        <f t="shared" si="224"/>
        <v/>
      </c>
      <c r="BE571" t="str">
        <f t="shared" si="225"/>
        <v/>
      </c>
      <c r="BF571" t="str">
        <f t="shared" si="226"/>
        <v/>
      </c>
      <c r="BG571" t="str">
        <f t="shared" si="227"/>
        <v/>
      </c>
      <c r="BH571" t="str">
        <f t="shared" si="228"/>
        <v/>
      </c>
      <c r="BI571" t="str">
        <f t="shared" si="229"/>
        <v/>
      </c>
      <c r="BJ571" t="str">
        <f t="shared" si="230"/>
        <v/>
      </c>
      <c r="BK571" t="str">
        <f t="shared" si="231"/>
        <v/>
      </c>
      <c r="BL571" t="str">
        <f t="shared" si="232"/>
        <v/>
      </c>
      <c r="BM571" t="str">
        <f t="shared" si="233"/>
        <v/>
      </c>
      <c r="BN571" t="str">
        <f t="shared" si="234"/>
        <v/>
      </c>
      <c r="BO571" t="str">
        <f t="shared" si="235"/>
        <v/>
      </c>
      <c r="BP571" t="str">
        <f t="shared" si="236"/>
        <v/>
      </c>
      <c r="BQ571" t="str">
        <f t="shared" si="237"/>
        <v/>
      </c>
      <c r="BR571" t="str">
        <f t="shared" si="238"/>
        <v/>
      </c>
      <c r="BS571" t="str">
        <f t="shared" si="239"/>
        <v/>
      </c>
      <c r="BT571" t="str">
        <f t="shared" si="240"/>
        <v/>
      </c>
      <c r="BU571" t="str">
        <f t="shared" si="241"/>
        <v/>
      </c>
    </row>
    <row r="572" spans="1:73">
      <c r="A572" s="1">
        <v>136921</v>
      </c>
      <c r="B572" t="str">
        <f>VLOOKUP($A572,[1]Table!$A$2:$N741,B$1,FALSE)</f>
        <v>N02AB03</v>
      </c>
      <c r="C572" t="str">
        <f>VLOOKUP($A572,[1]Table!$A$2:$N741,C$1,FALSE)</f>
        <v>ANALGETICA</v>
      </c>
      <c r="D572" t="str">
        <f>VLOOKUP($A572,[1]Table!$A$2:$N741,D$1,FALSE)</f>
        <v>OPIOIDEN</v>
      </c>
      <c r="E572" t="str">
        <f>VLOOKUP($A572,[1]Table!$A$2:$N741,E$1,FALSE)</f>
        <v>FENTANYL</v>
      </c>
      <c r="F572" t="str">
        <f>VLOOKUP($A572,[1]Table!$A$2:$N741,F$1,FALSE)</f>
        <v>ABSTRAL 200 MICROG TABLET SUBLINGUAAL</v>
      </c>
      <c r="G572" t="str">
        <f>VLOOKUP($A572,[1]Table!$A$2:$N741,G$1,FALSE)</f>
        <v>FENTANYL 200UG TAB SUBLINGU</v>
      </c>
      <c r="H572" t="str">
        <f>VLOOKUP($A572,[1]Table!$A$2:$N741,H$1,FALSE)</f>
        <v>tablet voor sublinguaal gebruik</v>
      </c>
      <c r="I572" t="str">
        <f>VLOOKUP($A572,[1]Table!$A$2:$N741,I$1,FALSE)</f>
        <v>subling</v>
      </c>
      <c r="J572">
        <f>VLOOKUP($A572,[1]Table!$A$2:$N741,J$1,FALSE)</f>
        <v>200</v>
      </c>
      <c r="K572" t="str">
        <f>VLOOKUP($A572,[1]Table!$A$2:$N741,K$1,FALSE)</f>
        <v>mcg/stuk</v>
      </c>
      <c r="L572">
        <f>VLOOKUP($A572,[1]Table!$A$2:$N741,L$1,FALSE)</f>
        <v>200</v>
      </c>
      <c r="M572" t="str">
        <f>VLOOKUP($A572,[1]Table!$A$2:$N741,M$1,FALSE)</f>
        <v>mcg</v>
      </c>
      <c r="N572" t="str">
        <f>VLOOKUP($A572,[1]Table!$A$2:$N741,N$1,FALSE)</f>
        <v>Acute pijn||Palliatieve zorg</v>
      </c>
      <c r="O572" t="str">
        <f>ConcatenateRange(AZ572:BU572,"||")</f>
        <v/>
      </c>
      <c r="AZ572" t="str">
        <f t="shared" si="220"/>
        <v/>
      </c>
      <c r="BA572" t="str">
        <f t="shared" si="221"/>
        <v/>
      </c>
      <c r="BB572" t="str">
        <f t="shared" si="222"/>
        <v/>
      </c>
      <c r="BC572" t="str">
        <f t="shared" si="223"/>
        <v/>
      </c>
      <c r="BD572" t="str">
        <f t="shared" si="224"/>
        <v/>
      </c>
      <c r="BE572" t="str">
        <f t="shared" si="225"/>
        <v/>
      </c>
      <c r="BF572" t="str">
        <f t="shared" si="226"/>
        <v/>
      </c>
      <c r="BG572" t="str">
        <f t="shared" si="227"/>
        <v/>
      </c>
      <c r="BH572" t="str">
        <f t="shared" si="228"/>
        <v/>
      </c>
      <c r="BI572" t="str">
        <f t="shared" si="229"/>
        <v/>
      </c>
      <c r="BJ572" t="str">
        <f t="shared" si="230"/>
        <v/>
      </c>
      <c r="BK572" t="str">
        <f t="shared" si="231"/>
        <v/>
      </c>
      <c r="BL572" t="str">
        <f t="shared" si="232"/>
        <v/>
      </c>
      <c r="BM572" t="str">
        <f t="shared" si="233"/>
        <v/>
      </c>
      <c r="BN572" t="str">
        <f t="shared" si="234"/>
        <v/>
      </c>
      <c r="BO572" t="str">
        <f t="shared" si="235"/>
        <v/>
      </c>
      <c r="BP572" t="str">
        <f t="shared" si="236"/>
        <v/>
      </c>
      <c r="BQ572" t="str">
        <f t="shared" si="237"/>
        <v/>
      </c>
      <c r="BR572" t="str">
        <f t="shared" si="238"/>
        <v/>
      </c>
      <c r="BS572" t="str">
        <f t="shared" si="239"/>
        <v/>
      </c>
      <c r="BT572" t="str">
        <f t="shared" si="240"/>
        <v/>
      </c>
      <c r="BU572" t="str">
        <f t="shared" si="241"/>
        <v/>
      </c>
    </row>
    <row r="573" spans="1:73">
      <c r="A573" s="1">
        <v>128104</v>
      </c>
      <c r="B573" t="str">
        <f>VLOOKUP($A573,[1]Table!$A$2:$N743,B$1,FALSE)</f>
        <v>N02AB03</v>
      </c>
      <c r="C573" t="str">
        <f>VLOOKUP($A573,[1]Table!$A$2:$N743,C$1,FALSE)</f>
        <v>ANALGETICA</v>
      </c>
      <c r="D573" t="str">
        <f>VLOOKUP($A573,[1]Table!$A$2:$N743,D$1,FALSE)</f>
        <v>OPIOIDEN</v>
      </c>
      <c r="E573" t="str">
        <f>VLOOKUP($A573,[1]Table!$A$2:$N743,E$1,FALSE)</f>
        <v>FENTANYL</v>
      </c>
      <c r="F573" t="str">
        <f>VLOOKUP($A573,[1]Table!$A$2:$N743,F$1,FALSE)</f>
        <v>ACTIQ 200 MICROG ZUIGTABLET</v>
      </c>
      <c r="G573" t="str">
        <f>VLOOKUP($A573,[1]Table!$A$2:$N743,G$1,FALSE)</f>
        <v>FENTANYL 200UG ZUIGTABLET</v>
      </c>
      <c r="H573" t="str">
        <f>VLOOKUP($A573,[1]Table!$A$2:$N743,H$1,FALSE)</f>
        <v>zuigtablet</v>
      </c>
      <c r="I573" t="str">
        <f>VLOOKUP($A573,[1]Table!$A$2:$N743,I$1,FALSE)</f>
        <v>oromuc</v>
      </c>
      <c r="J573">
        <f>VLOOKUP($A573,[1]Table!$A$2:$N743,J$1,FALSE)</f>
        <v>200</v>
      </c>
      <c r="K573" t="str">
        <f>VLOOKUP($A573,[1]Table!$A$2:$N743,K$1,FALSE)</f>
        <v>mcg/stuk</v>
      </c>
      <c r="L573">
        <f>VLOOKUP($A573,[1]Table!$A$2:$N743,L$1,FALSE)</f>
        <v>200</v>
      </c>
      <c r="M573" t="str">
        <f>VLOOKUP($A573,[1]Table!$A$2:$N743,M$1,FALSE)</f>
        <v>mcg</v>
      </c>
      <c r="N573" t="str">
        <f>VLOOKUP($A573,[1]Table!$A$2:$N743,N$1,FALSE)</f>
        <v>Acute pijn||Palliatieve zorg</v>
      </c>
      <c r="O573" t="str">
        <f>ConcatenateRange(AZ573:BU573,"||")</f>
        <v/>
      </c>
      <c r="AZ573" t="str">
        <f t="shared" si="220"/>
        <v/>
      </c>
      <c r="BA573" t="str">
        <f t="shared" si="221"/>
        <v/>
      </c>
      <c r="BB573" t="str">
        <f t="shared" si="222"/>
        <v/>
      </c>
      <c r="BC573" t="str">
        <f t="shared" si="223"/>
        <v/>
      </c>
      <c r="BD573" t="str">
        <f t="shared" si="224"/>
        <v/>
      </c>
      <c r="BE573" t="str">
        <f t="shared" si="225"/>
        <v/>
      </c>
      <c r="BF573" t="str">
        <f t="shared" si="226"/>
        <v/>
      </c>
      <c r="BG573" t="str">
        <f t="shared" si="227"/>
        <v/>
      </c>
      <c r="BH573" t="str">
        <f t="shared" si="228"/>
        <v/>
      </c>
      <c r="BI573" t="str">
        <f t="shared" si="229"/>
        <v/>
      </c>
      <c r="BJ573" t="str">
        <f t="shared" si="230"/>
        <v/>
      </c>
      <c r="BK573" t="str">
        <f t="shared" si="231"/>
        <v/>
      </c>
      <c r="BL573" t="str">
        <f t="shared" si="232"/>
        <v/>
      </c>
      <c r="BM573" t="str">
        <f t="shared" si="233"/>
        <v/>
      </c>
      <c r="BN573" t="str">
        <f t="shared" si="234"/>
        <v/>
      </c>
      <c r="BO573" t="str">
        <f t="shared" si="235"/>
        <v/>
      </c>
      <c r="BP573" t="str">
        <f t="shared" si="236"/>
        <v/>
      </c>
      <c r="BQ573" t="str">
        <f t="shared" si="237"/>
        <v/>
      </c>
      <c r="BR573" t="str">
        <f t="shared" si="238"/>
        <v/>
      </c>
      <c r="BS573" t="str">
        <f t="shared" si="239"/>
        <v/>
      </c>
      <c r="BT573" t="str">
        <f t="shared" si="240"/>
        <v/>
      </c>
      <c r="BU573" t="str">
        <f t="shared" si="241"/>
        <v/>
      </c>
    </row>
    <row r="574" spans="1:73">
      <c r="A574" s="1">
        <v>128112</v>
      </c>
      <c r="B574" t="str">
        <f>VLOOKUP($A574,[1]Table!$A$2:$N744,B$1,FALSE)</f>
        <v>N02AB03</v>
      </c>
      <c r="C574" t="str">
        <f>VLOOKUP($A574,[1]Table!$A$2:$N744,C$1,FALSE)</f>
        <v>ANALGETICA</v>
      </c>
      <c r="D574" t="str">
        <f>VLOOKUP($A574,[1]Table!$A$2:$N744,D$1,FALSE)</f>
        <v>OPIOIDEN</v>
      </c>
      <c r="E574" t="str">
        <f>VLOOKUP($A574,[1]Table!$A$2:$N744,E$1,FALSE)</f>
        <v>FENTANYL</v>
      </c>
      <c r="F574" t="str">
        <f>VLOOKUP($A574,[1]Table!$A$2:$N744,F$1,FALSE)</f>
        <v>ACTIQ 400 MICROG ZUIGTABLET</v>
      </c>
      <c r="G574" t="str">
        <f>VLOOKUP($A574,[1]Table!$A$2:$N744,G$1,FALSE)</f>
        <v>FENTANYL 400UG ZUIGTABLET</v>
      </c>
      <c r="H574" t="str">
        <f>VLOOKUP($A574,[1]Table!$A$2:$N744,H$1,FALSE)</f>
        <v>zuigtablet</v>
      </c>
      <c r="I574" t="str">
        <f>VLOOKUP($A574,[1]Table!$A$2:$N744,I$1,FALSE)</f>
        <v>oromuc</v>
      </c>
      <c r="J574">
        <f>VLOOKUP($A574,[1]Table!$A$2:$N744,J$1,FALSE)</f>
        <v>400</v>
      </c>
      <c r="K574" t="str">
        <f>VLOOKUP($A574,[1]Table!$A$2:$N744,K$1,FALSE)</f>
        <v>mcg/stuk</v>
      </c>
      <c r="L574">
        <f>VLOOKUP($A574,[1]Table!$A$2:$N744,L$1,FALSE)</f>
        <v>400</v>
      </c>
      <c r="M574" t="str">
        <f>VLOOKUP($A574,[1]Table!$A$2:$N744,M$1,FALSE)</f>
        <v>mcg</v>
      </c>
      <c r="N574" t="str">
        <f>VLOOKUP($A574,[1]Table!$A$2:$N744,N$1,FALSE)</f>
        <v>Acute pijn||Palliatieve zorg</v>
      </c>
      <c r="O574" t="str">
        <f>ConcatenateRange(AZ574:BU574,"||")</f>
        <v/>
      </c>
      <c r="AZ574" t="str">
        <f t="shared" si="220"/>
        <v/>
      </c>
      <c r="BA574" t="str">
        <f t="shared" si="221"/>
        <v/>
      </c>
      <c r="BB574" t="str">
        <f t="shared" si="222"/>
        <v/>
      </c>
      <c r="BC574" t="str">
        <f t="shared" si="223"/>
        <v/>
      </c>
      <c r="BD574" t="str">
        <f t="shared" si="224"/>
        <v/>
      </c>
      <c r="BE574" t="str">
        <f t="shared" si="225"/>
        <v/>
      </c>
      <c r="BF574" t="str">
        <f t="shared" si="226"/>
        <v/>
      </c>
      <c r="BG574" t="str">
        <f t="shared" si="227"/>
        <v/>
      </c>
      <c r="BH574" t="str">
        <f t="shared" si="228"/>
        <v/>
      </c>
      <c r="BI574" t="str">
        <f t="shared" si="229"/>
        <v/>
      </c>
      <c r="BJ574" t="str">
        <f t="shared" si="230"/>
        <v/>
      </c>
      <c r="BK574" t="str">
        <f t="shared" si="231"/>
        <v/>
      </c>
      <c r="BL574" t="str">
        <f t="shared" si="232"/>
        <v/>
      </c>
      <c r="BM574" t="str">
        <f t="shared" si="233"/>
        <v/>
      </c>
      <c r="BN574" t="str">
        <f t="shared" si="234"/>
        <v/>
      </c>
      <c r="BO574" t="str">
        <f t="shared" si="235"/>
        <v/>
      </c>
      <c r="BP574" t="str">
        <f t="shared" si="236"/>
        <v/>
      </c>
      <c r="BQ574" t="str">
        <f t="shared" si="237"/>
        <v/>
      </c>
      <c r="BR574" t="str">
        <f t="shared" si="238"/>
        <v/>
      </c>
      <c r="BS574" t="str">
        <f t="shared" si="239"/>
        <v/>
      </c>
      <c r="BT574" t="str">
        <f t="shared" si="240"/>
        <v/>
      </c>
      <c r="BU574" t="str">
        <f t="shared" si="241"/>
        <v/>
      </c>
    </row>
    <row r="575" spans="1:73">
      <c r="A575" s="1">
        <v>128139</v>
      </c>
      <c r="B575" t="str">
        <f>VLOOKUP($A575,[1]Table!$A$2:$N745,B$1,FALSE)</f>
        <v>N02AB03</v>
      </c>
      <c r="C575" t="str">
        <f>VLOOKUP($A575,[1]Table!$A$2:$N745,C$1,FALSE)</f>
        <v>ANALGETICA</v>
      </c>
      <c r="D575" t="str">
        <f>VLOOKUP($A575,[1]Table!$A$2:$N745,D$1,FALSE)</f>
        <v>OPIOIDEN</v>
      </c>
      <c r="E575" t="str">
        <f>VLOOKUP($A575,[1]Table!$A$2:$N745,E$1,FALSE)</f>
        <v>FENTANYL</v>
      </c>
      <c r="F575" t="str">
        <f>VLOOKUP($A575,[1]Table!$A$2:$N745,F$1,FALSE)</f>
        <v>ACTIQ 800 MICROG ZUIGTABLET</v>
      </c>
      <c r="G575" t="str">
        <f>VLOOKUP($A575,[1]Table!$A$2:$N745,G$1,FALSE)</f>
        <v>FENTANYL 800UG ZUIGTABLET</v>
      </c>
      <c r="H575" t="str">
        <f>VLOOKUP($A575,[1]Table!$A$2:$N745,H$1,FALSE)</f>
        <v>zuigtablet</v>
      </c>
      <c r="I575" t="str">
        <f>VLOOKUP($A575,[1]Table!$A$2:$N745,I$1,FALSE)</f>
        <v>oromuc</v>
      </c>
      <c r="J575">
        <f>VLOOKUP($A575,[1]Table!$A$2:$N745,J$1,FALSE)</f>
        <v>800</v>
      </c>
      <c r="K575" t="str">
        <f>VLOOKUP($A575,[1]Table!$A$2:$N745,K$1,FALSE)</f>
        <v>mcg/stuk</v>
      </c>
      <c r="L575">
        <f>VLOOKUP($A575,[1]Table!$A$2:$N745,L$1,FALSE)</f>
        <v>800</v>
      </c>
      <c r="M575" t="str">
        <f>VLOOKUP($A575,[1]Table!$A$2:$N745,M$1,FALSE)</f>
        <v>mcg</v>
      </c>
      <c r="N575" t="str">
        <f>VLOOKUP($A575,[1]Table!$A$2:$N745,N$1,FALSE)</f>
        <v>Acute pijn||Palliatieve zorg</v>
      </c>
      <c r="O575" t="str">
        <f>ConcatenateRange(AZ575:BU575,"||")</f>
        <v/>
      </c>
      <c r="AZ575" t="str">
        <f t="shared" si="220"/>
        <v/>
      </c>
      <c r="BA575" t="str">
        <f t="shared" si="221"/>
        <v/>
      </c>
      <c r="BB575" t="str">
        <f t="shared" si="222"/>
        <v/>
      </c>
      <c r="BC575" t="str">
        <f t="shared" si="223"/>
        <v/>
      </c>
      <c r="BD575" t="str">
        <f t="shared" si="224"/>
        <v/>
      </c>
      <c r="BE575" t="str">
        <f t="shared" si="225"/>
        <v/>
      </c>
      <c r="BF575" t="str">
        <f t="shared" si="226"/>
        <v/>
      </c>
      <c r="BG575" t="str">
        <f t="shared" si="227"/>
        <v/>
      </c>
      <c r="BH575" t="str">
        <f t="shared" si="228"/>
        <v/>
      </c>
      <c r="BI575" t="str">
        <f t="shared" si="229"/>
        <v/>
      </c>
      <c r="BJ575" t="str">
        <f t="shared" si="230"/>
        <v/>
      </c>
      <c r="BK575" t="str">
        <f t="shared" si="231"/>
        <v/>
      </c>
      <c r="BL575" t="str">
        <f t="shared" si="232"/>
        <v/>
      </c>
      <c r="BM575" t="str">
        <f t="shared" si="233"/>
        <v/>
      </c>
      <c r="BN575" t="str">
        <f t="shared" si="234"/>
        <v/>
      </c>
      <c r="BO575" t="str">
        <f t="shared" si="235"/>
        <v/>
      </c>
      <c r="BP575" t="str">
        <f t="shared" si="236"/>
        <v/>
      </c>
      <c r="BQ575" t="str">
        <f t="shared" si="237"/>
        <v/>
      </c>
      <c r="BR575" t="str">
        <f t="shared" si="238"/>
        <v/>
      </c>
      <c r="BS575" t="str">
        <f t="shared" si="239"/>
        <v/>
      </c>
      <c r="BT575" t="str">
        <f t="shared" si="240"/>
        <v/>
      </c>
      <c r="BU575" t="str">
        <f t="shared" si="241"/>
        <v/>
      </c>
    </row>
    <row r="576" spans="1:73">
      <c r="A576" s="1">
        <v>582</v>
      </c>
      <c r="B576" t="str">
        <f>VLOOKUP($A576,[1]Table!$A$2:$N746,B$1,FALSE)</f>
        <v>C04AB01</v>
      </c>
      <c r="C576" t="str">
        <f>VLOOKUP($A576,[1]Table!$A$2:$N746,C$1,FALSE)</f>
        <v>PERIFERE VASODILATANTIA</v>
      </c>
      <c r="D576" t="str">
        <f>VLOOKUP($A576,[1]Table!$A$2:$N746,D$1,FALSE)</f>
        <v>PERIFERE VASODILATANTIA</v>
      </c>
      <c r="E576" t="str">
        <f>VLOOKUP($A576,[1]Table!$A$2:$N746,E$1,FALSE)</f>
        <v>FENTOLAMINE</v>
      </c>
      <c r="F576" t="str">
        <f>VLOOKUP($A576,[1]Table!$A$2:$N746,F$1,FALSE)</f>
        <v>REGITINE 10MG/ML AMPUL 1ML</v>
      </c>
      <c r="G576" t="str">
        <f>VLOOKUP($A576,[1]Table!$A$2:$N746,G$1,FALSE)</f>
        <v>FENTOLAMINE 10MG/ML INJVLST</v>
      </c>
      <c r="H576" t="str">
        <f>VLOOKUP($A576,[1]Table!$A$2:$N746,H$1,FALSE)</f>
        <v>injectievloeistof</v>
      </c>
      <c r="I576" t="str">
        <f>VLOOKUP($A576,[1]Table!$A$2:$N746,I$1,FALSE)</f>
        <v>im||iv||sc</v>
      </c>
      <c r="J576">
        <f>VLOOKUP($A576,[1]Table!$A$2:$N746,J$1,FALSE)</f>
        <v>10</v>
      </c>
      <c r="K576" t="str">
        <f>VLOOKUP($A576,[1]Table!$A$2:$N746,K$1,FALSE)</f>
        <v>mg/ml</v>
      </c>
      <c r="L576">
        <f>VLOOKUP($A576,[1]Table!$A$2:$N746,L$1,FALSE)</f>
        <v>10</v>
      </c>
      <c r="M576" t="str">
        <f>VLOOKUP($A576,[1]Table!$A$2:$N746,M$1,FALSE)</f>
        <v>mg</v>
      </c>
      <c r="N576" t="str">
        <f>VLOOKUP($A576,[1]Table!$A$2:$N746,N$1,FALSE)</f>
        <v>Profylaxe dermale necrose bij extravasatie norepinefrine</v>
      </c>
      <c r="O576" t="str">
        <f>ConcatenateRange(AZ576:BU576,"||")</f>
        <v/>
      </c>
      <c r="AZ576" t="str">
        <f t="shared" si="220"/>
        <v/>
      </c>
      <c r="BA576" t="str">
        <f t="shared" si="221"/>
        <v/>
      </c>
      <c r="BB576" t="str">
        <f t="shared" si="222"/>
        <v/>
      </c>
      <c r="BC576" t="str">
        <f t="shared" si="223"/>
        <v/>
      </c>
      <c r="BD576" t="str">
        <f t="shared" si="224"/>
        <v/>
      </c>
      <c r="BE576" t="str">
        <f t="shared" si="225"/>
        <v/>
      </c>
      <c r="BF576" t="str">
        <f t="shared" si="226"/>
        <v/>
      </c>
      <c r="BG576" t="str">
        <f t="shared" si="227"/>
        <v/>
      </c>
      <c r="BH576" t="str">
        <f t="shared" si="228"/>
        <v/>
      </c>
      <c r="BI576" t="str">
        <f t="shared" si="229"/>
        <v/>
      </c>
      <c r="BJ576" t="str">
        <f t="shared" si="230"/>
        <v/>
      </c>
      <c r="BK576" t="str">
        <f t="shared" si="231"/>
        <v/>
      </c>
      <c r="BL576" t="str">
        <f t="shared" si="232"/>
        <v/>
      </c>
      <c r="BM576" t="str">
        <f t="shared" si="233"/>
        <v/>
      </c>
      <c r="BN576" t="str">
        <f t="shared" si="234"/>
        <v/>
      </c>
      <c r="BO576" t="str">
        <f t="shared" si="235"/>
        <v/>
      </c>
      <c r="BP576" t="str">
        <f t="shared" si="236"/>
        <v/>
      </c>
      <c r="BQ576" t="str">
        <f t="shared" si="237"/>
        <v/>
      </c>
      <c r="BR576" t="str">
        <f t="shared" si="238"/>
        <v/>
      </c>
      <c r="BS576" t="str">
        <f t="shared" si="239"/>
        <v/>
      </c>
      <c r="BT576" t="str">
        <f t="shared" si="240"/>
        <v/>
      </c>
      <c r="BU576" t="str">
        <f t="shared" si="241"/>
        <v/>
      </c>
    </row>
    <row r="577" spans="1:73">
      <c r="A577" s="1">
        <v>139122</v>
      </c>
      <c r="B577" t="str">
        <f>VLOOKUP($A577,[1]Table!$A$2:$N747,B$1,FALSE)</f>
        <v>A16AX03</v>
      </c>
      <c r="C577" t="str">
        <f>VLOOKUP($A577,[1]Table!$A$2:$N747,C$1,FALSE)</f>
        <v>OVERIGE MAAGDARMKANAAL- EN METABOLISMEPRODUCTEN</v>
      </c>
      <c r="D577" t="str">
        <f>VLOOKUP($A577,[1]Table!$A$2:$N747,D$1,FALSE)</f>
        <v>OVERIGE MAAGDARMKANAAL- EN METABOLISMEPRODUCTEN</v>
      </c>
      <c r="E577" t="str">
        <f>VLOOKUP($A577,[1]Table!$A$2:$N747,E$1,FALSE)</f>
        <v>FENYLBOTERZUUR</v>
      </c>
      <c r="F577" t="str">
        <f>VLOOKUP($A577,[1]Table!$A$2:$N747,F$1,FALSE)</f>
        <v>AMMONAPS 500 MG TABLET</v>
      </c>
      <c r="G577" t="str">
        <f>VLOOKUP($A577,[1]Table!$A$2:$N747,G$1,FALSE)</f>
        <v>FENYLBOTERZUUR 500MG TABLET</v>
      </c>
      <c r="H577" t="str">
        <f>VLOOKUP($A577,[1]Table!$A$2:$N747,H$1,FALSE)</f>
        <v>tablet</v>
      </c>
      <c r="I577" t="str">
        <f>VLOOKUP($A577,[1]Table!$A$2:$N747,I$1,FALSE)</f>
        <v>or</v>
      </c>
      <c r="J577">
        <f>VLOOKUP($A577,[1]Table!$A$2:$N747,J$1,FALSE)</f>
        <v>500</v>
      </c>
      <c r="K577" t="str">
        <f>VLOOKUP($A577,[1]Table!$A$2:$N747,K$1,FALSE)</f>
        <v>mg/stuk</v>
      </c>
      <c r="L577">
        <f>VLOOKUP($A577,[1]Table!$A$2:$N747,L$1,FALSE)</f>
        <v>500</v>
      </c>
      <c r="M577" t="str">
        <f>VLOOKUP($A577,[1]Table!$A$2:$N747,M$1,FALSE)</f>
        <v>mg</v>
      </c>
      <c r="N577" t="str">
        <f>VLOOKUP($A577,[1]Table!$A$2:$N747,N$1,FALSE)</f>
        <v xml:space="preserve">Hyperammoniëmie </v>
      </c>
      <c r="O577" t="str">
        <f>ConcatenateRange(AZ577:BU577,"||")</f>
        <v/>
      </c>
      <c r="AZ577" t="str">
        <f t="shared" si="220"/>
        <v/>
      </c>
      <c r="BA577" t="str">
        <f t="shared" si="221"/>
        <v/>
      </c>
      <c r="BB577" t="str">
        <f t="shared" si="222"/>
        <v/>
      </c>
      <c r="BC577" t="str">
        <f t="shared" si="223"/>
        <v/>
      </c>
      <c r="BD577" t="str">
        <f t="shared" si="224"/>
        <v/>
      </c>
      <c r="BE577" t="str">
        <f t="shared" si="225"/>
        <v/>
      </c>
      <c r="BF577" t="str">
        <f t="shared" si="226"/>
        <v/>
      </c>
      <c r="BG577" t="str">
        <f t="shared" si="227"/>
        <v/>
      </c>
      <c r="BH577" t="str">
        <f t="shared" si="228"/>
        <v/>
      </c>
      <c r="BI577" t="str">
        <f t="shared" si="229"/>
        <v/>
      </c>
      <c r="BJ577" t="str">
        <f t="shared" si="230"/>
        <v/>
      </c>
      <c r="BK577" t="str">
        <f t="shared" si="231"/>
        <v/>
      </c>
      <c r="BL577" t="str">
        <f t="shared" si="232"/>
        <v/>
      </c>
      <c r="BM577" t="str">
        <f t="shared" si="233"/>
        <v/>
      </c>
      <c r="BN577" t="str">
        <f t="shared" si="234"/>
        <v/>
      </c>
      <c r="BO577" t="str">
        <f t="shared" si="235"/>
        <v/>
      </c>
      <c r="BP577" t="str">
        <f t="shared" si="236"/>
        <v/>
      </c>
      <c r="BQ577" t="str">
        <f t="shared" si="237"/>
        <v/>
      </c>
      <c r="BR577" t="str">
        <f t="shared" si="238"/>
        <v/>
      </c>
      <c r="BS577" t="str">
        <f t="shared" si="239"/>
        <v/>
      </c>
      <c r="BT577" t="str">
        <f t="shared" si="240"/>
        <v/>
      </c>
      <c r="BU577" t="str">
        <f t="shared" si="241"/>
        <v/>
      </c>
    </row>
    <row r="578" spans="1:73">
      <c r="A578" s="1">
        <v>2100</v>
      </c>
      <c r="B578" t="str">
        <f>VLOOKUP($A578,[1]Table!$A$2:$N748,B$1,FALSE)</f>
        <v>S01GA05</v>
      </c>
      <c r="C578" t="str">
        <f>VLOOKUP($A578,[1]Table!$A$2:$N748,C$1,FALSE)</f>
        <v>MIDDELEN VOOR OOGHEELKUNDIG GEBRUIK</v>
      </c>
      <c r="D578" t="str">
        <f>VLOOKUP($A578,[1]Table!$A$2:$N748,D$1,FALSE)</f>
        <v>DECONGESTIVA EN ALLERGIEMIDDELEN</v>
      </c>
      <c r="E578" t="str">
        <f>VLOOKUP($A578,[1]Table!$A$2:$N748,E$1,FALSE)</f>
        <v>FENYLEFRINE</v>
      </c>
      <c r="F578" t="str">
        <f>VLOOKUP($A578,[1]Table!$A$2:$N748,F$1,FALSE)</f>
        <v>VISADRON 1,25 MG/ML 10 ML OOGDRUPPELS</v>
      </c>
      <c r="G578" t="str">
        <f>VLOOKUP($A578,[1]Table!$A$2:$N748,G$1,FALSE)</f>
        <v>FENYLEFRINE 1,25MG/ML OOGDR</v>
      </c>
      <c r="H578" t="str">
        <f>VLOOKUP($A578,[1]Table!$A$2:$N748,H$1,FALSE)</f>
        <v>oogdruppels</v>
      </c>
      <c r="I578" t="str">
        <f>VLOOKUP($A578,[1]Table!$A$2:$N748,I$1,FALSE)</f>
        <v>oog</v>
      </c>
      <c r="J578">
        <f>VLOOKUP($A578,[1]Table!$A$2:$N748,J$1,FALSE)</f>
        <v>1.25</v>
      </c>
      <c r="K578" t="str">
        <f>VLOOKUP($A578,[1]Table!$A$2:$N748,K$1,FALSE)</f>
        <v>mg/ml</v>
      </c>
      <c r="L578">
        <f>VLOOKUP($A578,[1]Table!$A$2:$N748,L$1,FALSE)</f>
        <v>1.25</v>
      </c>
      <c r="M578" t="str">
        <f>VLOOKUP($A578,[1]Table!$A$2:$N748,M$1,FALSE)</f>
        <v>mg</v>
      </c>
      <c r="N578" t="s">
        <v>57</v>
      </c>
      <c r="O578" t="str">
        <f>ConcatenateRange(AZ578:BU578,"||")</f>
        <v/>
      </c>
      <c r="AZ578" t="str">
        <f t="shared" si="220"/>
        <v/>
      </c>
      <c r="BA578" t="str">
        <f t="shared" si="221"/>
        <v/>
      </c>
      <c r="BB578" t="str">
        <f t="shared" si="222"/>
        <v/>
      </c>
      <c r="BC578" t="str">
        <f t="shared" si="223"/>
        <v/>
      </c>
      <c r="BD578" t="str">
        <f t="shared" si="224"/>
        <v/>
      </c>
      <c r="BE578" t="str">
        <f t="shared" si="225"/>
        <v/>
      </c>
      <c r="BF578" t="str">
        <f t="shared" si="226"/>
        <v/>
      </c>
      <c r="BG578" t="str">
        <f t="shared" si="227"/>
        <v/>
      </c>
      <c r="BH578" t="str">
        <f t="shared" si="228"/>
        <v/>
      </c>
      <c r="BI578" t="str">
        <f t="shared" si="229"/>
        <v/>
      </c>
      <c r="BJ578" t="str">
        <f t="shared" si="230"/>
        <v/>
      </c>
      <c r="BK578" t="str">
        <f t="shared" si="231"/>
        <v/>
      </c>
      <c r="BL578" t="str">
        <f t="shared" si="232"/>
        <v/>
      </c>
      <c r="BM578" t="str">
        <f t="shared" si="233"/>
        <v/>
      </c>
      <c r="BN578" t="str">
        <f t="shared" si="234"/>
        <v/>
      </c>
      <c r="BO578" t="str">
        <f t="shared" si="235"/>
        <v/>
      </c>
      <c r="BP578" t="str">
        <f t="shared" si="236"/>
        <v/>
      </c>
      <c r="BQ578" t="str">
        <f t="shared" si="237"/>
        <v/>
      </c>
      <c r="BR578" t="str">
        <f t="shared" si="238"/>
        <v/>
      </c>
      <c r="BS578" t="str">
        <f t="shared" si="239"/>
        <v/>
      </c>
      <c r="BT578" t="str">
        <f t="shared" si="240"/>
        <v/>
      </c>
      <c r="BU578" t="str">
        <f t="shared" si="241"/>
        <v/>
      </c>
    </row>
    <row r="579" spans="1:73">
      <c r="A579" s="1">
        <v>47929</v>
      </c>
      <c r="B579" t="str">
        <f>VLOOKUP($A579,[1]Table!$A$2:$N749,B$1,FALSE)</f>
        <v>S01FB01</v>
      </c>
      <c r="C579" t="str">
        <f>VLOOKUP($A579,[1]Table!$A$2:$N749,C$1,FALSE)</f>
        <v>MIDDELEN VOOR OOGHEELKUNDIG GEBRUIK</v>
      </c>
      <c r="D579" t="str">
        <f>VLOOKUP($A579,[1]Table!$A$2:$N749,D$1,FALSE)</f>
        <v>MYDRIATICA EN CYCLOPLEGICA</v>
      </c>
      <c r="E579" t="str">
        <f>VLOOKUP($A579,[1]Table!$A$2:$N749,E$1,FALSE)</f>
        <v>FENYLEFRINE</v>
      </c>
      <c r="F579" t="str">
        <f>VLOOKUP($A579,[1]Table!$A$2:$N749,F$1,FALSE)</f>
        <v>FENYLEFRINE HCL 2.5 % MINIMS</v>
      </c>
      <c r="G579" t="str">
        <f>VLOOKUP($A579,[1]Table!$A$2:$N749,G$1,FALSE)</f>
        <v>FENYLEFRINE 25MG/ML OOGDR</v>
      </c>
      <c r="H579" t="str">
        <f>VLOOKUP($A579,[1]Table!$A$2:$N749,H$1,FALSE)</f>
        <v>oogdruppels</v>
      </c>
      <c r="I579" t="str">
        <f>VLOOKUP($A579,[1]Table!$A$2:$N749,I$1,FALSE)</f>
        <v>oog</v>
      </c>
      <c r="J579">
        <f>VLOOKUP($A579,[1]Table!$A$2:$N749,J$1,FALSE)</f>
        <v>25</v>
      </c>
      <c r="K579" t="str">
        <f>VLOOKUP($A579,[1]Table!$A$2:$N749,K$1,FALSE)</f>
        <v>mg/ml</v>
      </c>
      <c r="L579">
        <f>VLOOKUP($A579,[1]Table!$A$2:$N749,L$1,FALSE)</f>
        <v>25</v>
      </c>
      <c r="M579" t="str">
        <f>VLOOKUP($A579,[1]Table!$A$2:$N749,M$1,FALSE)</f>
        <v>mg</v>
      </c>
      <c r="N579" t="str">
        <f>VLOOKUP($A579,[1]Table!$A$2:$N749,N$1,FALSE)</f>
        <v>Uveitis||Mydriasis</v>
      </c>
      <c r="O579" t="str">
        <f>ConcatenateRange(AZ579:BU579,"||")</f>
        <v/>
      </c>
      <c r="AZ579" t="str">
        <f t="shared" si="220"/>
        <v/>
      </c>
      <c r="BA579" t="str">
        <f t="shared" si="221"/>
        <v/>
      </c>
      <c r="BB579" t="str">
        <f t="shared" si="222"/>
        <v/>
      </c>
      <c r="BC579" t="str">
        <f t="shared" si="223"/>
        <v/>
      </c>
      <c r="BD579" t="str">
        <f t="shared" si="224"/>
        <v/>
      </c>
      <c r="BE579" t="str">
        <f t="shared" si="225"/>
        <v/>
      </c>
      <c r="BF579" t="str">
        <f t="shared" si="226"/>
        <v/>
      </c>
      <c r="BG579" t="str">
        <f t="shared" si="227"/>
        <v/>
      </c>
      <c r="BH579" t="str">
        <f t="shared" si="228"/>
        <v/>
      </c>
      <c r="BI579" t="str">
        <f t="shared" si="229"/>
        <v/>
      </c>
      <c r="BJ579" t="str">
        <f t="shared" si="230"/>
        <v/>
      </c>
      <c r="BK579" t="str">
        <f t="shared" si="231"/>
        <v/>
      </c>
      <c r="BL579" t="str">
        <f t="shared" si="232"/>
        <v/>
      </c>
      <c r="BM579" t="str">
        <f t="shared" si="233"/>
        <v/>
      </c>
      <c r="BN579" t="str">
        <f t="shared" si="234"/>
        <v/>
      </c>
      <c r="BO579" t="str">
        <f t="shared" si="235"/>
        <v/>
      </c>
      <c r="BP579" t="str">
        <f t="shared" si="236"/>
        <v/>
      </c>
      <c r="BQ579" t="str">
        <f t="shared" si="237"/>
        <v/>
      </c>
      <c r="BR579" t="str">
        <f t="shared" si="238"/>
        <v/>
      </c>
      <c r="BS579" t="str">
        <f t="shared" si="239"/>
        <v/>
      </c>
      <c r="BT579" t="str">
        <f t="shared" si="240"/>
        <v/>
      </c>
      <c r="BU579" t="str">
        <f t="shared" si="241"/>
        <v/>
      </c>
    </row>
    <row r="580" spans="1:73">
      <c r="A580" s="1">
        <v>19046</v>
      </c>
      <c r="B580" t="str">
        <f>VLOOKUP($A580,[1]Table!$A$2:$N750,B$1,FALSE)</f>
        <v>S01FB01</v>
      </c>
      <c r="C580" t="str">
        <f>VLOOKUP($A580,[1]Table!$A$2:$N750,C$1,FALSE)</f>
        <v>MIDDELEN VOOR OOGHEELKUNDIG GEBRUIK</v>
      </c>
      <c r="D580" t="str">
        <f>VLOOKUP($A580,[1]Table!$A$2:$N750,D$1,FALSE)</f>
        <v>MYDRIATICA EN CYCLOPLEGICA</v>
      </c>
      <c r="E580" t="str">
        <f>VLOOKUP($A580,[1]Table!$A$2:$N750,E$1,FALSE)</f>
        <v>FENYLEFRINE</v>
      </c>
      <c r="F580" t="str">
        <f>VLOOKUP($A580,[1]Table!$A$2:$N750,F$1,FALSE)</f>
        <v>FENYLEFRINE HCL 5 % MONOFREE MINIM 0.4ML</v>
      </c>
      <c r="G580" t="str">
        <f>VLOOKUP($A580,[1]Table!$A$2:$N750,G$1,FALSE)</f>
        <v>FENYLEFRINE 50MG/ML OOGDR</v>
      </c>
      <c r="H580" t="str">
        <f>VLOOKUP($A580,[1]Table!$A$2:$N750,H$1,FALSE)</f>
        <v>oogdruppels</v>
      </c>
      <c r="I580" t="str">
        <f>VLOOKUP($A580,[1]Table!$A$2:$N750,I$1,FALSE)</f>
        <v>oog</v>
      </c>
      <c r="J580">
        <f>VLOOKUP($A580,[1]Table!$A$2:$N750,J$1,FALSE)</f>
        <v>50</v>
      </c>
      <c r="K580" t="str">
        <f>VLOOKUP($A580,[1]Table!$A$2:$N750,K$1,FALSE)</f>
        <v>mg/ml</v>
      </c>
      <c r="L580">
        <f>VLOOKUP($A580,[1]Table!$A$2:$N750,L$1,FALSE)</f>
        <v>50</v>
      </c>
      <c r="M580" t="str">
        <f>VLOOKUP($A580,[1]Table!$A$2:$N750,M$1,FALSE)</f>
        <v>mg</v>
      </c>
      <c r="N580" t="str">
        <f>VLOOKUP($A580,[1]Table!$A$2:$N750,N$1,FALSE)</f>
        <v>Uveitis||Mydriasis</v>
      </c>
      <c r="O580" t="str">
        <f>ConcatenateRange(AZ580:BU580,"||")</f>
        <v/>
      </c>
      <c r="AZ580" t="str">
        <f t="shared" si="220"/>
        <v/>
      </c>
      <c r="BA580" t="str">
        <f t="shared" si="221"/>
        <v/>
      </c>
      <c r="BB580" t="str">
        <f t="shared" si="222"/>
        <v/>
      </c>
      <c r="BC580" t="str">
        <f t="shared" si="223"/>
        <v/>
      </c>
      <c r="BD580" t="str">
        <f t="shared" si="224"/>
        <v/>
      </c>
      <c r="BE580" t="str">
        <f t="shared" si="225"/>
        <v/>
      </c>
      <c r="BF580" t="str">
        <f t="shared" si="226"/>
        <v/>
      </c>
      <c r="BG580" t="str">
        <f t="shared" si="227"/>
        <v/>
      </c>
      <c r="BH580" t="str">
        <f t="shared" si="228"/>
        <v/>
      </c>
      <c r="BI580" t="str">
        <f t="shared" si="229"/>
        <v/>
      </c>
      <c r="BJ580" t="str">
        <f t="shared" si="230"/>
        <v/>
      </c>
      <c r="BK580" t="str">
        <f t="shared" si="231"/>
        <v/>
      </c>
      <c r="BL580" t="str">
        <f t="shared" si="232"/>
        <v/>
      </c>
      <c r="BM580" t="str">
        <f t="shared" si="233"/>
        <v/>
      </c>
      <c r="BN580" t="str">
        <f t="shared" si="234"/>
        <v/>
      </c>
      <c r="BO580" t="str">
        <f t="shared" si="235"/>
        <v/>
      </c>
      <c r="BP580" t="str">
        <f t="shared" si="236"/>
        <v/>
      </c>
      <c r="BQ580" t="str">
        <f t="shared" si="237"/>
        <v/>
      </c>
      <c r="BR580" t="str">
        <f t="shared" si="238"/>
        <v/>
      </c>
      <c r="BS580" t="str">
        <f t="shared" si="239"/>
        <v/>
      </c>
      <c r="BT580" t="str">
        <f t="shared" si="240"/>
        <v/>
      </c>
      <c r="BU580" t="str">
        <f t="shared" si="241"/>
        <v/>
      </c>
    </row>
    <row r="581" spans="1:73">
      <c r="A581" s="1">
        <v>19054</v>
      </c>
      <c r="B581" t="str">
        <f>VLOOKUP($A581,[1]Table!$A$2:$N751,B$1,FALSE)</f>
        <v>S01FB01</v>
      </c>
      <c r="C581" t="str">
        <f>VLOOKUP($A581,[1]Table!$A$2:$N751,C$1,FALSE)</f>
        <v>MIDDELEN VOOR OOGHEELKUNDIG GEBRUIK</v>
      </c>
      <c r="D581" t="str">
        <f>VLOOKUP($A581,[1]Table!$A$2:$N751,D$1,FALSE)</f>
        <v>MYDRIATICA EN CYCLOPLEGICA</v>
      </c>
      <c r="E581" t="str">
        <f>VLOOKUP($A581,[1]Table!$A$2:$N751,E$1,FALSE)</f>
        <v>FENYLEFRINE</v>
      </c>
      <c r="F581" t="str">
        <f>VLOOKUP($A581,[1]Table!$A$2:$N751,F$1,FALSE)</f>
        <v>FENYLEFRINE HCL 10 % MINIMS</v>
      </c>
      <c r="G581" t="str">
        <f>VLOOKUP($A581,[1]Table!$A$2:$N751,G$1,FALSE)</f>
        <v>FENYLEFRINE 100MG/ML OOGDR</v>
      </c>
      <c r="H581" t="str">
        <f>VLOOKUP($A581,[1]Table!$A$2:$N751,H$1,FALSE)</f>
        <v>oogdruppels</v>
      </c>
      <c r="I581" t="str">
        <f>VLOOKUP($A581,[1]Table!$A$2:$N751,I$1,FALSE)</f>
        <v>oog</v>
      </c>
      <c r="J581">
        <f>VLOOKUP($A581,[1]Table!$A$2:$N751,J$1,FALSE)</f>
        <v>100</v>
      </c>
      <c r="K581" t="str">
        <f>VLOOKUP($A581,[1]Table!$A$2:$N751,K$1,FALSE)</f>
        <v>mg/ml</v>
      </c>
      <c r="L581">
        <f>VLOOKUP($A581,[1]Table!$A$2:$N751,L$1,FALSE)</f>
        <v>100</v>
      </c>
      <c r="M581" t="str">
        <f>VLOOKUP($A581,[1]Table!$A$2:$N751,M$1,FALSE)</f>
        <v>mg</v>
      </c>
      <c r="N581" t="str">
        <f>VLOOKUP($A581,[1]Table!$A$2:$N751,N$1,FALSE)</f>
        <v>Uveitis||Mydriasis</v>
      </c>
      <c r="O581" t="str">
        <f>ConcatenateRange(AZ581:BU581,"||")</f>
        <v/>
      </c>
      <c r="AZ581" t="str">
        <f t="shared" si="220"/>
        <v/>
      </c>
      <c r="BA581" t="str">
        <f t="shared" si="221"/>
        <v/>
      </c>
      <c r="BB581" t="str">
        <f t="shared" si="222"/>
        <v/>
      </c>
      <c r="BC581" t="str">
        <f t="shared" si="223"/>
        <v/>
      </c>
      <c r="BD581" t="str">
        <f t="shared" si="224"/>
        <v/>
      </c>
      <c r="BE581" t="str">
        <f t="shared" si="225"/>
        <v/>
      </c>
      <c r="BF581" t="str">
        <f t="shared" si="226"/>
        <v/>
      </c>
      <c r="BG581" t="str">
        <f t="shared" si="227"/>
        <v/>
      </c>
      <c r="BH581" t="str">
        <f t="shared" si="228"/>
        <v/>
      </c>
      <c r="BI581" t="str">
        <f t="shared" si="229"/>
        <v/>
      </c>
      <c r="BJ581" t="str">
        <f t="shared" si="230"/>
        <v/>
      </c>
      <c r="BK581" t="str">
        <f t="shared" si="231"/>
        <v/>
      </c>
      <c r="BL581" t="str">
        <f t="shared" si="232"/>
        <v/>
      </c>
      <c r="BM581" t="str">
        <f t="shared" si="233"/>
        <v/>
      </c>
      <c r="BN581" t="str">
        <f t="shared" si="234"/>
        <v/>
      </c>
      <c r="BO581" t="str">
        <f t="shared" si="235"/>
        <v/>
      </c>
      <c r="BP581" t="str">
        <f t="shared" si="236"/>
        <v/>
      </c>
      <c r="BQ581" t="str">
        <f t="shared" si="237"/>
        <v/>
      </c>
      <c r="BR581" t="str">
        <f t="shared" si="238"/>
        <v/>
      </c>
      <c r="BS581" t="str">
        <f t="shared" si="239"/>
        <v/>
      </c>
      <c r="BT581" t="str">
        <f t="shared" si="240"/>
        <v/>
      </c>
      <c r="BU581" t="str">
        <f t="shared" si="241"/>
        <v/>
      </c>
    </row>
    <row r="582" spans="1:73">
      <c r="A582" s="24">
        <v>117870</v>
      </c>
      <c r="B582" t="str">
        <f>VLOOKUP($A582,[1]Table!$A$2:$N1715,B$1,FALSE)</f>
        <v>N03AB02</v>
      </c>
      <c r="C582" t="str">
        <f>VLOOKUP($A582,[1]Table!$A$2:$N1715,C$1,FALSE)</f>
        <v>ANTI-EPILEPTICA</v>
      </c>
      <c r="D582" t="str">
        <f>VLOOKUP($A582,[1]Table!$A$2:$N1715,D$1,FALSE)</f>
        <v>ANTI-EPILEPTICA</v>
      </c>
      <c r="E582" t="str">
        <f>VLOOKUP($A582,[1]Table!$A$2:$N1715,E$1,FALSE)</f>
        <v>FENYTOINE</v>
      </c>
      <c r="F582" t="str">
        <f>VLOOKUP($A582,[1]Table!$A$2:$N1715,F$1,FALSE)</f>
        <v>FENYTOINE 15 MG/ML SUSPENSIE 100 ML</v>
      </c>
      <c r="G582" t="str">
        <f>VLOOKUP($A582,[1]Table!$A$2:$N1715,G$1,FALSE)</f>
        <v>FENYTOINE 15MG/ML SUSPENSIE</v>
      </c>
      <c r="H582" t="str">
        <f>VLOOKUP($A582,[1]Table!$A$2:$N1715,H$1,FALSE)</f>
        <v>drank</v>
      </c>
      <c r="I582" t="str">
        <f>VLOOKUP($A582,[1]Table!$A$2:$N1715,I$1,FALSE)</f>
        <v>or</v>
      </c>
      <c r="J582">
        <f>VLOOKUP($A582,[1]Table!$A$2:$N1715,J$1,FALSE)</f>
        <v>15</v>
      </c>
      <c r="K582" t="str">
        <f>VLOOKUP($A582,[1]Table!$A$2:$N1715,K$1,FALSE)</f>
        <v>mg/ml</v>
      </c>
      <c r="L582">
        <f>VLOOKUP($A582,[1]Table!$A$2:$N1715,L$1,FALSE)</f>
        <v>1.5</v>
      </c>
      <c r="M582" t="str">
        <f>VLOOKUP($A582,[1]Table!$A$2:$N1715,M$1,FALSE)</f>
        <v>mg</v>
      </c>
      <c r="N582" t="str">
        <f>VLOOKUP($A582,[1]Table!$A$2:$N1715,N$1,FALSE)</f>
        <v>Persisterende status epilepticus||Epilepsie: partiele aanvallen, gegeneraliseerde tonisch-clonisch aanvallen, onderhoud na status epilepticus||Neuropathische pijn||Aritmieën</v>
      </c>
      <c r="O582" t="str">
        <f>ConcatenateRange(AZ582:BU582,"||")</f>
        <v/>
      </c>
      <c r="AZ582" t="str">
        <f t="shared" si="220"/>
        <v/>
      </c>
      <c r="BA582" t="str">
        <f t="shared" si="221"/>
        <v/>
      </c>
      <c r="BB582" t="str">
        <f t="shared" si="222"/>
        <v/>
      </c>
      <c r="BC582" t="str">
        <f t="shared" si="223"/>
        <v/>
      </c>
      <c r="BD582" t="str">
        <f t="shared" si="224"/>
        <v/>
      </c>
      <c r="BE582" t="str">
        <f t="shared" si="225"/>
        <v/>
      </c>
      <c r="BF582" t="str">
        <f t="shared" si="226"/>
        <v/>
      </c>
      <c r="BG582" t="str">
        <f t="shared" si="227"/>
        <v/>
      </c>
      <c r="BH582" t="str">
        <f t="shared" si="228"/>
        <v/>
      </c>
      <c r="BI582" t="str">
        <f t="shared" si="229"/>
        <v/>
      </c>
      <c r="BJ582" t="str">
        <f t="shared" si="230"/>
        <v/>
      </c>
      <c r="BK582" t="str">
        <f t="shared" si="231"/>
        <v/>
      </c>
      <c r="BL582" t="str">
        <f t="shared" si="232"/>
        <v/>
      </c>
      <c r="BM582" t="str">
        <f t="shared" si="233"/>
        <v/>
      </c>
      <c r="BN582" t="str">
        <f t="shared" si="234"/>
        <v/>
      </c>
      <c r="BO582" t="str">
        <f t="shared" si="235"/>
        <v/>
      </c>
      <c r="BP582" t="str">
        <f t="shared" si="236"/>
        <v/>
      </c>
      <c r="BQ582" t="str">
        <f t="shared" si="237"/>
        <v/>
      </c>
      <c r="BR582" t="str">
        <f t="shared" si="238"/>
        <v/>
      </c>
      <c r="BS582" t="str">
        <f t="shared" si="239"/>
        <v/>
      </c>
      <c r="BT582" t="str">
        <f t="shared" si="240"/>
        <v/>
      </c>
      <c r="BU582" t="str">
        <f t="shared" si="241"/>
        <v/>
      </c>
    </row>
    <row r="583" spans="1:73">
      <c r="A583" s="1">
        <v>52590</v>
      </c>
      <c r="B583" t="str">
        <f>VLOOKUP($A583,[1]Table!$A$2:$N752,B$1,FALSE)</f>
        <v>N03AB02</v>
      </c>
      <c r="C583" t="str">
        <f>VLOOKUP($A583,[1]Table!$A$2:$N752,C$1,FALSE)</f>
        <v>ANTI-EPILEPTICA</v>
      </c>
      <c r="D583" t="str">
        <f>VLOOKUP($A583,[1]Table!$A$2:$N752,D$1,FALSE)</f>
        <v>ANTI-EPILEPTICA</v>
      </c>
      <c r="E583" t="str">
        <f>VLOOKUP($A583,[1]Table!$A$2:$N752,E$1,FALSE)</f>
        <v>FENYTOINE</v>
      </c>
      <c r="F583" t="str">
        <f>VLOOKUP($A583,[1]Table!$A$2:$N752,F$1,FALSE)</f>
        <v>EPANUTIN 50 MG/ML INJVLST AMPUL 5 ML</v>
      </c>
      <c r="G583" t="str">
        <f>VLOOKUP($A583,[1]Table!$A$2:$N752,G$1,FALSE)</f>
        <v>FENYTOINE 50MG/ML INJVLST</v>
      </c>
      <c r="H583" t="str">
        <f>VLOOKUP($A583,[1]Table!$A$2:$N752,H$1,FALSE)</f>
        <v>injectievloeistof</v>
      </c>
      <c r="I583" t="str">
        <f>VLOOKUP($A583,[1]Table!$A$2:$N752,I$1,FALSE)</f>
        <v>iv</v>
      </c>
      <c r="J583">
        <f>VLOOKUP($A583,[1]Table!$A$2:$N752,J$1,FALSE)</f>
        <v>50</v>
      </c>
      <c r="K583" t="str">
        <f>VLOOKUP($A583,[1]Table!$A$2:$N752,K$1,FALSE)</f>
        <v>mg/ml</v>
      </c>
      <c r="L583">
        <f>VLOOKUP($A583,[1]Table!$A$2:$N752,L$1,FALSE)</f>
        <v>50</v>
      </c>
      <c r="M583" t="str">
        <f>VLOOKUP($A583,[1]Table!$A$2:$N752,M$1,FALSE)</f>
        <v>mg</v>
      </c>
      <c r="N583" t="str">
        <f>VLOOKUP($A583,[1]Table!$A$2:$N752,N$1,FALSE)</f>
        <v>Persisterende status epilepticus||Epilepsie: partiele aanvallen, gegeneraliseerde tonisch-clonisch aanvallen, onderhoud na status epilepticus||Neuropathische pijn||Aritmieën</v>
      </c>
      <c r="O583" t="str">
        <f>ConcatenateRange(AZ583:BU583,"||")</f>
        <v/>
      </c>
      <c r="AZ583" t="str">
        <f t="shared" si="220"/>
        <v/>
      </c>
      <c r="BA583" t="str">
        <f t="shared" si="221"/>
        <v/>
      </c>
      <c r="BB583" t="str">
        <f t="shared" si="222"/>
        <v/>
      </c>
      <c r="BC583" t="str">
        <f t="shared" si="223"/>
        <v/>
      </c>
      <c r="BD583" t="str">
        <f t="shared" si="224"/>
        <v/>
      </c>
      <c r="BE583" t="str">
        <f t="shared" si="225"/>
        <v/>
      </c>
      <c r="BF583" t="str">
        <f t="shared" si="226"/>
        <v/>
      </c>
      <c r="BG583" t="str">
        <f t="shared" si="227"/>
        <v/>
      </c>
      <c r="BH583" t="str">
        <f t="shared" si="228"/>
        <v/>
      </c>
      <c r="BI583" t="str">
        <f t="shared" si="229"/>
        <v/>
      </c>
      <c r="BJ583" t="str">
        <f t="shared" si="230"/>
        <v/>
      </c>
      <c r="BK583" t="str">
        <f t="shared" si="231"/>
        <v/>
      </c>
      <c r="BL583" t="str">
        <f t="shared" si="232"/>
        <v/>
      </c>
      <c r="BM583" t="str">
        <f t="shared" si="233"/>
        <v/>
      </c>
      <c r="BN583" t="str">
        <f t="shared" si="234"/>
        <v/>
      </c>
      <c r="BO583" t="str">
        <f t="shared" si="235"/>
        <v/>
      </c>
      <c r="BP583" t="str">
        <f t="shared" si="236"/>
        <v/>
      </c>
      <c r="BQ583" t="str">
        <f t="shared" si="237"/>
        <v/>
      </c>
      <c r="BR583" t="str">
        <f t="shared" si="238"/>
        <v/>
      </c>
      <c r="BS583" t="str">
        <f t="shared" si="239"/>
        <v/>
      </c>
      <c r="BT583" t="str">
        <f t="shared" si="240"/>
        <v/>
      </c>
      <c r="BU583" t="str">
        <f t="shared" si="241"/>
        <v/>
      </c>
    </row>
    <row r="584" spans="1:73">
      <c r="A584" s="1">
        <v>74705</v>
      </c>
      <c r="B584" t="str">
        <f>VLOOKUP($A584,[1]Table!$A$2:$N753,B$1,FALSE)</f>
        <v>N03AB02</v>
      </c>
      <c r="C584" t="str">
        <f>VLOOKUP($A584,[1]Table!$A$2:$N753,C$1,FALSE)</f>
        <v>ANTI-EPILEPTICA</v>
      </c>
      <c r="D584" t="str">
        <f>VLOOKUP($A584,[1]Table!$A$2:$N753,D$1,FALSE)</f>
        <v>ANTI-EPILEPTICA</v>
      </c>
      <c r="E584" t="str">
        <f>VLOOKUP($A584,[1]Table!$A$2:$N753,E$1,FALSE)</f>
        <v>FENYTOINE</v>
      </c>
      <c r="F584" t="str">
        <f>VLOOKUP($A584,[1]Table!$A$2:$N753,F$1,FALSE)</f>
        <v>DIPHANTOINE-Z  25 MG (23 MG ZUUR) TABLET</v>
      </c>
      <c r="G584" t="str">
        <f>VLOOKUP($A584,[1]Table!$A$2:$N753,G$1,FALSE)</f>
        <v>FENYTOINE  23MG TABLET</v>
      </c>
      <c r="H584" t="str">
        <f>VLOOKUP($A584,[1]Table!$A$2:$N753,H$1,FALSE)</f>
        <v>tablet</v>
      </c>
      <c r="I584" t="str">
        <f>VLOOKUP($A584,[1]Table!$A$2:$N753,I$1,FALSE)</f>
        <v>or</v>
      </c>
      <c r="J584">
        <f>VLOOKUP($A584,[1]Table!$A$2:$N753,J$1,FALSE)</f>
        <v>23</v>
      </c>
      <c r="K584" t="str">
        <f>VLOOKUP($A584,[1]Table!$A$2:$N753,K$1,FALSE)</f>
        <v>mg/stuk</v>
      </c>
      <c r="L584">
        <f>VLOOKUP($A584,[1]Table!$A$2:$N753,L$1,FALSE)</f>
        <v>11.5</v>
      </c>
      <c r="M584" t="str">
        <f>VLOOKUP($A584,[1]Table!$A$2:$N753,M$1,FALSE)</f>
        <v>mg</v>
      </c>
      <c r="N584" t="str">
        <f>VLOOKUP($A584,[1]Table!$A$2:$N753,N$1,FALSE)</f>
        <v>Persisterende status epilepticus||Epilepsie: partiele aanvallen, gegeneraliseerde tonisch-clonisch aanvallen, onderhoud na status epilepticus||Neuropathische pijn||Aritmieën</v>
      </c>
      <c r="O584" t="str">
        <f>ConcatenateRange(AZ584:BU584,"||")</f>
        <v/>
      </c>
      <c r="AZ584" t="str">
        <f t="shared" si="220"/>
        <v/>
      </c>
      <c r="BA584" t="str">
        <f t="shared" si="221"/>
        <v/>
      </c>
      <c r="BB584" t="str">
        <f t="shared" si="222"/>
        <v/>
      </c>
      <c r="BC584" t="str">
        <f t="shared" si="223"/>
        <v/>
      </c>
      <c r="BD584" t="str">
        <f t="shared" si="224"/>
        <v/>
      </c>
      <c r="BE584" t="str">
        <f t="shared" si="225"/>
        <v/>
      </c>
      <c r="BF584" t="str">
        <f t="shared" si="226"/>
        <v/>
      </c>
      <c r="BG584" t="str">
        <f t="shared" si="227"/>
        <v/>
      </c>
      <c r="BH584" t="str">
        <f t="shared" si="228"/>
        <v/>
      </c>
      <c r="BI584" t="str">
        <f t="shared" si="229"/>
        <v/>
      </c>
      <c r="BJ584" t="str">
        <f t="shared" si="230"/>
        <v/>
      </c>
      <c r="BK584" t="str">
        <f t="shared" si="231"/>
        <v/>
      </c>
      <c r="BL584" t="str">
        <f t="shared" si="232"/>
        <v/>
      </c>
      <c r="BM584" t="str">
        <f t="shared" si="233"/>
        <v/>
      </c>
      <c r="BN584" t="str">
        <f t="shared" si="234"/>
        <v/>
      </c>
      <c r="BO584" t="str">
        <f t="shared" si="235"/>
        <v/>
      </c>
      <c r="BP584" t="str">
        <f t="shared" si="236"/>
        <v/>
      </c>
      <c r="BQ584" t="str">
        <f t="shared" si="237"/>
        <v/>
      </c>
      <c r="BR584" t="str">
        <f t="shared" si="238"/>
        <v/>
      </c>
      <c r="BS584" t="str">
        <f t="shared" si="239"/>
        <v/>
      </c>
      <c r="BT584" t="str">
        <f t="shared" si="240"/>
        <v/>
      </c>
      <c r="BU584" t="str">
        <f t="shared" si="241"/>
        <v/>
      </c>
    </row>
    <row r="585" spans="1:73">
      <c r="A585" s="1">
        <v>74713</v>
      </c>
      <c r="B585" t="str">
        <f>VLOOKUP($A585,[1]Table!$A$2:$N754,B$1,FALSE)</f>
        <v>N03AB02</v>
      </c>
      <c r="C585" t="str">
        <f>VLOOKUP($A585,[1]Table!$A$2:$N754,C$1,FALSE)</f>
        <v>ANTI-EPILEPTICA</v>
      </c>
      <c r="D585" t="str">
        <f>VLOOKUP($A585,[1]Table!$A$2:$N754,D$1,FALSE)</f>
        <v>ANTI-EPILEPTICA</v>
      </c>
      <c r="E585" t="str">
        <f>VLOOKUP($A585,[1]Table!$A$2:$N754,E$1,FALSE)</f>
        <v>FENYTOINE</v>
      </c>
      <c r="F585" t="str">
        <f>VLOOKUP($A585,[1]Table!$A$2:$N754,F$1,FALSE)</f>
        <v>DIPHANTOINE-Z  50  MG (46 MG ZUUR) TABLET</v>
      </c>
      <c r="G585" t="str">
        <f>VLOOKUP($A585,[1]Table!$A$2:$N754,G$1,FALSE)</f>
        <v>FENYTOINE 46MG TABLET</v>
      </c>
      <c r="H585" t="str">
        <f>VLOOKUP($A585,[1]Table!$A$2:$N754,H$1,FALSE)</f>
        <v>tablet</v>
      </c>
      <c r="I585" t="str">
        <f>VLOOKUP($A585,[1]Table!$A$2:$N754,I$1,FALSE)</f>
        <v>or</v>
      </c>
      <c r="J585">
        <f>VLOOKUP($A585,[1]Table!$A$2:$N754,J$1,FALSE)</f>
        <v>46</v>
      </c>
      <c r="K585" t="str">
        <f>VLOOKUP($A585,[1]Table!$A$2:$N754,K$1,FALSE)</f>
        <v>mg/stuk</v>
      </c>
      <c r="L585">
        <f>VLOOKUP($A585,[1]Table!$A$2:$N754,L$1,FALSE)</f>
        <v>46</v>
      </c>
      <c r="M585" t="str">
        <f>VLOOKUP($A585,[1]Table!$A$2:$N754,M$1,FALSE)</f>
        <v>mg</v>
      </c>
      <c r="N585" t="str">
        <f>VLOOKUP($A585,[1]Table!$A$2:$N754,N$1,FALSE)</f>
        <v>Persisterende status epilepticus||Epilepsie: partiele aanvallen, gegeneraliseerde tonisch-clonisch aanvallen, onderhoud na status epilepticus||Neuropathische pijn||Aritmieën</v>
      </c>
      <c r="O585" t="str">
        <f>ConcatenateRange(AZ585:BU585,"||")</f>
        <v/>
      </c>
      <c r="AZ585" t="str">
        <f t="shared" si="220"/>
        <v/>
      </c>
      <c r="BA585" t="str">
        <f t="shared" si="221"/>
        <v/>
      </c>
      <c r="BB585" t="str">
        <f t="shared" si="222"/>
        <v/>
      </c>
      <c r="BC585" t="str">
        <f t="shared" si="223"/>
        <v/>
      </c>
      <c r="BD585" t="str">
        <f t="shared" si="224"/>
        <v/>
      </c>
      <c r="BE585" t="str">
        <f t="shared" si="225"/>
        <v/>
      </c>
      <c r="BF585" t="str">
        <f t="shared" si="226"/>
        <v/>
      </c>
      <c r="BG585" t="str">
        <f t="shared" si="227"/>
        <v/>
      </c>
      <c r="BH585" t="str">
        <f t="shared" si="228"/>
        <v/>
      </c>
      <c r="BI585" t="str">
        <f t="shared" si="229"/>
        <v/>
      </c>
      <c r="BJ585" t="str">
        <f t="shared" si="230"/>
        <v/>
      </c>
      <c r="BK585" t="str">
        <f t="shared" si="231"/>
        <v/>
      </c>
      <c r="BL585" t="str">
        <f t="shared" si="232"/>
        <v/>
      </c>
      <c r="BM585" t="str">
        <f t="shared" si="233"/>
        <v/>
      </c>
      <c r="BN585" t="str">
        <f t="shared" si="234"/>
        <v/>
      </c>
      <c r="BO585" t="str">
        <f t="shared" si="235"/>
        <v/>
      </c>
      <c r="BP585" t="str">
        <f t="shared" si="236"/>
        <v/>
      </c>
      <c r="BQ585" t="str">
        <f t="shared" si="237"/>
        <v/>
      </c>
      <c r="BR585" t="str">
        <f t="shared" si="238"/>
        <v/>
      </c>
      <c r="BS585" t="str">
        <f t="shared" si="239"/>
        <v/>
      </c>
      <c r="BT585" t="str">
        <f t="shared" si="240"/>
        <v/>
      </c>
      <c r="BU585" t="str">
        <f t="shared" si="241"/>
        <v/>
      </c>
    </row>
    <row r="586" spans="1:73">
      <c r="A586" s="1">
        <v>74721</v>
      </c>
      <c r="B586" t="str">
        <f>VLOOKUP($A586,[1]Table!$A$2:$N755,B$1,FALSE)</f>
        <v>N03AB02</v>
      </c>
      <c r="C586" t="str">
        <f>VLOOKUP($A586,[1]Table!$A$2:$N755,C$1,FALSE)</f>
        <v>ANTI-EPILEPTICA</v>
      </c>
      <c r="D586" t="str">
        <f>VLOOKUP($A586,[1]Table!$A$2:$N755,D$1,FALSE)</f>
        <v>ANTI-EPILEPTICA</v>
      </c>
      <c r="E586" t="str">
        <f>VLOOKUP($A586,[1]Table!$A$2:$N755,E$1,FALSE)</f>
        <v>FENYTOINE</v>
      </c>
      <c r="F586" t="str">
        <f>VLOOKUP($A586,[1]Table!$A$2:$N755,F$1,FALSE)</f>
        <v>DIPHANTOINE-Z 75 MG (69 MG ZUUR) TABLET</v>
      </c>
      <c r="G586" t="str">
        <f>VLOOKUP($A586,[1]Table!$A$2:$N755,G$1,FALSE)</f>
        <v>FENYTOINE 69MG TABLET</v>
      </c>
      <c r="H586" t="str">
        <f>VLOOKUP($A586,[1]Table!$A$2:$N755,H$1,FALSE)</f>
        <v>tablet</v>
      </c>
      <c r="I586" t="str">
        <f>VLOOKUP($A586,[1]Table!$A$2:$N755,I$1,FALSE)</f>
        <v>or</v>
      </c>
      <c r="J586">
        <f>VLOOKUP($A586,[1]Table!$A$2:$N755,J$1,FALSE)</f>
        <v>69</v>
      </c>
      <c r="K586" t="str">
        <f>VLOOKUP($A586,[1]Table!$A$2:$N755,K$1,FALSE)</f>
        <v>mg/stuk</v>
      </c>
      <c r="L586">
        <f>VLOOKUP($A586,[1]Table!$A$2:$N755,L$1,FALSE)</f>
        <v>69</v>
      </c>
      <c r="M586" t="str">
        <f>VLOOKUP($A586,[1]Table!$A$2:$N755,M$1,FALSE)</f>
        <v>mg</v>
      </c>
      <c r="N586" t="str">
        <f>VLOOKUP($A586,[1]Table!$A$2:$N755,N$1,FALSE)</f>
        <v>Persisterende status epilepticus||Epilepsie: partiele aanvallen, gegeneraliseerde tonisch-clonisch aanvallen, onderhoud na status epilepticus||Neuropathische pijn||Aritmieën</v>
      </c>
      <c r="O586" t="str">
        <f>ConcatenateRange(AZ586:BU586,"||")</f>
        <v/>
      </c>
      <c r="AZ586" t="str">
        <f t="shared" si="220"/>
        <v/>
      </c>
      <c r="BA586" t="str">
        <f t="shared" si="221"/>
        <v/>
      </c>
      <c r="BB586" t="str">
        <f t="shared" si="222"/>
        <v/>
      </c>
      <c r="BC586" t="str">
        <f t="shared" si="223"/>
        <v/>
      </c>
      <c r="BD586" t="str">
        <f t="shared" si="224"/>
        <v/>
      </c>
      <c r="BE586" t="str">
        <f t="shared" si="225"/>
        <v/>
      </c>
      <c r="BF586" t="str">
        <f t="shared" si="226"/>
        <v/>
      </c>
      <c r="BG586" t="str">
        <f t="shared" si="227"/>
        <v/>
      </c>
      <c r="BH586" t="str">
        <f t="shared" si="228"/>
        <v/>
      </c>
      <c r="BI586" t="str">
        <f t="shared" si="229"/>
        <v/>
      </c>
      <c r="BJ586" t="str">
        <f t="shared" si="230"/>
        <v/>
      </c>
      <c r="BK586" t="str">
        <f t="shared" si="231"/>
        <v/>
      </c>
      <c r="BL586" t="str">
        <f t="shared" si="232"/>
        <v/>
      </c>
      <c r="BM586" t="str">
        <f t="shared" si="233"/>
        <v/>
      </c>
      <c r="BN586" t="str">
        <f t="shared" si="234"/>
        <v/>
      </c>
      <c r="BO586" t="str">
        <f t="shared" si="235"/>
        <v/>
      </c>
      <c r="BP586" t="str">
        <f t="shared" si="236"/>
        <v/>
      </c>
      <c r="BQ586" t="str">
        <f t="shared" si="237"/>
        <v/>
      </c>
      <c r="BR586" t="str">
        <f t="shared" si="238"/>
        <v/>
      </c>
      <c r="BS586" t="str">
        <f t="shared" si="239"/>
        <v/>
      </c>
      <c r="BT586" t="str">
        <f t="shared" si="240"/>
        <v/>
      </c>
      <c r="BU586" t="str">
        <f t="shared" si="241"/>
        <v/>
      </c>
    </row>
    <row r="587" spans="1:73">
      <c r="A587" s="1">
        <v>74748</v>
      </c>
      <c r="B587" t="str">
        <f>VLOOKUP($A587,[1]Table!$A$2:$N756,B$1,FALSE)</f>
        <v>N03AB02</v>
      </c>
      <c r="C587" t="str">
        <f>VLOOKUP($A587,[1]Table!$A$2:$N756,C$1,FALSE)</f>
        <v>ANTI-EPILEPTICA</v>
      </c>
      <c r="D587" t="str">
        <f>VLOOKUP($A587,[1]Table!$A$2:$N756,D$1,FALSE)</f>
        <v>ANTI-EPILEPTICA</v>
      </c>
      <c r="E587" t="str">
        <f>VLOOKUP($A587,[1]Table!$A$2:$N756,E$1,FALSE)</f>
        <v>FENYTOINE</v>
      </c>
      <c r="F587" t="str">
        <f>VLOOKUP($A587,[1]Table!$A$2:$N756,F$1,FALSE)</f>
        <v>DIPHANTOINE-Z  100 MG (92 MG ZUUR) TABLET</v>
      </c>
      <c r="G587" t="str">
        <f>VLOOKUP($A587,[1]Table!$A$2:$N756,G$1,FALSE)</f>
        <v>FENYTOINE 92MG TABLET</v>
      </c>
      <c r="H587" t="str">
        <f>VLOOKUP($A587,[1]Table!$A$2:$N756,H$1,FALSE)</f>
        <v>tablet</v>
      </c>
      <c r="I587" t="str">
        <f>VLOOKUP($A587,[1]Table!$A$2:$N756,I$1,FALSE)</f>
        <v>or</v>
      </c>
      <c r="J587">
        <f>VLOOKUP($A587,[1]Table!$A$2:$N756,J$1,FALSE)</f>
        <v>92</v>
      </c>
      <c r="K587" t="str">
        <f>VLOOKUP($A587,[1]Table!$A$2:$N756,K$1,FALSE)</f>
        <v>mg/stuk</v>
      </c>
      <c r="L587">
        <f>VLOOKUP($A587,[1]Table!$A$2:$N756,L$1,FALSE)</f>
        <v>92</v>
      </c>
      <c r="M587" t="str">
        <f>VLOOKUP($A587,[1]Table!$A$2:$N756,M$1,FALSE)</f>
        <v>mg</v>
      </c>
      <c r="N587" t="str">
        <f>VLOOKUP($A587,[1]Table!$A$2:$N756,N$1,FALSE)</f>
        <v>Persisterende status epilepticus||Epilepsie: partiele aanvallen, gegeneraliseerde tonisch-clonisch aanvallen, onderhoud na status epilepticus||Neuropathische pijn||Aritmieën</v>
      </c>
      <c r="O587" t="str">
        <f>ConcatenateRange(AZ587:BU587,"||")</f>
        <v/>
      </c>
      <c r="AZ587" t="str">
        <f t="shared" si="220"/>
        <v/>
      </c>
      <c r="BA587" t="str">
        <f t="shared" si="221"/>
        <v/>
      </c>
      <c r="BB587" t="str">
        <f t="shared" si="222"/>
        <v/>
      </c>
      <c r="BC587" t="str">
        <f t="shared" si="223"/>
        <v/>
      </c>
      <c r="BD587" t="str">
        <f t="shared" si="224"/>
        <v/>
      </c>
      <c r="BE587" t="str">
        <f t="shared" si="225"/>
        <v/>
      </c>
      <c r="BF587" t="str">
        <f t="shared" si="226"/>
        <v/>
      </c>
      <c r="BG587" t="str">
        <f t="shared" si="227"/>
        <v/>
      </c>
      <c r="BH587" t="str">
        <f t="shared" si="228"/>
        <v/>
      </c>
      <c r="BI587" t="str">
        <f t="shared" si="229"/>
        <v/>
      </c>
      <c r="BJ587" t="str">
        <f t="shared" si="230"/>
        <v/>
      </c>
      <c r="BK587" t="str">
        <f t="shared" si="231"/>
        <v/>
      </c>
      <c r="BL587" t="str">
        <f t="shared" si="232"/>
        <v/>
      </c>
      <c r="BM587" t="str">
        <f t="shared" si="233"/>
        <v/>
      </c>
      <c r="BN587" t="str">
        <f t="shared" si="234"/>
        <v/>
      </c>
      <c r="BO587" t="str">
        <f t="shared" si="235"/>
        <v/>
      </c>
      <c r="BP587" t="str">
        <f t="shared" si="236"/>
        <v/>
      </c>
      <c r="BQ587" t="str">
        <f t="shared" si="237"/>
        <v/>
      </c>
      <c r="BR587" t="str">
        <f t="shared" si="238"/>
        <v/>
      </c>
      <c r="BS587" t="str">
        <f t="shared" si="239"/>
        <v/>
      </c>
      <c r="BT587" t="str">
        <f t="shared" si="240"/>
        <v/>
      </c>
      <c r="BU587" t="str">
        <f t="shared" si="241"/>
        <v/>
      </c>
    </row>
    <row r="588" spans="1:73">
      <c r="A588" s="1">
        <v>131040</v>
      </c>
      <c r="B588" t="str">
        <f>VLOOKUP($A588,[1]Table!$A$2:$N757,B$1,FALSE)</f>
        <v>B03AC</v>
      </c>
      <c r="C588">
        <f>VLOOKUP($A588,[1]Table!$A$2:$N757,C$1,FALSE)</f>
        <v>0</v>
      </c>
      <c r="D588">
        <f>VLOOKUP($A588,[1]Table!$A$2:$N757,D$1,FALSE)</f>
        <v>0</v>
      </c>
      <c r="E588" t="str">
        <f>VLOOKUP($A588,[1]Table!$A$2:$N757,E$1,FALSE)</f>
        <v>FERRICARBOXYMALTOSE</v>
      </c>
      <c r="F588" t="str">
        <f>VLOOKUP($A588,[1]Table!$A$2:$N757,F$1,FALSE)</f>
        <v>FERINJECT 50 MG/ML FLACON 10 ML</v>
      </c>
      <c r="G588" t="str">
        <f>VLOOKUP($A588,[1]Table!$A$2:$N757,G$1,FALSE)</f>
        <v>FERRICARBOXYMAL 50MGFE/ML I</v>
      </c>
      <c r="H588" t="str">
        <f>VLOOKUP($A588,[1]Table!$A$2:$N757,H$1,FALSE)</f>
        <v>injectievloeistof</v>
      </c>
      <c r="I588" t="str">
        <f>VLOOKUP($A588,[1]Table!$A$2:$N757,I$1,FALSE)</f>
        <v>iv</v>
      </c>
      <c r="J588">
        <f>VLOOKUP($A588,[1]Table!$A$2:$N757,J$1,FALSE)</f>
        <v>50</v>
      </c>
      <c r="K588" t="str">
        <f>VLOOKUP($A588,[1]Table!$A$2:$N757,K$1,FALSE)</f>
        <v>mg/ml</v>
      </c>
      <c r="L588">
        <f>VLOOKUP($A588,[1]Table!$A$2:$N757,L$1,FALSE)</f>
        <v>50</v>
      </c>
      <c r="M588" t="str">
        <f>VLOOKUP($A588,[1]Table!$A$2:$N757,M$1,FALSE)</f>
        <v>mg</v>
      </c>
      <c r="N588" t="str">
        <f>VLOOKUP($A588,[1]Table!$A$2:$N757,N$1,FALSE)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588" t="str">
        <f>ConcatenateRange(AZ588:BU588,"||")</f>
        <v/>
      </c>
      <c r="AZ588" t="str">
        <f t="shared" si="220"/>
        <v/>
      </c>
      <c r="BA588" t="str">
        <f t="shared" si="221"/>
        <v/>
      </c>
      <c r="BB588" t="str">
        <f t="shared" si="222"/>
        <v/>
      </c>
      <c r="BC588" t="str">
        <f t="shared" si="223"/>
        <v/>
      </c>
      <c r="BD588" t="str">
        <f t="shared" si="224"/>
        <v/>
      </c>
      <c r="BE588" t="str">
        <f t="shared" si="225"/>
        <v/>
      </c>
      <c r="BF588" t="str">
        <f t="shared" si="226"/>
        <v/>
      </c>
      <c r="BG588" t="str">
        <f t="shared" si="227"/>
        <v/>
      </c>
      <c r="BH588" t="str">
        <f t="shared" si="228"/>
        <v/>
      </c>
      <c r="BI588" t="str">
        <f t="shared" si="229"/>
        <v/>
      </c>
      <c r="BJ588" t="str">
        <f t="shared" si="230"/>
        <v/>
      </c>
      <c r="BK588" t="str">
        <f t="shared" si="231"/>
        <v/>
      </c>
      <c r="BL588" t="str">
        <f t="shared" si="232"/>
        <v/>
      </c>
      <c r="BM588" t="str">
        <f t="shared" si="233"/>
        <v/>
      </c>
      <c r="BN588" t="str">
        <f t="shared" si="234"/>
        <v/>
      </c>
      <c r="BO588" t="str">
        <f t="shared" si="235"/>
        <v/>
      </c>
      <c r="BP588" t="str">
        <f t="shared" si="236"/>
        <v/>
      </c>
      <c r="BQ588" t="str">
        <f t="shared" si="237"/>
        <v/>
      </c>
      <c r="BR588" t="str">
        <f t="shared" si="238"/>
        <v/>
      </c>
      <c r="BS588" t="str">
        <f t="shared" si="239"/>
        <v/>
      </c>
      <c r="BT588" t="str">
        <f t="shared" si="240"/>
        <v/>
      </c>
      <c r="BU588" t="str">
        <f t="shared" si="241"/>
        <v/>
      </c>
    </row>
    <row r="589" spans="1:73">
      <c r="A589" s="1">
        <v>103314</v>
      </c>
      <c r="B589" t="str">
        <f>VLOOKUP($A589,[1]Table!$A$2:$N758,B$1,FALSE)</f>
        <v>B03AC</v>
      </c>
      <c r="C589">
        <f>VLOOKUP($A589,[1]Table!$A$2:$N758,C$1,FALSE)</f>
        <v>0</v>
      </c>
      <c r="D589">
        <f>VLOOKUP($A589,[1]Table!$A$2:$N758,D$1,FALSE)</f>
        <v>0</v>
      </c>
      <c r="E589" t="str">
        <f>VLOOKUP($A589,[1]Table!$A$2:$N758,E$1,FALSE)</f>
        <v>FERRIOXIDESACCHARAAT</v>
      </c>
      <c r="F589" t="str">
        <f>VLOOKUP($A589,[1]Table!$A$2:$N758,F$1,FALSE)</f>
        <v>VENOFER 20 MG/ML INJVLST FLACON 5 ML</v>
      </c>
      <c r="G589" t="str">
        <f>VLOOKUP($A589,[1]Table!$A$2:$N758,G$1,FALSE)</f>
        <v>FERRIOXIDESACCH 20MG/ML INJ</v>
      </c>
      <c r="H589" t="str">
        <f>VLOOKUP($A589,[1]Table!$A$2:$N758,H$1,FALSE)</f>
        <v>injectievloeistof</v>
      </c>
      <c r="I589" t="str">
        <f>VLOOKUP($A589,[1]Table!$A$2:$N758,I$1,FALSE)</f>
        <v>iv</v>
      </c>
      <c r="J589">
        <f>VLOOKUP($A589,[1]Table!$A$2:$N758,J$1,FALSE)</f>
        <v>20</v>
      </c>
      <c r="K589" t="str">
        <f>VLOOKUP($A589,[1]Table!$A$2:$N758,K$1,FALSE)</f>
        <v>mg/ml</v>
      </c>
      <c r="L589">
        <f>VLOOKUP($A589,[1]Table!$A$2:$N758,L$1,FALSE)</f>
        <v>20</v>
      </c>
      <c r="M589" t="str">
        <f>VLOOKUP($A589,[1]Table!$A$2:$N758,M$1,FALSE)</f>
        <v>mg</v>
      </c>
      <c r="N589" t="str">
        <f>VLOOKUP($A589,[1]Table!$A$2:$N758,N$1,FALSE)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9" t="str">
        <f>ConcatenateRange(AZ589:BU589,"||")</f>
        <v/>
      </c>
      <c r="AZ589" t="str">
        <f t="shared" si="220"/>
        <v/>
      </c>
      <c r="BA589" t="str">
        <f t="shared" si="221"/>
        <v/>
      </c>
      <c r="BB589" t="str">
        <f t="shared" si="222"/>
        <v/>
      </c>
      <c r="BC589" t="str">
        <f t="shared" si="223"/>
        <v/>
      </c>
      <c r="BD589" t="str">
        <f t="shared" si="224"/>
        <v/>
      </c>
      <c r="BE589" t="str">
        <f t="shared" si="225"/>
        <v/>
      </c>
      <c r="BF589" t="str">
        <f t="shared" si="226"/>
        <v/>
      </c>
      <c r="BG589" t="str">
        <f t="shared" si="227"/>
        <v/>
      </c>
      <c r="BH589" t="str">
        <f t="shared" si="228"/>
        <v/>
      </c>
      <c r="BI589" t="str">
        <f t="shared" si="229"/>
        <v/>
      </c>
      <c r="BJ589" t="str">
        <f t="shared" si="230"/>
        <v/>
      </c>
      <c r="BK589" t="str">
        <f t="shared" si="231"/>
        <v/>
      </c>
      <c r="BL589" t="str">
        <f t="shared" si="232"/>
        <v/>
      </c>
      <c r="BM589" t="str">
        <f t="shared" si="233"/>
        <v/>
      </c>
      <c r="BN589" t="str">
        <f t="shared" si="234"/>
        <v/>
      </c>
      <c r="BO589" t="str">
        <f t="shared" si="235"/>
        <v/>
      </c>
      <c r="BP589" t="str">
        <f t="shared" si="236"/>
        <v/>
      </c>
      <c r="BQ589" t="str">
        <f t="shared" si="237"/>
        <v/>
      </c>
      <c r="BR589" t="str">
        <f t="shared" si="238"/>
        <v/>
      </c>
      <c r="BS589" t="str">
        <f t="shared" si="239"/>
        <v/>
      </c>
      <c r="BT589" t="str">
        <f t="shared" si="240"/>
        <v/>
      </c>
      <c r="BU589" t="str">
        <f t="shared" si="241"/>
        <v/>
      </c>
    </row>
    <row r="590" spans="1:73">
      <c r="A590" s="1">
        <v>34827</v>
      </c>
      <c r="B590" t="str">
        <f>VLOOKUP($A590,[1]Table!$A$2:$N759,B$1,FALSE)</f>
        <v>B03AA02</v>
      </c>
      <c r="C590" t="str">
        <f>VLOOKUP($A590,[1]Table!$A$2:$N759,C$1,FALSE)</f>
        <v>MIDDELEN BIJ ANEMIE</v>
      </c>
      <c r="D590" t="str">
        <f>VLOOKUP($A590,[1]Table!$A$2:$N759,D$1,FALSE)</f>
        <v>IJZERPREPARATEN</v>
      </c>
      <c r="E590" t="str">
        <f>VLOOKUP($A590,[1]Table!$A$2:$N759,E$1,FALSE)</f>
        <v>FERROFUMARAAT</v>
      </c>
      <c r="F590" t="str">
        <f>VLOOKUP($A590,[1]Table!$A$2:$N759,F$1,FALSE)</f>
        <v>FERROFUMARAAT 20MG/ML SUSP 200ML</v>
      </c>
      <c r="G590" t="str">
        <f>VLOOKUP($A590,[1]Table!$A$2:$N759,G$1,FALSE)</f>
        <v>FERROFUMARAAT 20MG/ML SUSP</v>
      </c>
      <c r="H590" t="str">
        <f>VLOOKUP($A590,[1]Table!$A$2:$N759,H$1,FALSE)</f>
        <v>suspensie voor oraal gebruik</v>
      </c>
      <c r="I590" t="str">
        <f>VLOOKUP($A590,[1]Table!$A$2:$N759,I$1,FALSE)</f>
        <v>or</v>
      </c>
      <c r="J590">
        <f>VLOOKUP($A590,[1]Table!$A$2:$N759,J$1,FALSE)</f>
        <v>20</v>
      </c>
      <c r="K590" t="str">
        <f>VLOOKUP($A590,[1]Table!$A$2:$N759,K$1,FALSE)</f>
        <v>mg/ml</v>
      </c>
      <c r="L590">
        <f>VLOOKUP($A590,[1]Table!$A$2:$N759,L$1,FALSE)</f>
        <v>20</v>
      </c>
      <c r="M590" t="str">
        <f>VLOOKUP($A590,[1]Table!$A$2:$N759,M$1,FALSE)</f>
        <v>mg</v>
      </c>
      <c r="N590" t="str">
        <f>VLOOKUP($A590,[1]Table!$A$2:$N759,N$1,FALSE)</f>
        <v>IJzergebreks anemie||Suppletie van ijzer na geboorte</v>
      </c>
      <c r="O590" t="str">
        <f>ConcatenateRange(AZ590:BU590,"||")</f>
        <v/>
      </c>
      <c r="AZ590" t="str">
        <f t="shared" si="220"/>
        <v/>
      </c>
      <c r="BA590" t="str">
        <f t="shared" si="221"/>
        <v/>
      </c>
      <c r="BB590" t="str">
        <f t="shared" si="222"/>
        <v/>
      </c>
      <c r="BC590" t="str">
        <f t="shared" si="223"/>
        <v/>
      </c>
      <c r="BD590" t="str">
        <f t="shared" si="224"/>
        <v/>
      </c>
      <c r="BE590" t="str">
        <f t="shared" si="225"/>
        <v/>
      </c>
      <c r="BF590" t="str">
        <f t="shared" si="226"/>
        <v/>
      </c>
      <c r="BG590" t="str">
        <f t="shared" si="227"/>
        <v/>
      </c>
      <c r="BH590" t="str">
        <f t="shared" si="228"/>
        <v/>
      </c>
      <c r="BI590" t="str">
        <f t="shared" si="229"/>
        <v/>
      </c>
      <c r="BJ590" t="str">
        <f t="shared" si="230"/>
        <v/>
      </c>
      <c r="BK590" t="str">
        <f t="shared" si="231"/>
        <v/>
      </c>
      <c r="BL590" t="str">
        <f t="shared" si="232"/>
        <v/>
      </c>
      <c r="BM590" t="str">
        <f t="shared" si="233"/>
        <v/>
      </c>
      <c r="BN590" t="str">
        <f t="shared" si="234"/>
        <v/>
      </c>
      <c r="BO590" t="str">
        <f t="shared" si="235"/>
        <v/>
      </c>
      <c r="BP590" t="str">
        <f t="shared" si="236"/>
        <v/>
      </c>
      <c r="BQ590" t="str">
        <f t="shared" si="237"/>
        <v/>
      </c>
      <c r="BR590" t="str">
        <f t="shared" si="238"/>
        <v/>
      </c>
      <c r="BS590" t="str">
        <f t="shared" si="239"/>
        <v/>
      </c>
      <c r="BT590" t="str">
        <f t="shared" si="240"/>
        <v/>
      </c>
      <c r="BU590" t="str">
        <f t="shared" si="241"/>
        <v/>
      </c>
    </row>
    <row r="591" spans="1:73">
      <c r="A591" s="1">
        <v>15342</v>
      </c>
      <c r="B591" t="str">
        <f>VLOOKUP($A591,[1]Table!$A$2:$N760,B$1,FALSE)</f>
        <v>B03AA02</v>
      </c>
      <c r="C591" t="str">
        <f>VLOOKUP($A591,[1]Table!$A$2:$N760,C$1,FALSE)</f>
        <v>MIDDELEN BIJ ANEMIE</v>
      </c>
      <c r="D591" t="str">
        <f>VLOOKUP($A591,[1]Table!$A$2:$N760,D$1,FALSE)</f>
        <v>IJZERPREPARATEN</v>
      </c>
      <c r="E591" t="str">
        <f>VLOOKUP($A591,[1]Table!$A$2:$N760,E$1,FALSE)</f>
        <v>FERROFUMARAAT</v>
      </c>
      <c r="F591" t="str">
        <f>VLOOKUP($A591,[1]Table!$A$2:$N760,F$1,FALSE)</f>
        <v>FERROFUMARAAT 200 MG TABLET</v>
      </c>
      <c r="G591" t="str">
        <f>VLOOKUP($A591,[1]Table!$A$2:$N760,G$1,FALSE)</f>
        <v>FERROFUMARAAT 200MG TABLET</v>
      </c>
      <c r="H591" t="str">
        <f>VLOOKUP($A591,[1]Table!$A$2:$N760,H$1,FALSE)</f>
        <v>tablet</v>
      </c>
      <c r="I591" t="str">
        <f>VLOOKUP($A591,[1]Table!$A$2:$N760,I$1,FALSE)</f>
        <v>or</v>
      </c>
      <c r="J591">
        <f>VLOOKUP($A591,[1]Table!$A$2:$N760,J$1,FALSE)</f>
        <v>200</v>
      </c>
      <c r="K591" t="str">
        <f>VLOOKUP($A591,[1]Table!$A$2:$N760,K$1,FALSE)</f>
        <v>mg/stuk</v>
      </c>
      <c r="L591">
        <f>VLOOKUP($A591,[1]Table!$A$2:$N760,L$1,FALSE)</f>
        <v>200</v>
      </c>
      <c r="M591" t="str">
        <f>VLOOKUP($A591,[1]Table!$A$2:$N760,M$1,FALSE)</f>
        <v>mg</v>
      </c>
      <c r="N591" t="str">
        <f>VLOOKUP($A591,[1]Table!$A$2:$N760,N$1,FALSE)</f>
        <v>IJzergebreks anemie||Suppletie van ijzer na geboorte</v>
      </c>
      <c r="O591" t="str">
        <f>ConcatenateRange(AZ591:BU591,"||")</f>
        <v/>
      </c>
      <c r="AZ591" t="str">
        <f t="shared" si="220"/>
        <v/>
      </c>
      <c r="BA591" t="str">
        <f t="shared" si="221"/>
        <v/>
      </c>
      <c r="BB591" t="str">
        <f t="shared" si="222"/>
        <v/>
      </c>
      <c r="BC591" t="str">
        <f t="shared" si="223"/>
        <v/>
      </c>
      <c r="BD591" t="str">
        <f t="shared" si="224"/>
        <v/>
      </c>
      <c r="BE591" t="str">
        <f t="shared" si="225"/>
        <v/>
      </c>
      <c r="BF591" t="str">
        <f t="shared" si="226"/>
        <v/>
      </c>
      <c r="BG591" t="str">
        <f t="shared" si="227"/>
        <v/>
      </c>
      <c r="BH591" t="str">
        <f t="shared" si="228"/>
        <v/>
      </c>
      <c r="BI591" t="str">
        <f t="shared" si="229"/>
        <v/>
      </c>
      <c r="BJ591" t="str">
        <f t="shared" si="230"/>
        <v/>
      </c>
      <c r="BK591" t="str">
        <f t="shared" si="231"/>
        <v/>
      </c>
      <c r="BL591" t="str">
        <f t="shared" si="232"/>
        <v/>
      </c>
      <c r="BM591" t="str">
        <f t="shared" si="233"/>
        <v/>
      </c>
      <c r="BN591" t="str">
        <f t="shared" si="234"/>
        <v/>
      </c>
      <c r="BO591" t="str">
        <f t="shared" si="235"/>
        <v/>
      </c>
      <c r="BP591" t="str">
        <f t="shared" si="236"/>
        <v/>
      </c>
      <c r="BQ591" t="str">
        <f t="shared" si="237"/>
        <v/>
      </c>
      <c r="BR591" t="str">
        <f t="shared" si="238"/>
        <v/>
      </c>
      <c r="BS591" t="str">
        <f t="shared" si="239"/>
        <v/>
      </c>
      <c r="BT591" t="str">
        <f t="shared" si="240"/>
        <v/>
      </c>
      <c r="BU591" t="str">
        <f t="shared" si="241"/>
        <v/>
      </c>
    </row>
    <row r="592" spans="1:73">
      <c r="A592" s="1">
        <v>103268</v>
      </c>
      <c r="B592" t="str">
        <f>VLOOKUP($A592,[1]Table!$A$2:$N761,B$1,FALSE)</f>
        <v>R06AX26</v>
      </c>
      <c r="C592" t="str">
        <f>VLOOKUP($A592,[1]Table!$A$2:$N761,C$1,FALSE)</f>
        <v>ANTIHISTAMINICA VOOR SYSTEMISCH GEBRUIK</v>
      </c>
      <c r="D592" t="str">
        <f>VLOOKUP($A592,[1]Table!$A$2:$N761,D$1,FALSE)</f>
        <v>ANTIHISTAMINICA VOOR SYSTEMISCH GEBRUIK</v>
      </c>
      <c r="E592" t="str">
        <f>VLOOKUP($A592,[1]Table!$A$2:$N761,E$1,FALSE)</f>
        <v>FEXOFENADINE</v>
      </c>
      <c r="F592" t="str">
        <f>VLOOKUP($A592,[1]Table!$A$2:$N761,F$1,FALSE)</f>
        <v>FEXOFENADINE 120 MG TABLET OMHULD</v>
      </c>
      <c r="G592" t="str">
        <f>VLOOKUP($A592,[1]Table!$A$2:$N761,G$1,FALSE)</f>
        <v>FEXOFENADINE 120MG TABLET O</v>
      </c>
      <c r="H592" t="str">
        <f>VLOOKUP($A592,[1]Table!$A$2:$N761,H$1,FALSE)</f>
        <v>omhulde tablet</v>
      </c>
      <c r="I592" t="str">
        <f>VLOOKUP($A592,[1]Table!$A$2:$N761,I$1,FALSE)</f>
        <v>or</v>
      </c>
      <c r="J592">
        <f>VLOOKUP($A592,[1]Table!$A$2:$N761,J$1,FALSE)</f>
        <v>120</v>
      </c>
      <c r="K592" t="str">
        <f>VLOOKUP($A592,[1]Table!$A$2:$N761,K$1,FALSE)</f>
        <v>mg/stuk</v>
      </c>
      <c r="L592">
        <f>VLOOKUP($A592,[1]Table!$A$2:$N761,L$1,FALSE)</f>
        <v>120</v>
      </c>
      <c r="M592" t="str">
        <f>VLOOKUP($A592,[1]Table!$A$2:$N761,M$1,FALSE)</f>
        <v>mg</v>
      </c>
      <c r="N592" t="str">
        <f>VLOOKUP($A592,[1]Table!$A$2:$N761,N$1,FALSE)</f>
        <v>Allergische rhinitis en chronische urticaria</v>
      </c>
      <c r="O592" t="str">
        <f>ConcatenateRange(AZ592:BU592,"||")</f>
        <v/>
      </c>
      <c r="AZ592" t="str">
        <f t="shared" si="220"/>
        <v/>
      </c>
      <c r="BA592" t="str">
        <f t="shared" si="221"/>
        <v/>
      </c>
      <c r="BB592" t="str">
        <f t="shared" si="222"/>
        <v/>
      </c>
      <c r="BC592" t="str">
        <f t="shared" si="223"/>
        <v/>
      </c>
      <c r="BD592" t="str">
        <f t="shared" si="224"/>
        <v/>
      </c>
      <c r="BE592" t="str">
        <f t="shared" si="225"/>
        <v/>
      </c>
      <c r="BF592" t="str">
        <f t="shared" si="226"/>
        <v/>
      </c>
      <c r="BG592" t="str">
        <f t="shared" si="227"/>
        <v/>
      </c>
      <c r="BH592" t="str">
        <f t="shared" si="228"/>
        <v/>
      </c>
      <c r="BI592" t="str">
        <f t="shared" si="229"/>
        <v/>
      </c>
      <c r="BJ592" t="str">
        <f t="shared" si="230"/>
        <v/>
      </c>
      <c r="BK592" t="str">
        <f t="shared" si="231"/>
        <v/>
      </c>
      <c r="BL592" t="str">
        <f t="shared" si="232"/>
        <v/>
      </c>
      <c r="BM592" t="str">
        <f t="shared" si="233"/>
        <v/>
      </c>
      <c r="BN592" t="str">
        <f t="shared" si="234"/>
        <v/>
      </c>
      <c r="BO592" t="str">
        <f t="shared" si="235"/>
        <v/>
      </c>
      <c r="BP592" t="str">
        <f t="shared" si="236"/>
        <v/>
      </c>
      <c r="BQ592" t="str">
        <f t="shared" si="237"/>
        <v/>
      </c>
      <c r="BR592" t="str">
        <f t="shared" si="238"/>
        <v/>
      </c>
      <c r="BS592" t="str">
        <f t="shared" si="239"/>
        <v/>
      </c>
      <c r="BT592" t="str">
        <f t="shared" si="240"/>
        <v/>
      </c>
      <c r="BU592" t="str">
        <f t="shared" si="241"/>
        <v/>
      </c>
    </row>
    <row r="593" spans="1:73">
      <c r="A593" s="1">
        <v>103276</v>
      </c>
      <c r="B593" t="str">
        <f>VLOOKUP($A593,[1]Table!$A$2:$N762,B$1,FALSE)</f>
        <v>R06AX26</v>
      </c>
      <c r="C593" t="str">
        <f>VLOOKUP($A593,[1]Table!$A$2:$N762,C$1,FALSE)</f>
        <v>ANTIHISTAMINICA VOOR SYSTEMISCH GEBRUIK</v>
      </c>
      <c r="D593" t="str">
        <f>VLOOKUP($A593,[1]Table!$A$2:$N762,D$1,FALSE)</f>
        <v>ANTIHISTAMINICA VOOR SYSTEMISCH GEBRUIK</v>
      </c>
      <c r="E593" t="str">
        <f>VLOOKUP($A593,[1]Table!$A$2:$N762,E$1,FALSE)</f>
        <v>FEXOFENADINE</v>
      </c>
      <c r="F593" t="str">
        <f>VLOOKUP($A593,[1]Table!$A$2:$N762,F$1,FALSE)</f>
        <v>FEXOFENADINE HCL 180 MG TABLET</v>
      </c>
      <c r="G593" t="str">
        <f>VLOOKUP($A593,[1]Table!$A$2:$N762,G$1,FALSE)</f>
        <v>FEXOFENADINE 180MG TABLET O</v>
      </c>
      <c r="H593" t="str">
        <f>VLOOKUP($A593,[1]Table!$A$2:$N762,H$1,FALSE)</f>
        <v>omhulde tablet</v>
      </c>
      <c r="I593" t="str">
        <f>VLOOKUP($A593,[1]Table!$A$2:$N762,I$1,FALSE)</f>
        <v>or</v>
      </c>
      <c r="J593">
        <f>VLOOKUP($A593,[1]Table!$A$2:$N762,J$1,FALSE)</f>
        <v>180</v>
      </c>
      <c r="K593" t="str">
        <f>VLOOKUP($A593,[1]Table!$A$2:$N762,K$1,FALSE)</f>
        <v>mg/stuk</v>
      </c>
      <c r="L593">
        <f>VLOOKUP($A593,[1]Table!$A$2:$N762,L$1,FALSE)</f>
        <v>180</v>
      </c>
      <c r="M593" t="str">
        <f>VLOOKUP($A593,[1]Table!$A$2:$N762,M$1,FALSE)</f>
        <v>mg</v>
      </c>
      <c r="N593" t="str">
        <f>VLOOKUP($A593,[1]Table!$A$2:$N762,N$1,FALSE)</f>
        <v>Allergische rhinitis en chronische urticaria</v>
      </c>
      <c r="O593" t="str">
        <f>ConcatenateRange(AZ593:BU593,"||")</f>
        <v/>
      </c>
      <c r="AZ593" t="str">
        <f t="shared" si="220"/>
        <v/>
      </c>
      <c r="BA593" t="str">
        <f t="shared" si="221"/>
        <v/>
      </c>
      <c r="BB593" t="str">
        <f t="shared" si="222"/>
        <v/>
      </c>
      <c r="BC593" t="str">
        <f t="shared" si="223"/>
        <v/>
      </c>
      <c r="BD593" t="str">
        <f t="shared" si="224"/>
        <v/>
      </c>
      <c r="BE593" t="str">
        <f t="shared" si="225"/>
        <v/>
      </c>
      <c r="BF593" t="str">
        <f t="shared" si="226"/>
        <v/>
      </c>
      <c r="BG593" t="str">
        <f t="shared" si="227"/>
        <v/>
      </c>
      <c r="BH593" t="str">
        <f t="shared" si="228"/>
        <v/>
      </c>
      <c r="BI593" t="str">
        <f t="shared" si="229"/>
        <v/>
      </c>
      <c r="BJ593" t="str">
        <f t="shared" si="230"/>
        <v/>
      </c>
      <c r="BK593" t="str">
        <f t="shared" si="231"/>
        <v/>
      </c>
      <c r="BL593" t="str">
        <f t="shared" si="232"/>
        <v/>
      </c>
      <c r="BM593" t="str">
        <f t="shared" si="233"/>
        <v/>
      </c>
      <c r="BN593" t="str">
        <f t="shared" si="234"/>
        <v/>
      </c>
      <c r="BO593" t="str">
        <f t="shared" si="235"/>
        <v/>
      </c>
      <c r="BP593" t="str">
        <f t="shared" si="236"/>
        <v/>
      </c>
      <c r="BQ593" t="str">
        <f t="shared" si="237"/>
        <v/>
      </c>
      <c r="BR593" t="str">
        <f t="shared" si="238"/>
        <v/>
      </c>
      <c r="BS593" t="str">
        <f t="shared" si="239"/>
        <v/>
      </c>
      <c r="BT593" t="str">
        <f t="shared" si="240"/>
        <v/>
      </c>
      <c r="BU593" t="str">
        <f t="shared" si="241"/>
        <v/>
      </c>
    </row>
    <row r="594" spans="1:73">
      <c r="A594" s="1">
        <v>152269</v>
      </c>
      <c r="B594" t="str">
        <f>VLOOKUP($A594,[1]Table!$A$2:$N763,B$1,FALSE)</f>
        <v>B02BB01</v>
      </c>
      <c r="C594" t="str">
        <f>VLOOKUP($A594,[1]Table!$A$2:$N763,C$1,FALSE)</f>
        <v>ANTIHAEMORRHAGICA</v>
      </c>
      <c r="D594" t="str">
        <f>VLOOKUP($A594,[1]Table!$A$2:$N763,D$1,FALSE)</f>
        <v>VITAMINE K EN OVERIGE HAEMOSTATICA</v>
      </c>
      <c r="E594" t="str">
        <f>VLOOKUP($A594,[1]Table!$A$2:$N763,E$1,FALSE)</f>
        <v>FIBRINOGEEN</v>
      </c>
      <c r="F594" t="str">
        <f>VLOOKUP($A594,[1]Table!$A$2:$N763,F$1,FALSE)</f>
        <v>HAEMOCOMPLETTAN P 1G POEDER VOOR INFUSIE</v>
      </c>
      <c r="G594" t="str">
        <f>VLOOKUP($A594,[1]Table!$A$2:$N763,G$1,FALSE)</f>
        <v>FIBRINOGEEN 1G PDR INJ/INFO</v>
      </c>
      <c r="H594" t="str">
        <f>VLOOKUP($A594,[1]Table!$A$2:$N763,H$1,FALSE)</f>
        <v>poeder voor injectie/infusieoplossing</v>
      </c>
      <c r="I594" t="str">
        <f>VLOOKUP($A594,[1]Table!$A$2:$N763,I$1,FALSE)</f>
        <v>iv</v>
      </c>
      <c r="J594">
        <f>VLOOKUP($A594,[1]Table!$A$2:$N763,J$1,FALSE)</f>
        <v>1</v>
      </c>
      <c r="K594" t="str">
        <f>VLOOKUP($A594,[1]Table!$A$2:$N763,K$1,FALSE)</f>
        <v>gr/stuk</v>
      </c>
      <c r="L594">
        <f>VLOOKUP($A594,[1]Table!$A$2:$N763,L$1,FALSE)</f>
        <v>1</v>
      </c>
      <c r="M594" t="str">
        <f>VLOOKUP($A594,[1]Table!$A$2:$N763,M$1,FALSE)</f>
        <v>gr</v>
      </c>
      <c r="N594" t="str">
        <f>VLOOKUP($A594,[1]Table!$A$2:$N763,N$1,FALSE)</f>
        <v>Wondhechting||Bloeding</v>
      </c>
      <c r="O594" t="str">
        <f>ConcatenateRange(AZ594:BU594,"||")</f>
        <v/>
      </c>
      <c r="AZ594" t="str">
        <f t="shared" si="220"/>
        <v/>
      </c>
      <c r="BA594" t="str">
        <f t="shared" si="221"/>
        <v/>
      </c>
      <c r="BB594" t="str">
        <f t="shared" si="222"/>
        <v/>
      </c>
      <c r="BC594" t="str">
        <f t="shared" si="223"/>
        <v/>
      </c>
      <c r="BD594" t="str">
        <f t="shared" si="224"/>
        <v/>
      </c>
      <c r="BE594" t="str">
        <f t="shared" si="225"/>
        <v/>
      </c>
      <c r="BF594" t="str">
        <f t="shared" si="226"/>
        <v/>
      </c>
      <c r="BG594" t="str">
        <f t="shared" si="227"/>
        <v/>
      </c>
      <c r="BH594" t="str">
        <f t="shared" si="228"/>
        <v/>
      </c>
      <c r="BI594" t="str">
        <f t="shared" si="229"/>
        <v/>
      </c>
      <c r="BJ594" t="str">
        <f t="shared" si="230"/>
        <v/>
      </c>
      <c r="BK594" t="str">
        <f t="shared" si="231"/>
        <v/>
      </c>
      <c r="BL594" t="str">
        <f t="shared" si="232"/>
        <v/>
      </c>
      <c r="BM594" t="str">
        <f t="shared" si="233"/>
        <v/>
      </c>
      <c r="BN594" t="str">
        <f t="shared" si="234"/>
        <v/>
      </c>
      <c r="BO594" t="str">
        <f t="shared" si="235"/>
        <v/>
      </c>
      <c r="BP594" t="str">
        <f t="shared" si="236"/>
        <v/>
      </c>
      <c r="BQ594" t="str">
        <f t="shared" si="237"/>
        <v/>
      </c>
      <c r="BR594" t="str">
        <f t="shared" si="238"/>
        <v/>
      </c>
      <c r="BS594" t="str">
        <f t="shared" si="239"/>
        <v/>
      </c>
      <c r="BT594" t="str">
        <f t="shared" si="240"/>
        <v/>
      </c>
      <c r="BU594" t="str">
        <f t="shared" si="241"/>
        <v/>
      </c>
    </row>
    <row r="595" spans="1:73">
      <c r="A595" s="1">
        <v>83526</v>
      </c>
      <c r="B595" t="str">
        <f>VLOOKUP($A595,[1]Table!$A$2:$N764,B$1,FALSE)</f>
        <v>L03AA02</v>
      </c>
      <c r="C595" t="str">
        <f>VLOOKUP($A595,[1]Table!$A$2:$N764,C$1,FALSE)</f>
        <v>IMMUNOSTIMULANTIA</v>
      </c>
      <c r="D595" t="str">
        <f>VLOOKUP($A595,[1]Table!$A$2:$N764,D$1,FALSE)</f>
        <v>IMMUNOSTIMULANTIA</v>
      </c>
      <c r="E595" t="s">
        <v>102</v>
      </c>
      <c r="F595" t="str">
        <f>VLOOKUP($A595,[1]Table!$A$2:$N764,F$1,FALSE)</f>
        <v>NEUPOGEN 300 MICROG/1ML FLACON 1ML</v>
      </c>
      <c r="G595" t="str">
        <f>VLOOKUP($A595,[1]Table!$A$2:$N764,G$1,FALSE)</f>
        <v>FILGRASTIM 30ME/ML INJVLST</v>
      </c>
      <c r="H595" t="str">
        <f>VLOOKUP($A595,[1]Table!$A$2:$N764,H$1,FALSE)</f>
        <v>injectievloeistof</v>
      </c>
      <c r="I595" t="str">
        <f>VLOOKUP($A595,[1]Table!$A$2:$N764,I$1,FALSE)</f>
        <v>iv||sc</v>
      </c>
      <c r="J595">
        <f>VLOOKUP($A595,[1]Table!$A$2:$N764,J$1,FALSE)</f>
        <v>30</v>
      </c>
      <c r="K595" t="str">
        <f>VLOOKUP($A595,[1]Table!$A$2:$N764,K$1,FALSE)</f>
        <v>IE/ml</v>
      </c>
      <c r="L595">
        <f>VLOOKUP($A595,[1]Table!$A$2:$N764,L$1,FALSE)</f>
        <v>30</v>
      </c>
      <c r="M595" t="str">
        <f>VLOOKUP($A595,[1]Table!$A$2:$N764,M$1,FALSE)</f>
        <v>IE</v>
      </c>
      <c r="N595" t="str">
        <f>VLOOKUP($A595,[1]Table!$A$2:$N764,N$1,FALSE)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5" t="str">
        <f>ConcatenateRange(AZ595:BU595,"||")</f>
        <v/>
      </c>
      <c r="AZ595" t="str">
        <f t="shared" si="220"/>
        <v/>
      </c>
      <c r="BA595" t="str">
        <f t="shared" si="221"/>
        <v/>
      </c>
      <c r="BB595" t="str">
        <f t="shared" si="222"/>
        <v/>
      </c>
      <c r="BC595" t="str">
        <f t="shared" si="223"/>
        <v/>
      </c>
      <c r="BD595" t="str">
        <f t="shared" si="224"/>
        <v/>
      </c>
      <c r="BE595" t="str">
        <f t="shared" si="225"/>
        <v/>
      </c>
      <c r="BF595" t="str">
        <f t="shared" si="226"/>
        <v/>
      </c>
      <c r="BG595" t="str">
        <f t="shared" si="227"/>
        <v/>
      </c>
      <c r="BH595" t="str">
        <f t="shared" si="228"/>
        <v/>
      </c>
      <c r="BI595" t="str">
        <f t="shared" si="229"/>
        <v/>
      </c>
      <c r="BJ595" t="str">
        <f t="shared" si="230"/>
        <v/>
      </c>
      <c r="BK595" t="str">
        <f t="shared" si="231"/>
        <v/>
      </c>
      <c r="BL595" t="str">
        <f t="shared" si="232"/>
        <v/>
      </c>
      <c r="BM595" t="str">
        <f t="shared" si="233"/>
        <v/>
      </c>
      <c r="BN595" t="str">
        <f t="shared" si="234"/>
        <v/>
      </c>
      <c r="BO595" t="str">
        <f t="shared" si="235"/>
        <v/>
      </c>
      <c r="BP595" t="str">
        <f t="shared" si="236"/>
        <v/>
      </c>
      <c r="BQ595" t="str">
        <f t="shared" si="237"/>
        <v/>
      </c>
      <c r="BR595" t="str">
        <f t="shared" si="238"/>
        <v/>
      </c>
      <c r="BS595" t="str">
        <f t="shared" si="239"/>
        <v/>
      </c>
      <c r="BT595" t="str">
        <f t="shared" si="240"/>
        <v/>
      </c>
      <c r="BU595" t="str">
        <f t="shared" si="241"/>
        <v/>
      </c>
    </row>
    <row r="596" spans="1:73">
      <c r="A596" s="1">
        <v>113794</v>
      </c>
      <c r="B596" t="str">
        <f>VLOOKUP($A596,[1]Table!$A$2:$N765,B$1,FALSE)</f>
        <v>L03AA02</v>
      </c>
      <c r="C596" t="str">
        <f>VLOOKUP($A596,[1]Table!$A$2:$N765,C$1,FALSE)</f>
        <v>IMMUNOSTIMULANTIA</v>
      </c>
      <c r="D596" t="str">
        <f>VLOOKUP($A596,[1]Table!$A$2:$N765,D$1,FALSE)</f>
        <v>IMMUNOSTIMULANTIA</v>
      </c>
      <c r="E596" t="s">
        <v>102</v>
      </c>
      <c r="F596" t="str">
        <f>VLOOKUP($A596,[1]Table!$A$2:$N765,F$1,FALSE)</f>
        <v>NEUPOGEN 300 MICROG/0,5 ML SINGLEJECT</v>
      </c>
      <c r="G596" t="str">
        <f>VLOOKUP($A596,[1]Table!$A$2:$N765,G$1,FALSE)</f>
        <v>FILGRASTIM 60ME/ML INJVLST</v>
      </c>
      <c r="H596" t="str">
        <f>VLOOKUP($A596,[1]Table!$A$2:$N765,H$1,FALSE)</f>
        <v>injectievloeistof</v>
      </c>
      <c r="I596" t="str">
        <f>VLOOKUP($A596,[1]Table!$A$2:$N765,I$1,FALSE)</f>
        <v>iv||sc</v>
      </c>
      <c r="J596">
        <f>VLOOKUP($A596,[1]Table!$A$2:$N765,J$1,FALSE)</f>
        <v>60</v>
      </c>
      <c r="K596" t="str">
        <f>VLOOKUP($A596,[1]Table!$A$2:$N765,K$1,FALSE)</f>
        <v>IE/ml</v>
      </c>
      <c r="L596">
        <f>VLOOKUP($A596,[1]Table!$A$2:$N765,L$1,FALSE)</f>
        <v>60</v>
      </c>
      <c r="M596" t="str">
        <f>VLOOKUP($A596,[1]Table!$A$2:$N765,M$1,FALSE)</f>
        <v>IE</v>
      </c>
      <c r="N596" t="str">
        <f>VLOOKUP($A596,[1]Table!$A$2:$N765,N$1,FALSE)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6" t="str">
        <f>ConcatenateRange(AZ596:BU596,"||")</f>
        <v/>
      </c>
      <c r="AZ596" t="str">
        <f t="shared" si="220"/>
        <v/>
      </c>
      <c r="BA596" t="str">
        <f t="shared" si="221"/>
        <v/>
      </c>
      <c r="BB596" t="str">
        <f t="shared" si="222"/>
        <v/>
      </c>
      <c r="BC596" t="str">
        <f t="shared" si="223"/>
        <v/>
      </c>
      <c r="BD596" t="str">
        <f t="shared" si="224"/>
        <v/>
      </c>
      <c r="BE596" t="str">
        <f t="shared" si="225"/>
        <v/>
      </c>
      <c r="BF596" t="str">
        <f t="shared" si="226"/>
        <v/>
      </c>
      <c r="BG596" t="str">
        <f t="shared" si="227"/>
        <v/>
      </c>
      <c r="BH596" t="str">
        <f t="shared" si="228"/>
        <v/>
      </c>
      <c r="BI596" t="str">
        <f t="shared" si="229"/>
        <v/>
      </c>
      <c r="BJ596" t="str">
        <f t="shared" si="230"/>
        <v/>
      </c>
      <c r="BK596" t="str">
        <f t="shared" si="231"/>
        <v/>
      </c>
      <c r="BL596" t="str">
        <f t="shared" si="232"/>
        <v/>
      </c>
      <c r="BM596" t="str">
        <f t="shared" si="233"/>
        <v/>
      </c>
      <c r="BN596" t="str">
        <f t="shared" si="234"/>
        <v/>
      </c>
      <c r="BO596" t="str">
        <f t="shared" si="235"/>
        <v/>
      </c>
      <c r="BP596" t="str">
        <f t="shared" si="236"/>
        <v/>
      </c>
      <c r="BQ596" t="str">
        <f t="shared" si="237"/>
        <v/>
      </c>
      <c r="BR596" t="str">
        <f t="shared" si="238"/>
        <v/>
      </c>
      <c r="BS596" t="str">
        <f t="shared" si="239"/>
        <v/>
      </c>
      <c r="BT596" t="str">
        <f t="shared" si="240"/>
        <v/>
      </c>
      <c r="BU596" t="str">
        <f t="shared" si="241"/>
        <v/>
      </c>
    </row>
    <row r="597" spans="1:73">
      <c r="A597" s="1">
        <v>113808</v>
      </c>
      <c r="B597" t="str">
        <f>VLOOKUP($A597,[1]Table!$A$2:$N766,B$1,FALSE)</f>
        <v>L03AA02</v>
      </c>
      <c r="C597" t="str">
        <f>VLOOKUP($A597,[1]Table!$A$2:$N766,C$1,FALSE)</f>
        <v>IMMUNOSTIMULANTIA</v>
      </c>
      <c r="D597" t="str">
        <f>VLOOKUP($A597,[1]Table!$A$2:$N766,D$1,FALSE)</f>
        <v>IMMUNOSTIMULANTIA</v>
      </c>
      <c r="E597" t="s">
        <v>102</v>
      </c>
      <c r="F597" t="str">
        <f>VLOOKUP($A597,[1]Table!$A$2:$N766,F$1,FALSE)</f>
        <v>NEUPOGEN 480 MICROG/0,5 ML SINGLEJECT</v>
      </c>
      <c r="G597" t="str">
        <f>VLOOKUP($A597,[1]Table!$A$2:$N766,G$1,FALSE)</f>
        <v>FILGRASTIM 96ME/ML INJVLST</v>
      </c>
      <c r="H597" t="str">
        <f>VLOOKUP($A597,[1]Table!$A$2:$N766,H$1,FALSE)</f>
        <v>injectievloeistof</v>
      </c>
      <c r="I597" t="str">
        <f>VLOOKUP($A597,[1]Table!$A$2:$N766,I$1,FALSE)</f>
        <v>iv||sc</v>
      </c>
      <c r="J597">
        <f>VLOOKUP($A597,[1]Table!$A$2:$N766,J$1,FALSE)</f>
        <v>96</v>
      </c>
      <c r="K597" t="str">
        <f>VLOOKUP($A597,[1]Table!$A$2:$N766,K$1,FALSE)</f>
        <v>IE/ml</v>
      </c>
      <c r="L597">
        <f>VLOOKUP($A597,[1]Table!$A$2:$N766,L$1,FALSE)</f>
        <v>96</v>
      </c>
      <c r="M597" t="str">
        <f>VLOOKUP($A597,[1]Table!$A$2:$N766,M$1,FALSE)</f>
        <v>IE</v>
      </c>
      <c r="N597" t="str">
        <f>VLOOKUP($A597,[1]Table!$A$2:$N766,N$1,FALSE)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7" t="str">
        <f>ConcatenateRange(AZ597:BU597,"||")</f>
        <v/>
      </c>
      <c r="AZ597" t="str">
        <f t="shared" si="220"/>
        <v/>
      </c>
      <c r="BA597" t="str">
        <f t="shared" si="221"/>
        <v/>
      </c>
      <c r="BB597" t="str">
        <f t="shared" si="222"/>
        <v/>
      </c>
      <c r="BC597" t="str">
        <f t="shared" si="223"/>
        <v/>
      </c>
      <c r="BD597" t="str">
        <f t="shared" si="224"/>
        <v/>
      </c>
      <c r="BE597" t="str">
        <f t="shared" si="225"/>
        <v/>
      </c>
      <c r="BF597" t="str">
        <f t="shared" si="226"/>
        <v/>
      </c>
      <c r="BG597" t="str">
        <f t="shared" si="227"/>
        <v/>
      </c>
      <c r="BH597" t="str">
        <f t="shared" si="228"/>
        <v/>
      </c>
      <c r="BI597" t="str">
        <f t="shared" si="229"/>
        <v/>
      </c>
      <c r="BJ597" t="str">
        <f t="shared" si="230"/>
        <v/>
      </c>
      <c r="BK597" t="str">
        <f t="shared" si="231"/>
        <v/>
      </c>
      <c r="BL597" t="str">
        <f t="shared" si="232"/>
        <v/>
      </c>
      <c r="BM597" t="str">
        <f t="shared" si="233"/>
        <v/>
      </c>
      <c r="BN597" t="str">
        <f t="shared" si="234"/>
        <v/>
      </c>
      <c r="BO597" t="str">
        <f t="shared" si="235"/>
        <v/>
      </c>
      <c r="BP597" t="str">
        <f t="shared" si="236"/>
        <v/>
      </c>
      <c r="BQ597" t="str">
        <f t="shared" si="237"/>
        <v/>
      </c>
      <c r="BR597" t="str">
        <f t="shared" si="238"/>
        <v/>
      </c>
      <c r="BS597" t="str">
        <f t="shared" si="239"/>
        <v/>
      </c>
      <c r="BT597" t="str">
        <f t="shared" si="240"/>
        <v/>
      </c>
      <c r="BU597" t="str">
        <f t="shared" si="241"/>
        <v/>
      </c>
    </row>
    <row r="598" spans="1:73">
      <c r="A598" s="1">
        <v>118591</v>
      </c>
      <c r="B598" t="str">
        <f>VLOOKUP($A598,[1]Table!$A$2:$N767,B$1,FALSE)</f>
        <v>C01BC04</v>
      </c>
      <c r="C598" t="str">
        <f>VLOOKUP($A598,[1]Table!$A$2:$N767,C$1,FALSE)</f>
        <v>CARDIACA</v>
      </c>
      <c r="D598" t="str">
        <f>VLOOKUP($A598,[1]Table!$A$2:$N767,D$1,FALSE)</f>
        <v>ANTI-ARITMISCHE MIDDELEN KLASSE I EN III</v>
      </c>
      <c r="E598" t="str">
        <f>VLOOKUP($A598,[1]Table!$A$2:$N767,E$1,FALSE)</f>
        <v>FLECAINIDE</v>
      </c>
      <c r="F598" t="str">
        <f>VLOOKUP($A598,[1]Table!$A$2:$N767,F$1,FALSE)</f>
        <v>TAMBOCOR CR 50 MG CAPSULE MGA (RETARD)</v>
      </c>
      <c r="G598" t="str">
        <f>VLOOKUP($A598,[1]Table!$A$2:$N767,G$1,FALSE)</f>
        <v>FLECAINIDE 50MG CAPSULE MGA</v>
      </c>
      <c r="H598" t="str">
        <f>VLOOKUP($A598,[1]Table!$A$2:$N767,H$1,FALSE)</f>
        <v>capsule met gereguleerde afgifte</v>
      </c>
      <c r="I598" t="str">
        <f>VLOOKUP($A598,[1]Table!$A$2:$N767,I$1,FALSE)</f>
        <v>or</v>
      </c>
      <c r="J598">
        <f>VLOOKUP($A598,[1]Table!$A$2:$N767,J$1,FALSE)</f>
        <v>50</v>
      </c>
      <c r="K598" t="str">
        <f>VLOOKUP($A598,[1]Table!$A$2:$N767,K$1,FALSE)</f>
        <v>mg/stuk</v>
      </c>
      <c r="L598">
        <f>VLOOKUP($A598,[1]Table!$A$2:$N767,L$1,FALSE)</f>
        <v>50</v>
      </c>
      <c r="M598" t="str">
        <f>VLOOKUP($A598,[1]Table!$A$2:$N767,M$1,FALSE)</f>
        <v>mg</v>
      </c>
      <c r="N598" t="str">
        <f>VLOOKUP($A598,[1]Table!$A$2:$N767,N$1,FALSE)</f>
        <v xml:space="preserve">Supraventriculaire ritmestoornissen, levensbedreigende ventriculaire ritmestoornissen </v>
      </c>
      <c r="O598" t="str">
        <f>ConcatenateRange(AZ598:BU598,"||")</f>
        <v/>
      </c>
      <c r="AZ598" t="str">
        <f t="shared" si="220"/>
        <v/>
      </c>
      <c r="BA598" t="str">
        <f t="shared" si="221"/>
        <v/>
      </c>
      <c r="BB598" t="str">
        <f t="shared" si="222"/>
        <v/>
      </c>
      <c r="BC598" t="str">
        <f t="shared" si="223"/>
        <v/>
      </c>
      <c r="BD598" t="str">
        <f t="shared" si="224"/>
        <v/>
      </c>
      <c r="BE598" t="str">
        <f t="shared" si="225"/>
        <v/>
      </c>
      <c r="BF598" t="str">
        <f t="shared" si="226"/>
        <v/>
      </c>
      <c r="BG598" t="str">
        <f t="shared" si="227"/>
        <v/>
      </c>
      <c r="BH598" t="str">
        <f t="shared" si="228"/>
        <v/>
      </c>
      <c r="BI598" t="str">
        <f t="shared" si="229"/>
        <v/>
      </c>
      <c r="BJ598" t="str">
        <f t="shared" si="230"/>
        <v/>
      </c>
      <c r="BK598" t="str">
        <f t="shared" si="231"/>
        <v/>
      </c>
      <c r="BL598" t="str">
        <f t="shared" si="232"/>
        <v/>
      </c>
      <c r="BM598" t="str">
        <f t="shared" si="233"/>
        <v/>
      </c>
      <c r="BN598" t="str">
        <f t="shared" si="234"/>
        <v/>
      </c>
      <c r="BO598" t="str">
        <f t="shared" si="235"/>
        <v/>
      </c>
      <c r="BP598" t="str">
        <f t="shared" si="236"/>
        <v/>
      </c>
      <c r="BQ598" t="str">
        <f t="shared" si="237"/>
        <v/>
      </c>
      <c r="BR598" t="str">
        <f t="shared" si="238"/>
        <v/>
      </c>
      <c r="BS598" t="str">
        <f t="shared" si="239"/>
        <v/>
      </c>
      <c r="BT598" t="str">
        <f t="shared" si="240"/>
        <v/>
      </c>
      <c r="BU598" t="str">
        <f t="shared" si="241"/>
        <v/>
      </c>
    </row>
    <row r="599" spans="1:73">
      <c r="A599" s="1">
        <v>116149</v>
      </c>
      <c r="B599" t="str">
        <f>VLOOKUP($A599,[1]Table!$A$2:$N768,B$1,FALSE)</f>
        <v>C01BC04</v>
      </c>
      <c r="C599" t="str">
        <f>VLOOKUP($A599,[1]Table!$A$2:$N768,C$1,FALSE)</f>
        <v>CARDIACA</v>
      </c>
      <c r="D599" t="str">
        <f>VLOOKUP($A599,[1]Table!$A$2:$N768,D$1,FALSE)</f>
        <v>ANTI-ARITMISCHE MIDDELEN KLASSE I EN III</v>
      </c>
      <c r="E599" t="str">
        <f>VLOOKUP($A599,[1]Table!$A$2:$N768,E$1,FALSE)</f>
        <v>FLECAINIDE</v>
      </c>
      <c r="F599" t="str">
        <f>VLOOKUP($A599,[1]Table!$A$2:$N768,F$1,FALSE)</f>
        <v>TAMBOCOR CR 100 MG CAPSULE MGA (RETARD)</v>
      </c>
      <c r="G599" t="str">
        <f>VLOOKUP($A599,[1]Table!$A$2:$N768,G$1,FALSE)</f>
        <v>FLECAINIDE 100MG CAPS MGA</v>
      </c>
      <c r="H599" t="str">
        <f>VLOOKUP($A599,[1]Table!$A$2:$N768,H$1,FALSE)</f>
        <v>capsule met gereguleerde afgifte</v>
      </c>
      <c r="I599" t="str">
        <f>VLOOKUP($A599,[1]Table!$A$2:$N768,I$1,FALSE)</f>
        <v>or</v>
      </c>
      <c r="J599">
        <f>VLOOKUP($A599,[1]Table!$A$2:$N768,J$1,FALSE)</f>
        <v>100</v>
      </c>
      <c r="K599" t="str">
        <f>VLOOKUP($A599,[1]Table!$A$2:$N768,K$1,FALSE)</f>
        <v>mg/stuk</v>
      </c>
      <c r="L599">
        <f>VLOOKUP($A599,[1]Table!$A$2:$N768,L$1,FALSE)</f>
        <v>100</v>
      </c>
      <c r="M599" t="str">
        <f>VLOOKUP($A599,[1]Table!$A$2:$N768,M$1,FALSE)</f>
        <v>mg</v>
      </c>
      <c r="N599" t="str">
        <f>VLOOKUP($A599,[1]Table!$A$2:$N768,N$1,FALSE)</f>
        <v xml:space="preserve">Supraventriculaire ritmestoornissen, levensbedreigende ventriculaire ritmestoornissen </v>
      </c>
      <c r="O599" t="str">
        <f>ConcatenateRange(AZ599:BU599,"||")</f>
        <v/>
      </c>
      <c r="AZ599" t="str">
        <f t="shared" si="220"/>
        <v/>
      </c>
      <c r="BA599" t="str">
        <f t="shared" si="221"/>
        <v/>
      </c>
      <c r="BB599" t="str">
        <f t="shared" si="222"/>
        <v/>
      </c>
      <c r="BC599" t="str">
        <f t="shared" si="223"/>
        <v/>
      </c>
      <c r="BD599" t="str">
        <f t="shared" si="224"/>
        <v/>
      </c>
      <c r="BE599" t="str">
        <f t="shared" si="225"/>
        <v/>
      </c>
      <c r="BF599" t="str">
        <f t="shared" si="226"/>
        <v/>
      </c>
      <c r="BG599" t="str">
        <f t="shared" si="227"/>
        <v/>
      </c>
      <c r="BH599" t="str">
        <f t="shared" si="228"/>
        <v/>
      </c>
      <c r="BI599" t="str">
        <f t="shared" si="229"/>
        <v/>
      </c>
      <c r="BJ599" t="str">
        <f t="shared" si="230"/>
        <v/>
      </c>
      <c r="BK599" t="str">
        <f t="shared" si="231"/>
        <v/>
      </c>
      <c r="BL599" t="str">
        <f t="shared" si="232"/>
        <v/>
      </c>
      <c r="BM599" t="str">
        <f t="shared" si="233"/>
        <v/>
      </c>
      <c r="BN599" t="str">
        <f t="shared" si="234"/>
        <v/>
      </c>
      <c r="BO599" t="str">
        <f t="shared" si="235"/>
        <v/>
      </c>
      <c r="BP599" t="str">
        <f t="shared" si="236"/>
        <v/>
      </c>
      <c r="BQ599" t="str">
        <f t="shared" si="237"/>
        <v/>
      </c>
      <c r="BR599" t="str">
        <f t="shared" si="238"/>
        <v/>
      </c>
      <c r="BS599" t="str">
        <f t="shared" si="239"/>
        <v/>
      </c>
      <c r="BT599" t="str">
        <f t="shared" si="240"/>
        <v/>
      </c>
      <c r="BU599" t="str">
        <f t="shared" si="241"/>
        <v/>
      </c>
    </row>
    <row r="600" spans="1:73">
      <c r="A600" s="1">
        <v>116157</v>
      </c>
      <c r="B600" t="str">
        <f>VLOOKUP($A600,[1]Table!$A$2:$N769,B$1,FALSE)</f>
        <v>C01BC04</v>
      </c>
      <c r="C600" t="str">
        <f>VLOOKUP($A600,[1]Table!$A$2:$N769,C$1,FALSE)</f>
        <v>CARDIACA</v>
      </c>
      <c r="D600" t="str">
        <f>VLOOKUP($A600,[1]Table!$A$2:$N769,D$1,FALSE)</f>
        <v>ANTI-ARITMISCHE MIDDELEN KLASSE I EN III</v>
      </c>
      <c r="E600" t="s">
        <v>103</v>
      </c>
      <c r="F600" t="str">
        <f>VLOOKUP($A600,[1]Table!$A$2:$N769,F$1,FALSE)</f>
        <v>TAMBOCOR CR 150MG CAPSULE MGA (RETARD)</v>
      </c>
      <c r="G600" t="str">
        <f>VLOOKUP($A600,[1]Table!$A$2:$N769,G$1,FALSE)</f>
        <v>FLECAINIDE 150MG CAPS MGA</v>
      </c>
      <c r="H600" t="str">
        <f>VLOOKUP($A600,[1]Table!$A$2:$N769,H$1,FALSE)</f>
        <v>capsule met gereguleerde afgifte</v>
      </c>
      <c r="I600" t="str">
        <f>VLOOKUP($A600,[1]Table!$A$2:$N769,I$1,FALSE)</f>
        <v>or</v>
      </c>
      <c r="J600">
        <f>VLOOKUP($A600,[1]Table!$A$2:$N769,J$1,FALSE)</f>
        <v>150</v>
      </c>
      <c r="K600" t="str">
        <f>VLOOKUP($A600,[1]Table!$A$2:$N769,K$1,FALSE)</f>
        <v>mg/stuk</v>
      </c>
      <c r="L600">
        <f>VLOOKUP($A600,[1]Table!$A$2:$N769,L$1,FALSE)</f>
        <v>150</v>
      </c>
      <c r="M600" t="str">
        <f>VLOOKUP($A600,[1]Table!$A$2:$N769,M$1,FALSE)</f>
        <v>mg</v>
      </c>
      <c r="N600" t="str">
        <f>VLOOKUP($A600,[1]Table!$A$2:$N769,N$1,FALSE)</f>
        <v xml:space="preserve">Supraventriculaire ritmestoornissen, levensbedreigende ventriculaire ritmestoornissen </v>
      </c>
      <c r="O600" t="str">
        <f>ConcatenateRange(AZ600:BU600,"||")</f>
        <v/>
      </c>
      <c r="AZ600" t="str">
        <f t="shared" si="220"/>
        <v/>
      </c>
      <c r="BA600" t="str">
        <f t="shared" si="221"/>
        <v/>
      </c>
      <c r="BB600" t="str">
        <f t="shared" si="222"/>
        <v/>
      </c>
      <c r="BC600" t="str">
        <f t="shared" si="223"/>
        <v/>
      </c>
      <c r="BD600" t="str">
        <f t="shared" si="224"/>
        <v/>
      </c>
      <c r="BE600" t="str">
        <f t="shared" si="225"/>
        <v/>
      </c>
      <c r="BF600" t="str">
        <f t="shared" si="226"/>
        <v/>
      </c>
      <c r="BG600" t="str">
        <f t="shared" si="227"/>
        <v/>
      </c>
      <c r="BH600" t="str">
        <f t="shared" si="228"/>
        <v/>
      </c>
      <c r="BI600" t="str">
        <f t="shared" si="229"/>
        <v/>
      </c>
      <c r="BJ600" t="str">
        <f t="shared" si="230"/>
        <v/>
      </c>
      <c r="BK600" t="str">
        <f t="shared" si="231"/>
        <v/>
      </c>
      <c r="BL600" t="str">
        <f t="shared" si="232"/>
        <v/>
      </c>
      <c r="BM600" t="str">
        <f t="shared" si="233"/>
        <v/>
      </c>
      <c r="BN600" t="str">
        <f t="shared" si="234"/>
        <v/>
      </c>
      <c r="BO600" t="str">
        <f t="shared" si="235"/>
        <v/>
      </c>
      <c r="BP600" t="str">
        <f t="shared" si="236"/>
        <v/>
      </c>
      <c r="BQ600" t="str">
        <f t="shared" si="237"/>
        <v/>
      </c>
      <c r="BR600" t="str">
        <f t="shared" si="238"/>
        <v/>
      </c>
      <c r="BS600" t="str">
        <f t="shared" si="239"/>
        <v/>
      </c>
      <c r="BT600" t="str">
        <f t="shared" si="240"/>
        <v/>
      </c>
      <c r="BU600" t="str">
        <f t="shared" si="241"/>
        <v/>
      </c>
    </row>
    <row r="601" spans="1:73">
      <c r="A601" s="1">
        <v>50482</v>
      </c>
      <c r="B601" t="str">
        <f>VLOOKUP($A601,[1]Table!$A$2:$N769,B$1,FALSE)</f>
        <v>C01BC04</v>
      </c>
      <c r="C601" t="str">
        <f>VLOOKUP($A601,[1]Table!$A$2:$N769,C$1,FALSE)</f>
        <v>CARDIACA</v>
      </c>
      <c r="D601" t="str">
        <f>VLOOKUP($A601,[1]Table!$A$2:$N769,D$1,FALSE)</f>
        <v>ANTI-ARITMISCHE MIDDELEN KLASSE I EN III</v>
      </c>
      <c r="E601" t="str">
        <f>VLOOKUP($A601,[1]Table!$A$2:$N769,E$1,FALSE)</f>
        <v>FLECAINIDE</v>
      </c>
      <c r="F601" t="str">
        <f>VLOOKUP($A601,[1]Table!$A$2:$N769,F$1,FALSE)</f>
        <v>TAMBOCOR 10 MG/ML AMPUL 15ML</v>
      </c>
      <c r="G601" t="str">
        <f>VLOOKUP($A601,[1]Table!$A$2:$N769,G$1,FALSE)</f>
        <v>FLECAINIDE 10MG/ML INJVLST</v>
      </c>
      <c r="H601" t="str">
        <f>VLOOKUP($A601,[1]Table!$A$2:$N769,H$1,FALSE)</f>
        <v>injectievloeistof</v>
      </c>
      <c r="I601" t="str">
        <f>VLOOKUP($A601,[1]Table!$A$2:$N769,I$1,FALSE)</f>
        <v>iv</v>
      </c>
      <c r="J601">
        <f>VLOOKUP($A601,[1]Table!$A$2:$N769,J$1,FALSE)</f>
        <v>10</v>
      </c>
      <c r="K601" t="str">
        <f>VLOOKUP($A601,[1]Table!$A$2:$N769,K$1,FALSE)</f>
        <v>mg/ml</v>
      </c>
      <c r="L601">
        <f>VLOOKUP($A601,[1]Table!$A$2:$N769,L$1,FALSE)</f>
        <v>10</v>
      </c>
      <c r="M601" t="str">
        <f>VLOOKUP($A601,[1]Table!$A$2:$N769,M$1,FALSE)</f>
        <v>mg</v>
      </c>
      <c r="N601" t="str">
        <f>VLOOKUP($A601,[1]Table!$A$2:$N769,N$1,FALSE)</f>
        <v xml:space="preserve">Supraventriculaire ritmestoornissen, levensbedreigende ventriculaire ritmestoornissen </v>
      </c>
      <c r="O601" t="str">
        <f>ConcatenateRange(AZ601:BU601,"||")</f>
        <v/>
      </c>
      <c r="AZ601" t="str">
        <f t="shared" si="220"/>
        <v/>
      </c>
      <c r="BA601" t="str">
        <f t="shared" si="221"/>
        <v/>
      </c>
      <c r="BB601" t="str">
        <f t="shared" si="222"/>
        <v/>
      </c>
      <c r="BC601" t="str">
        <f t="shared" si="223"/>
        <v/>
      </c>
      <c r="BD601" t="str">
        <f t="shared" si="224"/>
        <v/>
      </c>
      <c r="BE601" t="str">
        <f t="shared" si="225"/>
        <v/>
      </c>
      <c r="BF601" t="str">
        <f t="shared" si="226"/>
        <v/>
      </c>
      <c r="BG601" t="str">
        <f t="shared" si="227"/>
        <v/>
      </c>
      <c r="BH601" t="str">
        <f t="shared" si="228"/>
        <v/>
      </c>
      <c r="BI601" t="str">
        <f t="shared" si="229"/>
        <v/>
      </c>
      <c r="BJ601" t="str">
        <f t="shared" si="230"/>
        <v/>
      </c>
      <c r="BK601" t="str">
        <f t="shared" si="231"/>
        <v/>
      </c>
      <c r="BL601" t="str">
        <f t="shared" si="232"/>
        <v/>
      </c>
      <c r="BM601" t="str">
        <f t="shared" si="233"/>
        <v/>
      </c>
      <c r="BN601" t="str">
        <f t="shared" si="234"/>
        <v/>
      </c>
      <c r="BO601" t="str">
        <f t="shared" si="235"/>
        <v/>
      </c>
      <c r="BP601" t="str">
        <f t="shared" si="236"/>
        <v/>
      </c>
      <c r="BQ601" t="str">
        <f t="shared" si="237"/>
        <v/>
      </c>
      <c r="BR601" t="str">
        <f t="shared" si="238"/>
        <v/>
      </c>
      <c r="BS601" t="str">
        <f t="shared" si="239"/>
        <v/>
      </c>
      <c r="BT601" t="str">
        <f t="shared" si="240"/>
        <v/>
      </c>
      <c r="BU601" t="str">
        <f t="shared" si="241"/>
        <v/>
      </c>
    </row>
    <row r="602" spans="1:73">
      <c r="A602" s="1">
        <v>91502</v>
      </c>
      <c r="B602" t="str">
        <f>VLOOKUP($A602,[1]Table!$A$2:$N770,B$1,FALSE)</f>
        <v>C01BC04</v>
      </c>
      <c r="C602" t="str">
        <f>VLOOKUP($A602,[1]Table!$A$2:$N770,C$1,FALSE)</f>
        <v>CARDIACA</v>
      </c>
      <c r="D602" t="str">
        <f>VLOOKUP($A602,[1]Table!$A$2:$N770,D$1,FALSE)</f>
        <v>ANTI-ARITMISCHE MIDDELEN KLASSE I EN III</v>
      </c>
      <c r="E602" t="str">
        <f>VLOOKUP($A602,[1]Table!$A$2:$N770,E$1,FALSE)</f>
        <v>FLECAINIDE</v>
      </c>
      <c r="F602" t="str">
        <f>VLOOKUP($A602,[1]Table!$A$2:$N770,F$1,FALSE)</f>
        <v>FLECAINIDE 50 MG TABLET</v>
      </c>
      <c r="G602" t="str">
        <f>VLOOKUP($A602,[1]Table!$A$2:$N770,G$1,FALSE)</f>
        <v>FLECAINIDE 50MG TABLET</v>
      </c>
      <c r="H602" t="str">
        <f>VLOOKUP($A602,[1]Table!$A$2:$N770,H$1,FALSE)</f>
        <v>tablet</v>
      </c>
      <c r="I602" t="str">
        <f>VLOOKUP($A602,[1]Table!$A$2:$N770,I$1,FALSE)</f>
        <v>or</v>
      </c>
      <c r="J602">
        <f>VLOOKUP($A602,[1]Table!$A$2:$N770,J$1,FALSE)</f>
        <v>50</v>
      </c>
      <c r="K602" t="str">
        <f>VLOOKUP($A602,[1]Table!$A$2:$N770,K$1,FALSE)</f>
        <v>mg/stuk</v>
      </c>
      <c r="L602">
        <f>VLOOKUP($A602,[1]Table!$A$2:$N770,L$1,FALSE)</f>
        <v>50</v>
      </c>
      <c r="M602" t="str">
        <f>VLOOKUP($A602,[1]Table!$A$2:$N770,M$1,FALSE)</f>
        <v>mg</v>
      </c>
      <c r="N602" t="str">
        <f>VLOOKUP($A602,[1]Table!$A$2:$N770,N$1,FALSE)</f>
        <v xml:space="preserve">Supraventriculaire ritmestoornissen, levensbedreigende ventriculaire ritmestoornissen </v>
      </c>
      <c r="O602" t="str">
        <f>ConcatenateRange(AZ602:BU602,"||")</f>
        <v/>
      </c>
      <c r="AZ602" t="str">
        <f t="shared" si="220"/>
        <v/>
      </c>
      <c r="BA602" t="str">
        <f t="shared" si="221"/>
        <v/>
      </c>
      <c r="BB602" t="str">
        <f t="shared" si="222"/>
        <v/>
      </c>
      <c r="BC602" t="str">
        <f t="shared" si="223"/>
        <v/>
      </c>
      <c r="BD602" t="str">
        <f t="shared" si="224"/>
        <v/>
      </c>
      <c r="BE602" t="str">
        <f t="shared" si="225"/>
        <v/>
      </c>
      <c r="BF602" t="str">
        <f t="shared" si="226"/>
        <v/>
      </c>
      <c r="BG602" t="str">
        <f t="shared" si="227"/>
        <v/>
      </c>
      <c r="BH602" t="str">
        <f t="shared" si="228"/>
        <v/>
      </c>
      <c r="BI602" t="str">
        <f t="shared" si="229"/>
        <v/>
      </c>
      <c r="BJ602" t="str">
        <f t="shared" si="230"/>
        <v/>
      </c>
      <c r="BK602" t="str">
        <f t="shared" si="231"/>
        <v/>
      </c>
      <c r="BL602" t="str">
        <f t="shared" si="232"/>
        <v/>
      </c>
      <c r="BM602" t="str">
        <f t="shared" si="233"/>
        <v/>
      </c>
      <c r="BN602" t="str">
        <f t="shared" si="234"/>
        <v/>
      </c>
      <c r="BO602" t="str">
        <f t="shared" si="235"/>
        <v/>
      </c>
      <c r="BP602" t="str">
        <f t="shared" si="236"/>
        <v/>
      </c>
      <c r="BQ602" t="str">
        <f t="shared" si="237"/>
        <v/>
      </c>
      <c r="BR602" t="str">
        <f t="shared" si="238"/>
        <v/>
      </c>
      <c r="BS602" t="str">
        <f t="shared" si="239"/>
        <v/>
      </c>
      <c r="BT602" t="str">
        <f t="shared" si="240"/>
        <v/>
      </c>
      <c r="BU602" t="str">
        <f t="shared" si="241"/>
        <v/>
      </c>
    </row>
    <row r="603" spans="1:73">
      <c r="A603" s="1">
        <v>48135</v>
      </c>
      <c r="B603" t="str">
        <f>VLOOKUP($A603,[1]Table!$A$2:$N771,B$1,FALSE)</f>
        <v>C01BC04</v>
      </c>
      <c r="C603" t="str">
        <f>VLOOKUP($A603,[1]Table!$A$2:$N771,C$1,FALSE)</f>
        <v>CARDIACA</v>
      </c>
      <c r="D603" t="str">
        <f>VLOOKUP($A603,[1]Table!$A$2:$N771,D$1,FALSE)</f>
        <v>ANTI-ARITMISCHE MIDDELEN KLASSE I EN III</v>
      </c>
      <c r="E603" t="str">
        <f>VLOOKUP($A603,[1]Table!$A$2:$N771,E$1,FALSE)</f>
        <v>FLECAINIDE</v>
      </c>
      <c r="F603" t="str">
        <f>VLOOKUP($A603,[1]Table!$A$2:$N771,F$1,FALSE)</f>
        <v>FLECAINIDEACETAAT 100 MG TABLET</v>
      </c>
      <c r="G603" t="str">
        <f>VLOOKUP($A603,[1]Table!$A$2:$N771,G$1,FALSE)</f>
        <v>FLECAINIDE 100MG TABLET</v>
      </c>
      <c r="H603" t="str">
        <f>VLOOKUP($A603,[1]Table!$A$2:$N771,H$1,FALSE)</f>
        <v>tablet</v>
      </c>
      <c r="I603" t="str">
        <f>VLOOKUP($A603,[1]Table!$A$2:$N771,I$1,FALSE)</f>
        <v>or</v>
      </c>
      <c r="J603">
        <f>VLOOKUP($A603,[1]Table!$A$2:$N771,J$1,FALSE)</f>
        <v>100</v>
      </c>
      <c r="K603" t="str">
        <f>VLOOKUP($A603,[1]Table!$A$2:$N771,K$1,FALSE)</f>
        <v>mg/stuk</v>
      </c>
      <c r="L603">
        <f>VLOOKUP($A603,[1]Table!$A$2:$N771,L$1,FALSE)</f>
        <v>100</v>
      </c>
      <c r="M603" t="str">
        <f>VLOOKUP($A603,[1]Table!$A$2:$N771,M$1,FALSE)</f>
        <v>mg</v>
      </c>
      <c r="N603" t="str">
        <f>VLOOKUP($A603,[1]Table!$A$2:$N771,N$1,FALSE)</f>
        <v xml:space="preserve">Supraventriculaire ritmestoornissen, levensbedreigende ventriculaire ritmestoornissen </v>
      </c>
      <c r="O603" t="str">
        <f>ConcatenateRange(AZ603:BU603,"||")</f>
        <v/>
      </c>
      <c r="AZ603" t="str">
        <f t="shared" si="220"/>
        <v/>
      </c>
      <c r="BA603" t="str">
        <f t="shared" si="221"/>
        <v/>
      </c>
      <c r="BB603" t="str">
        <f t="shared" si="222"/>
        <v/>
      </c>
      <c r="BC603" t="str">
        <f t="shared" si="223"/>
        <v/>
      </c>
      <c r="BD603" t="str">
        <f t="shared" si="224"/>
        <v/>
      </c>
      <c r="BE603" t="str">
        <f t="shared" si="225"/>
        <v/>
      </c>
      <c r="BF603" t="str">
        <f t="shared" si="226"/>
        <v/>
      </c>
      <c r="BG603" t="str">
        <f t="shared" si="227"/>
        <v/>
      </c>
      <c r="BH603" t="str">
        <f t="shared" si="228"/>
        <v/>
      </c>
      <c r="BI603" t="str">
        <f t="shared" si="229"/>
        <v/>
      </c>
      <c r="BJ603" t="str">
        <f t="shared" si="230"/>
        <v/>
      </c>
      <c r="BK603" t="str">
        <f t="shared" si="231"/>
        <v/>
      </c>
      <c r="BL603" t="str">
        <f t="shared" si="232"/>
        <v/>
      </c>
      <c r="BM603" t="str">
        <f t="shared" si="233"/>
        <v/>
      </c>
      <c r="BN603" t="str">
        <f t="shared" si="234"/>
        <v/>
      </c>
      <c r="BO603" t="str">
        <f t="shared" si="235"/>
        <v/>
      </c>
      <c r="BP603" t="str">
        <f t="shared" si="236"/>
        <v/>
      </c>
      <c r="BQ603" t="str">
        <f t="shared" si="237"/>
        <v/>
      </c>
      <c r="BR603" t="str">
        <f t="shared" si="238"/>
        <v/>
      </c>
      <c r="BS603" t="str">
        <f t="shared" si="239"/>
        <v/>
      </c>
      <c r="BT603" t="str">
        <f t="shared" si="240"/>
        <v/>
      </c>
      <c r="BU603" t="str">
        <f t="shared" si="241"/>
        <v/>
      </c>
    </row>
    <row r="604" spans="1:73">
      <c r="A604" s="1">
        <v>8583</v>
      </c>
      <c r="B604" t="str">
        <f>VLOOKUP($A604,[1]Table!$A$2:$N772,B$1,FALSE)</f>
        <v>J01CF05</v>
      </c>
      <c r="C604" t="str">
        <f>VLOOKUP($A604,[1]Table!$A$2:$N772,C$1,FALSE)</f>
        <v>ANTIBACTERIELE MIDDELEN VOOR SYSTEMISCH GEBRUIK</v>
      </c>
      <c r="D604" t="str">
        <f>VLOOKUP($A604,[1]Table!$A$2:$N772,D$1,FALSE)</f>
        <v>BETALACTAM-ANTIBIOTICA, PENICILLINES</v>
      </c>
      <c r="E604" t="str">
        <f>VLOOKUP($A604,[1]Table!$A$2:$N772,E$1,FALSE)</f>
        <v>FLUCLOXACILLINE</v>
      </c>
      <c r="F604" t="str">
        <f>VLOOKUP($A604,[1]Table!$A$2:$N772,F$1,FALSE)</f>
        <v>FLUCLOXACILLINE 250 MG CAPSULE</v>
      </c>
      <c r="G604" t="str">
        <f>VLOOKUP($A604,[1]Table!$A$2:$N772,G$1,FALSE)</f>
        <v>FLUCLOXACILLINE 250MG CAPS</v>
      </c>
      <c r="H604" t="str">
        <f>VLOOKUP($A604,[1]Table!$A$2:$N772,H$1,FALSE)</f>
        <v>capsule</v>
      </c>
      <c r="I604" t="str">
        <f>VLOOKUP($A604,[1]Table!$A$2:$N772,I$1,FALSE)</f>
        <v>or</v>
      </c>
      <c r="J604">
        <f>VLOOKUP($A604,[1]Table!$A$2:$N772,J$1,FALSE)</f>
        <v>250</v>
      </c>
      <c r="K604" t="str">
        <f>VLOOKUP($A604,[1]Table!$A$2:$N772,K$1,FALSE)</f>
        <v>mg/stuk</v>
      </c>
      <c r="L604">
        <f>VLOOKUP($A604,[1]Table!$A$2:$N772,L$1,FALSE)</f>
        <v>250</v>
      </c>
      <c r="M604" t="str">
        <f>VLOOKUP($A604,[1]Table!$A$2:$N772,M$1,FALSE)</f>
        <v>mg</v>
      </c>
      <c r="N604" t="str">
        <f>VLOOKUP($A604,[1]Table!$A$2:$N772,N$1,FALSE)</f>
        <v>Infecties||Ernstige infecties||Infecties bij Cystic Fibrosis</v>
      </c>
      <c r="O604" t="str">
        <f>ConcatenateRange(AZ604:BU604,"||")</f>
        <v/>
      </c>
      <c r="AZ604" t="str">
        <f t="shared" si="220"/>
        <v/>
      </c>
      <c r="BA604" t="str">
        <f t="shared" si="221"/>
        <v/>
      </c>
      <c r="BB604" t="str">
        <f t="shared" si="222"/>
        <v/>
      </c>
      <c r="BC604" t="str">
        <f t="shared" si="223"/>
        <v/>
      </c>
      <c r="BD604" t="str">
        <f t="shared" si="224"/>
        <v/>
      </c>
      <c r="BE604" t="str">
        <f t="shared" si="225"/>
        <v/>
      </c>
      <c r="BF604" t="str">
        <f t="shared" si="226"/>
        <v/>
      </c>
      <c r="BG604" t="str">
        <f t="shared" si="227"/>
        <v/>
      </c>
      <c r="BH604" t="str">
        <f t="shared" si="228"/>
        <v/>
      </c>
      <c r="BI604" t="str">
        <f t="shared" si="229"/>
        <v/>
      </c>
      <c r="BJ604" t="str">
        <f t="shared" si="230"/>
        <v/>
      </c>
      <c r="BK604" t="str">
        <f t="shared" si="231"/>
        <v/>
      </c>
      <c r="BL604" t="str">
        <f t="shared" si="232"/>
        <v/>
      </c>
      <c r="BM604" t="str">
        <f t="shared" si="233"/>
        <v/>
      </c>
      <c r="BN604" t="str">
        <f t="shared" si="234"/>
        <v/>
      </c>
      <c r="BO604" t="str">
        <f t="shared" si="235"/>
        <v/>
      </c>
      <c r="BP604" t="str">
        <f t="shared" si="236"/>
        <v/>
      </c>
      <c r="BQ604" t="str">
        <f t="shared" si="237"/>
        <v/>
      </c>
      <c r="BR604" t="str">
        <f t="shared" si="238"/>
        <v/>
      </c>
      <c r="BS604" t="str">
        <f t="shared" si="239"/>
        <v/>
      </c>
      <c r="BT604" t="str">
        <f t="shared" si="240"/>
        <v/>
      </c>
      <c r="BU604" t="str">
        <f t="shared" si="241"/>
        <v/>
      </c>
    </row>
    <row r="605" spans="1:73">
      <c r="A605" s="1">
        <v>15466</v>
      </c>
      <c r="B605" t="str">
        <f>VLOOKUP($A605,[1]Table!$A$2:$N773,B$1,FALSE)</f>
        <v>J01CF05</v>
      </c>
      <c r="C605" t="str">
        <f>VLOOKUP($A605,[1]Table!$A$2:$N773,C$1,FALSE)</f>
        <v>ANTIBACTERIELE MIDDELEN VOOR SYSTEMISCH GEBRUIK</v>
      </c>
      <c r="D605" t="str">
        <f>VLOOKUP($A605,[1]Table!$A$2:$N773,D$1,FALSE)</f>
        <v>BETALACTAM-ANTIBIOTICA, PENICILLINES</v>
      </c>
      <c r="E605" t="str">
        <f>VLOOKUP($A605,[1]Table!$A$2:$N773,E$1,FALSE)</f>
        <v>FLUCLOXACILLINE</v>
      </c>
      <c r="F605" t="str">
        <f>VLOOKUP($A605,[1]Table!$A$2:$N773,F$1,FALSE)</f>
        <v>FLUCLOXACILLINE 500 MG CAPSULE</v>
      </c>
      <c r="G605" t="str">
        <f>VLOOKUP($A605,[1]Table!$A$2:$N773,G$1,FALSE)</f>
        <v>FLUCLOXACILLINE 500MG CAPS</v>
      </c>
      <c r="H605" t="str">
        <f>VLOOKUP($A605,[1]Table!$A$2:$N773,H$1,FALSE)</f>
        <v>capsule</v>
      </c>
      <c r="I605" t="str">
        <f>VLOOKUP($A605,[1]Table!$A$2:$N773,I$1,FALSE)</f>
        <v>or</v>
      </c>
      <c r="J605">
        <f>VLOOKUP($A605,[1]Table!$A$2:$N773,J$1,FALSE)</f>
        <v>500</v>
      </c>
      <c r="K605" t="str">
        <f>VLOOKUP($A605,[1]Table!$A$2:$N773,K$1,FALSE)</f>
        <v>mg/stuk</v>
      </c>
      <c r="L605">
        <f>VLOOKUP($A605,[1]Table!$A$2:$N773,L$1,FALSE)</f>
        <v>500</v>
      </c>
      <c r="M605" t="str">
        <f>VLOOKUP($A605,[1]Table!$A$2:$N773,M$1,FALSE)</f>
        <v>mg</v>
      </c>
      <c r="N605" t="str">
        <f>VLOOKUP($A605,[1]Table!$A$2:$N773,N$1,FALSE)</f>
        <v>Infecties||Ernstige infecties||Infecties bij Cystic Fibrosis</v>
      </c>
      <c r="O605" t="str">
        <f>ConcatenateRange(AZ605:BU605,"||")</f>
        <v/>
      </c>
      <c r="AZ605" t="str">
        <f t="shared" si="220"/>
        <v/>
      </c>
      <c r="BA605" t="str">
        <f t="shared" si="221"/>
        <v/>
      </c>
      <c r="BB605" t="str">
        <f t="shared" si="222"/>
        <v/>
      </c>
      <c r="BC605" t="str">
        <f t="shared" si="223"/>
        <v/>
      </c>
      <c r="BD605" t="str">
        <f t="shared" si="224"/>
        <v/>
      </c>
      <c r="BE605" t="str">
        <f t="shared" si="225"/>
        <v/>
      </c>
      <c r="BF605" t="str">
        <f t="shared" si="226"/>
        <v/>
      </c>
      <c r="BG605" t="str">
        <f t="shared" si="227"/>
        <v/>
      </c>
      <c r="BH605" t="str">
        <f t="shared" si="228"/>
        <v/>
      </c>
      <c r="BI605" t="str">
        <f t="shared" si="229"/>
        <v/>
      </c>
      <c r="BJ605" t="str">
        <f t="shared" si="230"/>
        <v/>
      </c>
      <c r="BK605" t="str">
        <f t="shared" si="231"/>
        <v/>
      </c>
      <c r="BL605" t="str">
        <f t="shared" si="232"/>
        <v/>
      </c>
      <c r="BM605" t="str">
        <f t="shared" si="233"/>
        <v/>
      </c>
      <c r="BN605" t="str">
        <f t="shared" si="234"/>
        <v/>
      </c>
      <c r="BO605" t="str">
        <f t="shared" si="235"/>
        <v/>
      </c>
      <c r="BP605" t="str">
        <f t="shared" si="236"/>
        <v/>
      </c>
      <c r="BQ605" t="str">
        <f t="shared" si="237"/>
        <v/>
      </c>
      <c r="BR605" t="str">
        <f t="shared" si="238"/>
        <v/>
      </c>
      <c r="BS605" t="str">
        <f t="shared" si="239"/>
        <v/>
      </c>
      <c r="BT605" t="str">
        <f t="shared" si="240"/>
        <v/>
      </c>
      <c r="BU605" t="str">
        <f t="shared" si="241"/>
        <v/>
      </c>
    </row>
    <row r="606" spans="1:73">
      <c r="A606" s="1">
        <v>15474</v>
      </c>
      <c r="B606" t="str">
        <f>VLOOKUP($A606,[1]Table!$A$2:$N774,B$1,FALSE)</f>
        <v>J01CF05</v>
      </c>
      <c r="C606" t="str">
        <f>VLOOKUP($A606,[1]Table!$A$2:$N774,C$1,FALSE)</f>
        <v>ANTIBACTERIELE MIDDELEN VOOR SYSTEMISCH GEBRUIK</v>
      </c>
      <c r="D606" t="str">
        <f>VLOOKUP($A606,[1]Table!$A$2:$N774,D$1,FALSE)</f>
        <v>BETALACTAM-ANTIBIOTICA, PENICILLINES</v>
      </c>
      <c r="E606" t="str">
        <f>VLOOKUP($A606,[1]Table!$A$2:$N774,E$1,FALSE)</f>
        <v>FLUCLOXACILLINE</v>
      </c>
      <c r="F606" t="str">
        <f>VLOOKUP($A606,[1]Table!$A$2:$N774,F$1,FALSE)</f>
        <v>FLOXAPEN  250 MG POEDER VOOR INJECTIE</v>
      </c>
      <c r="G606" t="str">
        <f>VLOOKUP($A606,[1]Table!$A$2:$N774,G$1,FALSE)</f>
        <v>FLUCLOXACILLINE 250MG INJPD</v>
      </c>
      <c r="H606" t="str">
        <f>VLOOKUP($A606,[1]Table!$A$2:$N774,H$1,FALSE)</f>
        <v>poeder voor injectievloeistof</v>
      </c>
      <c r="I606" t="str">
        <f>VLOOKUP($A606,[1]Table!$A$2:$N774,I$1,FALSE)</f>
        <v>im||iv||intraartic||pleura</v>
      </c>
      <c r="J606">
        <f>VLOOKUP($A606,[1]Table!$A$2:$N774,J$1,FALSE)</f>
        <v>250</v>
      </c>
      <c r="K606" t="str">
        <f>VLOOKUP($A606,[1]Table!$A$2:$N774,K$1,FALSE)</f>
        <v>mg/stuk</v>
      </c>
      <c r="L606">
        <f>VLOOKUP($A606,[1]Table!$A$2:$N774,L$1,FALSE)</f>
        <v>250</v>
      </c>
      <c r="M606" t="str">
        <f>VLOOKUP($A606,[1]Table!$A$2:$N774,M$1,FALSE)</f>
        <v>mg</v>
      </c>
      <c r="N606" t="str">
        <f>VLOOKUP($A606,[1]Table!$A$2:$N774,N$1,FALSE)</f>
        <v>Infecties||Ernstige infecties||Infecties bij Cystic Fibrosis</v>
      </c>
      <c r="O606" t="str">
        <f>ConcatenateRange(AZ606:BU606,"||")</f>
        <v/>
      </c>
      <c r="AZ606" t="str">
        <f t="shared" si="220"/>
        <v/>
      </c>
      <c r="BA606" t="str">
        <f t="shared" si="221"/>
        <v/>
      </c>
      <c r="BB606" t="str">
        <f t="shared" si="222"/>
        <v/>
      </c>
      <c r="BC606" t="str">
        <f t="shared" si="223"/>
        <v/>
      </c>
      <c r="BD606" t="str">
        <f t="shared" si="224"/>
        <v/>
      </c>
      <c r="BE606" t="str">
        <f t="shared" si="225"/>
        <v/>
      </c>
      <c r="BF606" t="str">
        <f t="shared" si="226"/>
        <v/>
      </c>
      <c r="BG606" t="str">
        <f t="shared" si="227"/>
        <v/>
      </c>
      <c r="BH606" t="str">
        <f t="shared" si="228"/>
        <v/>
      </c>
      <c r="BI606" t="str">
        <f t="shared" si="229"/>
        <v/>
      </c>
      <c r="BJ606" t="str">
        <f t="shared" si="230"/>
        <v/>
      </c>
      <c r="BK606" t="str">
        <f t="shared" si="231"/>
        <v/>
      </c>
      <c r="BL606" t="str">
        <f t="shared" si="232"/>
        <v/>
      </c>
      <c r="BM606" t="str">
        <f t="shared" si="233"/>
        <v/>
      </c>
      <c r="BN606" t="str">
        <f t="shared" si="234"/>
        <v/>
      </c>
      <c r="BO606" t="str">
        <f t="shared" si="235"/>
        <v/>
      </c>
      <c r="BP606" t="str">
        <f t="shared" si="236"/>
        <v/>
      </c>
      <c r="BQ606" t="str">
        <f t="shared" si="237"/>
        <v/>
      </c>
      <c r="BR606" t="str">
        <f t="shared" si="238"/>
        <v/>
      </c>
      <c r="BS606" t="str">
        <f t="shared" si="239"/>
        <v/>
      </c>
      <c r="BT606" t="str">
        <f t="shared" si="240"/>
        <v/>
      </c>
      <c r="BU606" t="str">
        <f t="shared" si="241"/>
        <v/>
      </c>
    </row>
    <row r="607" spans="1:73">
      <c r="A607" s="1">
        <v>15482</v>
      </c>
      <c r="B607" t="str">
        <f>VLOOKUP($A607,[1]Table!$A$2:$N775,B$1,FALSE)</f>
        <v>J01CF05</v>
      </c>
      <c r="C607" t="str">
        <f>VLOOKUP($A607,[1]Table!$A$2:$N775,C$1,FALSE)</f>
        <v>ANTIBACTERIELE MIDDELEN VOOR SYSTEMISCH GEBRUIK</v>
      </c>
      <c r="D607" t="str">
        <f>VLOOKUP($A607,[1]Table!$A$2:$N775,D$1,FALSE)</f>
        <v>BETALACTAM-ANTIBIOTICA, PENICILLINES</v>
      </c>
      <c r="E607" t="str">
        <f>VLOOKUP($A607,[1]Table!$A$2:$N775,E$1,FALSE)</f>
        <v>FLUCLOXACILLINE</v>
      </c>
      <c r="F607" t="str">
        <f>VLOOKUP($A607,[1]Table!$A$2:$N775,F$1,FALSE)</f>
        <v>FLOXAPEN  500 MG POEDER VOOR INJ</v>
      </c>
      <c r="G607" t="str">
        <f>VLOOKUP($A607,[1]Table!$A$2:$N775,G$1,FALSE)</f>
        <v>FLUCLOXACILLINE 500MG INJPD</v>
      </c>
      <c r="H607" t="str">
        <f>VLOOKUP($A607,[1]Table!$A$2:$N775,H$1,FALSE)</f>
        <v>poeder voor injectievloeistof</v>
      </c>
      <c r="I607" t="str">
        <f>VLOOKUP($A607,[1]Table!$A$2:$N775,I$1,FALSE)</f>
        <v>im||iv||intraartic||pleura</v>
      </c>
      <c r="J607">
        <f>VLOOKUP($A607,[1]Table!$A$2:$N775,J$1,FALSE)</f>
        <v>500</v>
      </c>
      <c r="K607" t="str">
        <f>VLOOKUP($A607,[1]Table!$A$2:$N775,K$1,FALSE)</f>
        <v>mg/stuk</v>
      </c>
      <c r="L607">
        <f>VLOOKUP($A607,[1]Table!$A$2:$N775,L$1,FALSE)</f>
        <v>500</v>
      </c>
      <c r="M607" t="str">
        <f>VLOOKUP($A607,[1]Table!$A$2:$N775,M$1,FALSE)</f>
        <v>mg</v>
      </c>
      <c r="N607" t="str">
        <f>VLOOKUP($A607,[1]Table!$A$2:$N775,N$1,FALSE)</f>
        <v>Infecties||Ernstige infecties||Infecties bij Cystic Fibrosis</v>
      </c>
      <c r="O607" t="str">
        <f>ConcatenateRange(AZ607:BU607,"||")</f>
        <v/>
      </c>
      <c r="AZ607" t="str">
        <f t="shared" si="220"/>
        <v/>
      </c>
      <c r="BA607" t="str">
        <f t="shared" si="221"/>
        <v/>
      </c>
      <c r="BB607" t="str">
        <f t="shared" si="222"/>
        <v/>
      </c>
      <c r="BC607" t="str">
        <f t="shared" si="223"/>
        <v/>
      </c>
      <c r="BD607" t="str">
        <f t="shared" si="224"/>
        <v/>
      </c>
      <c r="BE607" t="str">
        <f t="shared" si="225"/>
        <v/>
      </c>
      <c r="BF607" t="str">
        <f t="shared" si="226"/>
        <v/>
      </c>
      <c r="BG607" t="str">
        <f t="shared" si="227"/>
        <v/>
      </c>
      <c r="BH607" t="str">
        <f t="shared" si="228"/>
        <v/>
      </c>
      <c r="BI607" t="str">
        <f t="shared" si="229"/>
        <v/>
      </c>
      <c r="BJ607" t="str">
        <f t="shared" si="230"/>
        <v/>
      </c>
      <c r="BK607" t="str">
        <f t="shared" si="231"/>
        <v/>
      </c>
      <c r="BL607" t="str">
        <f t="shared" si="232"/>
        <v/>
      </c>
      <c r="BM607" t="str">
        <f t="shared" si="233"/>
        <v/>
      </c>
      <c r="BN607" t="str">
        <f t="shared" si="234"/>
        <v/>
      </c>
      <c r="BO607" t="str">
        <f t="shared" si="235"/>
        <v/>
      </c>
      <c r="BP607" t="str">
        <f t="shared" si="236"/>
        <v/>
      </c>
      <c r="BQ607" t="str">
        <f t="shared" si="237"/>
        <v/>
      </c>
      <c r="BR607" t="str">
        <f t="shared" si="238"/>
        <v/>
      </c>
      <c r="BS607" t="str">
        <f t="shared" si="239"/>
        <v/>
      </c>
      <c r="BT607" t="str">
        <f t="shared" si="240"/>
        <v/>
      </c>
      <c r="BU607" t="str">
        <f t="shared" si="241"/>
        <v/>
      </c>
    </row>
    <row r="608" spans="1:73">
      <c r="A608" s="1">
        <v>15490</v>
      </c>
      <c r="B608" t="str">
        <f>VLOOKUP($A608,[1]Table!$A$2:$N775,B$1,FALSE)</f>
        <v>J01CF05</v>
      </c>
      <c r="C608" t="str">
        <f>VLOOKUP($A608,[1]Table!$A$2:$N775,C$1,FALSE)</f>
        <v>ANTIBACTERIELE MIDDELEN VOOR SYSTEMISCH GEBRUIK</v>
      </c>
      <c r="D608" t="str">
        <f>VLOOKUP($A608,[1]Table!$A$2:$N775,D$1,FALSE)</f>
        <v>BETALACTAM-ANTIBIOTICA, PENICILLINES</v>
      </c>
      <c r="E608" t="str">
        <f>VLOOKUP($A608,[1]Table!$A$2:$N775,E$1,FALSE)</f>
        <v>FLUCLOXACILLINE</v>
      </c>
      <c r="F608" t="str">
        <f>VLOOKUP($A608,[1]Table!$A$2:$N775,F$1,FALSE)</f>
        <v>FLOXAPEN 1000 MG POEDER VOOR INJECTIE</v>
      </c>
      <c r="G608" t="str">
        <f>VLOOKUP($A608,[1]Table!$A$2:$N775,G$1,FALSE)</f>
        <v>FLUCLOXACILLINE 1000MG INJP</v>
      </c>
      <c r="H608" t="str">
        <f>VLOOKUP($A608,[1]Table!$A$2:$N775,H$1,FALSE)</f>
        <v>poeder voor injectievloeistof</v>
      </c>
      <c r="I608" t="str">
        <f>VLOOKUP($A608,[1]Table!$A$2:$N775,I$1,FALSE)</f>
        <v>im||iv||intraartic||pleura</v>
      </c>
      <c r="J608">
        <f>VLOOKUP($A608,[1]Table!$A$2:$N775,J$1,FALSE)</f>
        <v>1000</v>
      </c>
      <c r="K608" t="str">
        <f>VLOOKUP($A608,[1]Table!$A$2:$N775,K$1,FALSE)</f>
        <v>mg/stuk</v>
      </c>
      <c r="L608">
        <f>VLOOKUP($A608,[1]Table!$A$2:$N775,L$1,FALSE)</f>
        <v>1000</v>
      </c>
      <c r="M608" t="str">
        <f>VLOOKUP($A608,[1]Table!$A$2:$N775,M$1,FALSE)</f>
        <v>mg</v>
      </c>
      <c r="N608" t="str">
        <f>VLOOKUP($A608,[1]Table!$A$2:$N775,N$1,FALSE)</f>
        <v>Infecties||Ernstige infecties||Infecties bij Cystic Fibrosis</v>
      </c>
      <c r="O608" t="str">
        <f>ConcatenateRange(AZ608:BU608,"||")</f>
        <v/>
      </c>
      <c r="AZ608" t="str">
        <f t="shared" si="220"/>
        <v/>
      </c>
      <c r="BA608" t="str">
        <f t="shared" si="221"/>
        <v/>
      </c>
      <c r="BB608" t="str">
        <f t="shared" si="222"/>
        <v/>
      </c>
      <c r="BC608" t="str">
        <f t="shared" si="223"/>
        <v/>
      </c>
      <c r="BD608" t="str">
        <f t="shared" si="224"/>
        <v/>
      </c>
      <c r="BE608" t="str">
        <f t="shared" si="225"/>
        <v/>
      </c>
      <c r="BF608" t="str">
        <f t="shared" si="226"/>
        <v/>
      </c>
      <c r="BG608" t="str">
        <f t="shared" si="227"/>
        <v/>
      </c>
      <c r="BH608" t="str">
        <f t="shared" si="228"/>
        <v/>
      </c>
      <c r="BI608" t="str">
        <f t="shared" si="229"/>
        <v/>
      </c>
      <c r="BJ608" t="str">
        <f t="shared" si="230"/>
        <v/>
      </c>
      <c r="BK608" t="str">
        <f t="shared" si="231"/>
        <v/>
      </c>
      <c r="BL608" t="str">
        <f t="shared" si="232"/>
        <v/>
      </c>
      <c r="BM608" t="str">
        <f t="shared" si="233"/>
        <v/>
      </c>
      <c r="BN608" t="str">
        <f t="shared" si="234"/>
        <v/>
      </c>
      <c r="BO608" t="str">
        <f t="shared" si="235"/>
        <v/>
      </c>
      <c r="BP608" t="str">
        <f t="shared" si="236"/>
        <v/>
      </c>
      <c r="BQ608" t="str">
        <f t="shared" si="237"/>
        <v/>
      </c>
      <c r="BR608" t="str">
        <f t="shared" si="238"/>
        <v/>
      </c>
      <c r="BS608" t="str">
        <f t="shared" si="239"/>
        <v/>
      </c>
      <c r="BT608" t="str">
        <f t="shared" si="240"/>
        <v/>
      </c>
      <c r="BU608" t="str">
        <f t="shared" si="241"/>
        <v/>
      </c>
    </row>
    <row r="609" spans="1:73">
      <c r="A609" s="1">
        <v>122599</v>
      </c>
      <c r="B609" t="str">
        <f>VLOOKUP($A609,[1]Table!$A$2:$N776,B$1,FALSE)</f>
        <v>J01CF05</v>
      </c>
      <c r="C609" t="str">
        <f>VLOOKUP($A609,[1]Table!$A$2:$N776,C$1,FALSE)</f>
        <v>ANTIBACTERIELE MIDDELEN VOOR SYSTEMISCH GEBRUIK</v>
      </c>
      <c r="D609" t="str">
        <f>VLOOKUP($A609,[1]Table!$A$2:$N776,D$1,FALSE)</f>
        <v>BETALACTAM-ANTIBIOTICA, PENICILLINES</v>
      </c>
      <c r="E609" t="str">
        <f>VLOOKUP($A609,[1]Table!$A$2:$N776,E$1,FALSE)</f>
        <v>FLUCLOXACILLINE</v>
      </c>
      <c r="F609" t="str">
        <f>VLOOKUP($A609,[1]Table!$A$2:$N776,F$1,FALSE)</f>
        <v>FLOXAPEN 25 MG/ML SUSPENSIE 100ML</v>
      </c>
      <c r="G609" t="str">
        <f>VLOOKUP($A609,[1]Table!$A$2:$N776,G$1,FALSE)</f>
        <v>FLUCLOXACILLINE 25MG/ML SUS</v>
      </c>
      <c r="H609" t="str">
        <f>VLOOKUP($A609,[1]Table!$A$2:$N776,H$1,FALSE)</f>
        <v>suspensie voor oraal gebruik</v>
      </c>
      <c r="I609" t="str">
        <f>VLOOKUP($A609,[1]Table!$A$2:$N776,I$1,FALSE)</f>
        <v>or</v>
      </c>
      <c r="J609">
        <f>VLOOKUP($A609,[1]Table!$A$2:$N776,J$1,FALSE)</f>
        <v>25</v>
      </c>
      <c r="K609" t="str">
        <f>VLOOKUP($A609,[1]Table!$A$2:$N776,K$1,FALSE)</f>
        <v>mg/ml</v>
      </c>
      <c r="L609">
        <f>VLOOKUP($A609,[1]Table!$A$2:$N776,L$1,FALSE)</f>
        <v>25</v>
      </c>
      <c r="M609" t="str">
        <f>VLOOKUP($A609,[1]Table!$A$2:$N776,M$1,FALSE)</f>
        <v>mg</v>
      </c>
      <c r="N609" t="str">
        <f>VLOOKUP($A609,[1]Table!$A$2:$N776,N$1,FALSE)</f>
        <v>Infecties||Ernstige infecties||Infecties bij Cystic Fibrosis</v>
      </c>
      <c r="O609" t="str">
        <f>ConcatenateRange(AZ609:BU609,"||")</f>
        <v/>
      </c>
      <c r="AZ609" t="str">
        <f t="shared" ref="AZ609:AZ670" si="242">IF(AA609&lt;&gt;0,AA$2,"")</f>
        <v/>
      </c>
      <c r="BA609" t="str">
        <f t="shared" ref="BA609:BA670" si="243">IF(AB609&lt;&gt;0,AB$2,"")</f>
        <v/>
      </c>
      <c r="BB609" t="str">
        <f t="shared" ref="BB609:BB670" si="244">IF(AC609&lt;&gt;0,AC$2,"")</f>
        <v/>
      </c>
      <c r="BC609" t="str">
        <f t="shared" ref="BC609:BC670" si="245">IF(AD609&lt;&gt;0,AD$2,"")</f>
        <v/>
      </c>
      <c r="BD609" t="str">
        <f t="shared" ref="BD609:BD670" si="246">IF(AE609&lt;&gt;0,AE$2,"")</f>
        <v/>
      </c>
      <c r="BE609" t="str">
        <f t="shared" ref="BE609:BE670" si="247">IF(AF609&lt;&gt;0,AF$2,"")</f>
        <v/>
      </c>
      <c r="BF609" t="str">
        <f t="shared" ref="BF609:BF670" si="248">IF(AG609&lt;&gt;0,AG$2,"")</f>
        <v/>
      </c>
      <c r="BG609" t="str">
        <f t="shared" ref="BG609:BG670" si="249">IF(AH609&lt;&gt;0,AH$2,"")</f>
        <v/>
      </c>
      <c r="BH609" t="str">
        <f t="shared" ref="BH609:BH670" si="250">IF(AI609&lt;&gt;0,AI$2,"")</f>
        <v/>
      </c>
      <c r="BI609" t="str">
        <f t="shared" ref="BI609:BI670" si="251">IF(AJ609&lt;&gt;0,AJ$2,"")</f>
        <v/>
      </c>
      <c r="BJ609" t="str">
        <f t="shared" ref="BJ609:BJ670" si="252">IF(AK609&lt;&gt;0,AK$2,"")</f>
        <v/>
      </c>
      <c r="BK609" t="str">
        <f t="shared" ref="BK609:BK670" si="253">IF(AL609&lt;&gt;0,AL$2,"")</f>
        <v/>
      </c>
      <c r="BL609" t="str">
        <f t="shared" ref="BL609:BL670" si="254">IF(AM609&lt;&gt;0,AM$2,"")</f>
        <v/>
      </c>
      <c r="BM609" t="str">
        <f t="shared" ref="BM609:BM670" si="255">IF(AN609&lt;&gt;0,AN$2,"")</f>
        <v/>
      </c>
      <c r="BN609" t="str">
        <f t="shared" ref="BN609:BN670" si="256">IF(AO609&lt;&gt;0,AO$2,"")</f>
        <v/>
      </c>
      <c r="BO609" t="str">
        <f t="shared" ref="BO609:BO670" si="257">IF(AP609&lt;&gt;0,AP$2,"")</f>
        <v/>
      </c>
      <c r="BP609" t="str">
        <f t="shared" ref="BP609:BP670" si="258">IF(AQ609&lt;&gt;0,AQ$2,"")</f>
        <v/>
      </c>
      <c r="BQ609" t="str">
        <f t="shared" ref="BQ609:BQ670" si="259">IF(AR609&lt;&gt;0,AR$2,"")</f>
        <v/>
      </c>
      <c r="BR609" t="str">
        <f t="shared" ref="BR609:BR670" si="260">IF(AS609&lt;&gt;0,AS$2,"")</f>
        <v/>
      </c>
      <c r="BS609" t="str">
        <f t="shared" ref="BS609:BS670" si="261">IF(AT609&lt;&gt;0,AT$2,"")</f>
        <v/>
      </c>
      <c r="BT609" t="str">
        <f t="shared" ref="BT609:BT670" si="262">IF(AU609&lt;&gt;0,AU$2,"")</f>
        <v/>
      </c>
      <c r="BU609" t="str">
        <f t="shared" ref="BU609:BU670" si="263">IF(AV609&lt;&gt;0,AV$2,"")</f>
        <v/>
      </c>
    </row>
    <row r="610" spans="1:73">
      <c r="A610" s="1">
        <v>78166</v>
      </c>
      <c r="B610" t="str">
        <f>VLOOKUP($A610,[1]Table!$A$2:$N777,B$1,FALSE)</f>
        <v>J02AC01</v>
      </c>
      <c r="C610" t="str">
        <f>VLOOKUP($A610,[1]Table!$A$2:$N777,C$1,FALSE)</f>
        <v>ANTIMYCOTICA VOOR SYSTEMISCH GEBRUIK</v>
      </c>
      <c r="D610" t="str">
        <f>VLOOKUP($A610,[1]Table!$A$2:$N777,D$1,FALSE)</f>
        <v>ANTIMYCOTICA VOOR SYSTEMISCH GEBRUIK</v>
      </c>
      <c r="E610" t="str">
        <f>VLOOKUP($A610,[1]Table!$A$2:$N777,E$1,FALSE)</f>
        <v>FLUCONAZOL</v>
      </c>
      <c r="F610" t="str">
        <f>VLOOKUP($A610,[1]Table!$A$2:$N777,F$1,FALSE)</f>
        <v>FLUCONAZOL 50 MG CAPSULE</v>
      </c>
      <c r="G610" t="str">
        <f>VLOOKUP($A610,[1]Table!$A$2:$N777,G$1,FALSE)</f>
        <v>FLUCONAZOL 50MG CAPSULE</v>
      </c>
      <c r="H610" t="str">
        <f>VLOOKUP($A610,[1]Table!$A$2:$N777,H$1,FALSE)</f>
        <v>capsule</v>
      </c>
      <c r="I610" t="str">
        <f>VLOOKUP($A610,[1]Table!$A$2:$N777,I$1,FALSE)</f>
        <v>or</v>
      </c>
      <c r="J610">
        <f>VLOOKUP($A610,[1]Table!$A$2:$N777,J$1,FALSE)</f>
        <v>50</v>
      </c>
      <c r="K610" t="str">
        <f>VLOOKUP($A610,[1]Table!$A$2:$N777,K$1,FALSE)</f>
        <v>mg/stuk</v>
      </c>
      <c r="L610">
        <f>VLOOKUP($A610,[1]Table!$A$2:$N777,L$1,FALSE)</f>
        <v>50</v>
      </c>
      <c r="M610" t="str">
        <f>VLOOKUP($A610,[1]Table!$A$2:$N777,M$1,FALSE)</f>
        <v>mg</v>
      </c>
      <c r="N610" t="str">
        <f>VLOOKUP($A610,[1]Table!$A$2:$N777,N$1,FALSE)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10" t="str">
        <f>ConcatenateRange(AZ610:BU610,"||")</f>
        <v/>
      </c>
      <c r="AZ610" t="str">
        <f t="shared" si="242"/>
        <v/>
      </c>
      <c r="BA610" t="str">
        <f t="shared" si="243"/>
        <v/>
      </c>
      <c r="BB610" t="str">
        <f t="shared" si="244"/>
        <v/>
      </c>
      <c r="BC610" t="str">
        <f t="shared" si="245"/>
        <v/>
      </c>
      <c r="BD610" t="str">
        <f t="shared" si="246"/>
        <v/>
      </c>
      <c r="BE610" t="str">
        <f t="shared" si="247"/>
        <v/>
      </c>
      <c r="BF610" t="str">
        <f t="shared" si="248"/>
        <v/>
      </c>
      <c r="BG610" t="str">
        <f t="shared" si="249"/>
        <v/>
      </c>
      <c r="BH610" t="str">
        <f t="shared" si="250"/>
        <v/>
      </c>
      <c r="BI610" t="str">
        <f t="shared" si="251"/>
        <v/>
      </c>
      <c r="BJ610" t="str">
        <f t="shared" si="252"/>
        <v/>
      </c>
      <c r="BK610" t="str">
        <f t="shared" si="253"/>
        <v/>
      </c>
      <c r="BL610" t="str">
        <f t="shared" si="254"/>
        <v/>
      </c>
      <c r="BM610" t="str">
        <f t="shared" si="255"/>
        <v/>
      </c>
      <c r="BN610" t="str">
        <f t="shared" si="256"/>
        <v/>
      </c>
      <c r="BO610" t="str">
        <f t="shared" si="257"/>
        <v/>
      </c>
      <c r="BP610" t="str">
        <f t="shared" si="258"/>
        <v/>
      </c>
      <c r="BQ610" t="str">
        <f t="shared" si="259"/>
        <v/>
      </c>
      <c r="BR610" t="str">
        <f t="shared" si="260"/>
        <v/>
      </c>
      <c r="BS610" t="str">
        <f t="shared" si="261"/>
        <v/>
      </c>
      <c r="BT610" t="str">
        <f t="shared" si="262"/>
        <v/>
      </c>
      <c r="BU610" t="str">
        <f t="shared" si="263"/>
        <v/>
      </c>
    </row>
    <row r="611" spans="1:73">
      <c r="A611" s="1">
        <v>78336</v>
      </c>
      <c r="B611" t="str">
        <f>VLOOKUP($A611,[1]Table!$A$2:$N778,B$1,FALSE)</f>
        <v>J02AC01</v>
      </c>
      <c r="C611" t="str">
        <f>VLOOKUP($A611,[1]Table!$A$2:$N778,C$1,FALSE)</f>
        <v>ANTIMYCOTICA VOOR SYSTEMISCH GEBRUIK</v>
      </c>
      <c r="D611" t="str">
        <f>VLOOKUP($A611,[1]Table!$A$2:$N778,D$1,FALSE)</f>
        <v>ANTIMYCOTICA VOOR SYSTEMISCH GEBRUIK</v>
      </c>
      <c r="E611" t="str">
        <f>VLOOKUP($A611,[1]Table!$A$2:$N778,E$1,FALSE)</f>
        <v>FLUCONAZOL</v>
      </c>
      <c r="F611" t="str">
        <f>VLOOKUP($A611,[1]Table!$A$2:$N778,F$1,FALSE)</f>
        <v>FLUCONAZOL 150 MG CAPSULE</v>
      </c>
      <c r="G611" t="str">
        <f>VLOOKUP($A611,[1]Table!$A$2:$N778,G$1,FALSE)</f>
        <v>FLUCONAZOL 150MG CAPSULE</v>
      </c>
      <c r="H611" t="str">
        <f>VLOOKUP($A611,[1]Table!$A$2:$N778,H$1,FALSE)</f>
        <v>capsule</v>
      </c>
      <c r="I611" t="str">
        <f>VLOOKUP($A611,[1]Table!$A$2:$N778,I$1,FALSE)</f>
        <v>or</v>
      </c>
      <c r="J611">
        <f>VLOOKUP($A611,[1]Table!$A$2:$N778,J$1,FALSE)</f>
        <v>150</v>
      </c>
      <c r="K611" t="str">
        <f>VLOOKUP($A611,[1]Table!$A$2:$N778,K$1,FALSE)</f>
        <v>mg/stuk</v>
      </c>
      <c r="L611">
        <f>VLOOKUP($A611,[1]Table!$A$2:$N778,L$1,FALSE)</f>
        <v>150</v>
      </c>
      <c r="M611" t="str">
        <f>VLOOKUP($A611,[1]Table!$A$2:$N778,M$1,FALSE)</f>
        <v>mg</v>
      </c>
      <c r="N611" t="str">
        <f>VLOOKUP($A611,[1]Table!$A$2:$N778,N$1,FALSE)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11" t="str">
        <f>ConcatenateRange(AZ611:BU611,"||")</f>
        <v/>
      </c>
      <c r="AZ611" t="str">
        <f t="shared" si="242"/>
        <v/>
      </c>
      <c r="BA611" t="str">
        <f t="shared" si="243"/>
        <v/>
      </c>
      <c r="BB611" t="str">
        <f t="shared" si="244"/>
        <v/>
      </c>
      <c r="BC611" t="str">
        <f t="shared" si="245"/>
        <v/>
      </c>
      <c r="BD611" t="str">
        <f t="shared" si="246"/>
        <v/>
      </c>
      <c r="BE611" t="str">
        <f t="shared" si="247"/>
        <v/>
      </c>
      <c r="BF611" t="str">
        <f t="shared" si="248"/>
        <v/>
      </c>
      <c r="BG611" t="str">
        <f t="shared" si="249"/>
        <v/>
      </c>
      <c r="BH611" t="str">
        <f t="shared" si="250"/>
        <v/>
      </c>
      <c r="BI611" t="str">
        <f t="shared" si="251"/>
        <v/>
      </c>
      <c r="BJ611" t="str">
        <f t="shared" si="252"/>
        <v/>
      </c>
      <c r="BK611" t="str">
        <f t="shared" si="253"/>
        <v/>
      </c>
      <c r="BL611" t="str">
        <f t="shared" si="254"/>
        <v/>
      </c>
      <c r="BM611" t="str">
        <f t="shared" si="255"/>
        <v/>
      </c>
      <c r="BN611" t="str">
        <f t="shared" si="256"/>
        <v/>
      </c>
      <c r="BO611" t="str">
        <f t="shared" si="257"/>
        <v/>
      </c>
      <c r="BP611" t="str">
        <f t="shared" si="258"/>
        <v/>
      </c>
      <c r="BQ611" t="str">
        <f t="shared" si="259"/>
        <v/>
      </c>
      <c r="BR611" t="str">
        <f t="shared" si="260"/>
        <v/>
      </c>
      <c r="BS611" t="str">
        <f t="shared" si="261"/>
        <v/>
      </c>
      <c r="BT611" t="str">
        <f t="shared" si="262"/>
        <v/>
      </c>
      <c r="BU611" t="str">
        <f t="shared" si="263"/>
        <v/>
      </c>
    </row>
    <row r="612" spans="1:73">
      <c r="A612" s="1">
        <v>85685</v>
      </c>
      <c r="B612" t="str">
        <f>VLOOKUP($A612,[1]Table!$A$2:$N779,B$1,FALSE)</f>
        <v>J02AC01</v>
      </c>
      <c r="C612" t="str">
        <f>VLOOKUP($A612,[1]Table!$A$2:$N779,C$1,FALSE)</f>
        <v>ANTIMYCOTICA VOOR SYSTEMISCH GEBRUIK</v>
      </c>
      <c r="D612" t="str">
        <f>VLOOKUP($A612,[1]Table!$A$2:$N779,D$1,FALSE)</f>
        <v>ANTIMYCOTICA VOOR SYSTEMISCH GEBRUIK</v>
      </c>
      <c r="E612" t="str">
        <f>VLOOKUP($A612,[1]Table!$A$2:$N779,E$1,FALSE)</f>
        <v>FLUCONAZOL</v>
      </c>
      <c r="F612" t="str">
        <f>VLOOKUP($A612,[1]Table!$A$2:$N779,F$1,FALSE)</f>
        <v>FLUCONAZOL 200 MG CAPSULE</v>
      </c>
      <c r="G612" t="str">
        <f>VLOOKUP($A612,[1]Table!$A$2:$N779,G$1,FALSE)</f>
        <v>FLUCONAZOL 200MG CAPSULE</v>
      </c>
      <c r="H612" t="str">
        <f>VLOOKUP($A612,[1]Table!$A$2:$N779,H$1,FALSE)</f>
        <v>capsule</v>
      </c>
      <c r="I612" t="str">
        <f>VLOOKUP($A612,[1]Table!$A$2:$N779,I$1,FALSE)</f>
        <v>or</v>
      </c>
      <c r="J612">
        <f>VLOOKUP($A612,[1]Table!$A$2:$N779,J$1,FALSE)</f>
        <v>200</v>
      </c>
      <c r="K612" t="str">
        <f>VLOOKUP($A612,[1]Table!$A$2:$N779,K$1,FALSE)</f>
        <v>mg/stuk</v>
      </c>
      <c r="L612">
        <f>VLOOKUP($A612,[1]Table!$A$2:$N779,L$1,FALSE)</f>
        <v>200</v>
      </c>
      <c r="M612" t="str">
        <f>VLOOKUP($A612,[1]Table!$A$2:$N779,M$1,FALSE)</f>
        <v>mg</v>
      </c>
      <c r="N612" t="str">
        <f>VLOOKUP($A612,[1]Table!$A$2:$N779,N$1,FALSE)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12" t="str">
        <f>ConcatenateRange(AZ612:BU612,"||")</f>
        <v/>
      </c>
      <c r="AZ612" t="str">
        <f t="shared" si="242"/>
        <v/>
      </c>
      <c r="BA612" t="str">
        <f t="shared" si="243"/>
        <v/>
      </c>
      <c r="BB612" t="str">
        <f t="shared" si="244"/>
        <v/>
      </c>
      <c r="BC612" t="str">
        <f t="shared" si="245"/>
        <v/>
      </c>
      <c r="BD612" t="str">
        <f t="shared" si="246"/>
        <v/>
      </c>
      <c r="BE612" t="str">
        <f t="shared" si="247"/>
        <v/>
      </c>
      <c r="BF612" t="str">
        <f t="shared" si="248"/>
        <v/>
      </c>
      <c r="BG612" t="str">
        <f t="shared" si="249"/>
        <v/>
      </c>
      <c r="BH612" t="str">
        <f t="shared" si="250"/>
        <v/>
      </c>
      <c r="BI612" t="str">
        <f t="shared" si="251"/>
        <v/>
      </c>
      <c r="BJ612" t="str">
        <f t="shared" si="252"/>
        <v/>
      </c>
      <c r="BK612" t="str">
        <f t="shared" si="253"/>
        <v/>
      </c>
      <c r="BL612" t="str">
        <f t="shared" si="254"/>
        <v/>
      </c>
      <c r="BM612" t="str">
        <f t="shared" si="255"/>
        <v/>
      </c>
      <c r="BN612" t="str">
        <f t="shared" si="256"/>
        <v/>
      </c>
      <c r="BO612" t="str">
        <f t="shared" si="257"/>
        <v/>
      </c>
      <c r="BP612" t="str">
        <f t="shared" si="258"/>
        <v/>
      </c>
      <c r="BQ612" t="str">
        <f t="shared" si="259"/>
        <v/>
      </c>
      <c r="BR612" t="str">
        <f t="shared" si="260"/>
        <v/>
      </c>
      <c r="BS612" t="str">
        <f t="shared" si="261"/>
        <v/>
      </c>
      <c r="BT612" t="str">
        <f t="shared" si="262"/>
        <v/>
      </c>
      <c r="BU612" t="str">
        <f t="shared" si="263"/>
        <v/>
      </c>
    </row>
    <row r="613" spans="1:73">
      <c r="A613" s="1">
        <v>85693</v>
      </c>
      <c r="B613" t="str">
        <f>VLOOKUP($A613,[1]Table!$A$2:$N780,B$1,FALSE)</f>
        <v>J02AC01</v>
      </c>
      <c r="C613" t="str">
        <f>VLOOKUP($A613,[1]Table!$A$2:$N780,C$1,FALSE)</f>
        <v>ANTIMYCOTICA VOOR SYSTEMISCH GEBRUIK</v>
      </c>
      <c r="D613" t="str">
        <f>VLOOKUP($A613,[1]Table!$A$2:$N780,D$1,FALSE)</f>
        <v>ANTIMYCOTICA VOOR SYSTEMISCH GEBRUIK</v>
      </c>
      <c r="E613" t="str">
        <f>VLOOKUP($A613,[1]Table!$A$2:$N780,E$1,FALSE)</f>
        <v>FLUCONAZOL</v>
      </c>
      <c r="F613" t="str">
        <f>VLOOKUP($A613,[1]Table!$A$2:$N780,F$1,FALSE)</f>
        <v>FLUCONAZOL 2 MG/ML INFVLST FLACON 200 ML</v>
      </c>
      <c r="G613" t="str">
        <f>VLOOKUP($A613,[1]Table!$A$2:$N780,G$1,FALSE)</f>
        <v>FLUCONAZOL 2MG/ML INFVLST</v>
      </c>
      <c r="H613" t="str">
        <f>VLOOKUP($A613,[1]Table!$A$2:$N780,H$1,FALSE)</f>
        <v>infusievloeistof</v>
      </c>
      <c r="I613" t="str">
        <f>VLOOKUP($A613,[1]Table!$A$2:$N780,I$1,FALSE)</f>
        <v>iv</v>
      </c>
      <c r="J613">
        <f>VLOOKUP($A613,[1]Table!$A$2:$N780,J$1,FALSE)</f>
        <v>2</v>
      </c>
      <c r="K613" t="str">
        <f>VLOOKUP($A613,[1]Table!$A$2:$N780,K$1,FALSE)</f>
        <v>mg/ml</v>
      </c>
      <c r="L613">
        <f>VLOOKUP($A613,[1]Table!$A$2:$N780,L$1,FALSE)</f>
        <v>2</v>
      </c>
      <c r="M613" t="str">
        <f>VLOOKUP($A613,[1]Table!$A$2:$N780,M$1,FALSE)</f>
        <v>mg</v>
      </c>
      <c r="N613" t="str">
        <f>VLOOKUP($A613,[1]Table!$A$2:$N780,N$1,FALSE)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13" t="str">
        <f>ConcatenateRange(AZ613:BU613,"||")</f>
        <v>1 x / dag||1 x / 2 dagen||1 x / 3 dagen</v>
      </c>
      <c r="P613">
        <v>12</v>
      </c>
      <c r="Q613">
        <v>6</v>
      </c>
      <c r="R613">
        <v>25</v>
      </c>
      <c r="T613">
        <v>4</v>
      </c>
      <c r="U613">
        <v>25</v>
      </c>
      <c r="V613">
        <v>1600</v>
      </c>
      <c r="W613">
        <v>2</v>
      </c>
      <c r="Y613">
        <v>30</v>
      </c>
      <c r="AA613" t="s">
        <v>49</v>
      </c>
      <c r="AN613" t="s">
        <v>49</v>
      </c>
      <c r="AO613" t="s">
        <v>49</v>
      </c>
      <c r="AZ613" t="str">
        <f t="shared" si="242"/>
        <v>1 x / dag</v>
      </c>
      <c r="BA613" t="str">
        <f t="shared" si="243"/>
        <v/>
      </c>
      <c r="BB613" t="str">
        <f t="shared" si="244"/>
        <v/>
      </c>
      <c r="BC613" t="str">
        <f t="shared" si="245"/>
        <v/>
      </c>
      <c r="BD613" t="str">
        <f t="shared" si="246"/>
        <v/>
      </c>
      <c r="BE613" t="str">
        <f t="shared" si="247"/>
        <v/>
      </c>
      <c r="BF613" t="str">
        <f t="shared" si="248"/>
        <v/>
      </c>
      <c r="BG613" t="str">
        <f t="shared" si="249"/>
        <v/>
      </c>
      <c r="BH613" t="str">
        <f t="shared" si="250"/>
        <v/>
      </c>
      <c r="BI613" t="str">
        <f t="shared" si="251"/>
        <v/>
      </c>
      <c r="BJ613" t="str">
        <f t="shared" si="252"/>
        <v/>
      </c>
      <c r="BK613" t="str">
        <f t="shared" si="253"/>
        <v/>
      </c>
      <c r="BL613" t="str">
        <f t="shared" si="254"/>
        <v/>
      </c>
      <c r="BM613" t="str">
        <f t="shared" si="255"/>
        <v>1 x / 2 dagen</v>
      </c>
      <c r="BN613" t="str">
        <f t="shared" si="256"/>
        <v>1 x / 3 dagen</v>
      </c>
      <c r="BO613" t="str">
        <f t="shared" si="257"/>
        <v/>
      </c>
      <c r="BP613" t="str">
        <f t="shared" si="258"/>
        <v/>
      </c>
      <c r="BQ613" t="str">
        <f t="shared" si="259"/>
        <v/>
      </c>
      <c r="BR613" t="str">
        <f t="shared" si="260"/>
        <v/>
      </c>
      <c r="BS613" t="str">
        <f t="shared" si="261"/>
        <v/>
      </c>
      <c r="BT613" t="str">
        <f t="shared" si="262"/>
        <v/>
      </c>
      <c r="BU613" t="str">
        <f t="shared" si="263"/>
        <v/>
      </c>
    </row>
    <row r="614" spans="1:73">
      <c r="A614" s="1">
        <v>91383</v>
      </c>
      <c r="B614" t="str">
        <f>VLOOKUP($A614,[1]Table!$A$2:$N781,B$1,FALSE)</f>
        <v>J02AC01</v>
      </c>
      <c r="C614" t="str">
        <f>VLOOKUP($A614,[1]Table!$A$2:$N781,C$1,FALSE)</f>
        <v>ANTIMYCOTICA VOOR SYSTEMISCH GEBRUIK</v>
      </c>
      <c r="D614" t="str">
        <f>VLOOKUP($A614,[1]Table!$A$2:$N781,D$1,FALSE)</f>
        <v>ANTIMYCOTICA VOOR SYSTEMISCH GEBRUIK</v>
      </c>
      <c r="E614" t="str">
        <f>VLOOKUP($A614,[1]Table!$A$2:$N781,E$1,FALSE)</f>
        <v>FLUCONAZOL</v>
      </c>
      <c r="F614" t="str">
        <f>VLOOKUP($A614,[1]Table!$A$2:$N781,F$1,FALSE)</f>
        <v>DIFLUCAN SUSPENSIE 10 MG/ML FLACON 35ML</v>
      </c>
      <c r="G614" t="str">
        <f>VLOOKUP($A614,[1]Table!$A$2:$N781,G$1,FALSE)</f>
        <v>FLUCONAZOL 10MG/ML SUSP</v>
      </c>
      <c r="H614" t="str">
        <f>VLOOKUP($A614,[1]Table!$A$2:$N781,H$1,FALSE)</f>
        <v>suspensie voor oraal gebruik</v>
      </c>
      <c r="I614" t="str">
        <f>VLOOKUP($A614,[1]Table!$A$2:$N781,I$1,FALSE)</f>
        <v>or</v>
      </c>
      <c r="J614">
        <f>VLOOKUP($A614,[1]Table!$A$2:$N781,J$1,FALSE)</f>
        <v>10</v>
      </c>
      <c r="K614" t="str">
        <f>VLOOKUP($A614,[1]Table!$A$2:$N781,K$1,FALSE)</f>
        <v>mg/ml</v>
      </c>
      <c r="L614">
        <f>VLOOKUP($A614,[1]Table!$A$2:$N781,L$1,FALSE)</f>
        <v>10</v>
      </c>
      <c r="M614" t="str">
        <f>VLOOKUP($A614,[1]Table!$A$2:$N781,M$1,FALSE)</f>
        <v>mg</v>
      </c>
      <c r="N614" t="str">
        <f>VLOOKUP($A614,[1]Table!$A$2:$N781,N$1,FALSE)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14" t="str">
        <f>ConcatenateRange(AZ614:BU614,"||")</f>
        <v/>
      </c>
      <c r="AZ614" t="str">
        <f t="shared" si="242"/>
        <v/>
      </c>
      <c r="BA614" t="str">
        <f t="shared" si="243"/>
        <v/>
      </c>
      <c r="BB614" t="str">
        <f t="shared" si="244"/>
        <v/>
      </c>
      <c r="BC614" t="str">
        <f t="shared" si="245"/>
        <v/>
      </c>
      <c r="BD614" t="str">
        <f t="shared" si="246"/>
        <v/>
      </c>
      <c r="BE614" t="str">
        <f t="shared" si="247"/>
        <v/>
      </c>
      <c r="BF614" t="str">
        <f t="shared" si="248"/>
        <v/>
      </c>
      <c r="BG614" t="str">
        <f t="shared" si="249"/>
        <v/>
      </c>
      <c r="BH614" t="str">
        <f t="shared" si="250"/>
        <v/>
      </c>
      <c r="BI614" t="str">
        <f t="shared" si="251"/>
        <v/>
      </c>
      <c r="BJ614" t="str">
        <f t="shared" si="252"/>
        <v/>
      </c>
      <c r="BK614" t="str">
        <f t="shared" si="253"/>
        <v/>
      </c>
      <c r="BL614" t="str">
        <f t="shared" si="254"/>
        <v/>
      </c>
      <c r="BM614" t="str">
        <f t="shared" si="255"/>
        <v/>
      </c>
      <c r="BN614" t="str">
        <f t="shared" si="256"/>
        <v/>
      </c>
      <c r="BO614" t="str">
        <f t="shared" si="257"/>
        <v/>
      </c>
      <c r="BP614" t="str">
        <f t="shared" si="258"/>
        <v/>
      </c>
      <c r="BQ614" t="str">
        <f t="shared" si="259"/>
        <v/>
      </c>
      <c r="BR614" t="str">
        <f t="shared" si="260"/>
        <v/>
      </c>
      <c r="BS614" t="str">
        <f t="shared" si="261"/>
        <v/>
      </c>
      <c r="BT614" t="str">
        <f t="shared" si="262"/>
        <v/>
      </c>
      <c r="BU614" t="str">
        <f t="shared" si="263"/>
        <v/>
      </c>
    </row>
    <row r="615" spans="1:73">
      <c r="A615" s="1">
        <v>91391</v>
      </c>
      <c r="B615" t="str">
        <f>VLOOKUP($A615,[1]Table!$A$2:$N782,B$1,FALSE)</f>
        <v>J02AC01</v>
      </c>
      <c r="C615" t="str">
        <f>VLOOKUP($A615,[1]Table!$A$2:$N782,C$1,FALSE)</f>
        <v>ANTIMYCOTICA VOOR SYSTEMISCH GEBRUIK</v>
      </c>
      <c r="D615" t="str">
        <f>VLOOKUP($A615,[1]Table!$A$2:$N782,D$1,FALSE)</f>
        <v>ANTIMYCOTICA VOOR SYSTEMISCH GEBRUIK</v>
      </c>
      <c r="E615" t="str">
        <f>VLOOKUP($A615,[1]Table!$A$2:$N782,E$1,FALSE)</f>
        <v>FLUCONAZOL</v>
      </c>
      <c r="F615" t="str">
        <f>VLOOKUP($A615,[1]Table!$A$2:$N782,F$1,FALSE)</f>
        <v>DIFLUCAN SUSPENSIE 40 MG/ML FLACON 35ML</v>
      </c>
      <c r="G615" t="str">
        <f>VLOOKUP($A615,[1]Table!$A$2:$N782,G$1,FALSE)</f>
        <v>FLUCONAZOL 40MG/ML SUSP</v>
      </c>
      <c r="H615" t="str">
        <f>VLOOKUP($A615,[1]Table!$A$2:$N782,H$1,FALSE)</f>
        <v>suspensie voor oraal gebruik</v>
      </c>
      <c r="I615" t="str">
        <f>VLOOKUP($A615,[1]Table!$A$2:$N782,I$1,FALSE)</f>
        <v>or</v>
      </c>
      <c r="J615">
        <f>VLOOKUP($A615,[1]Table!$A$2:$N782,J$1,FALSE)</f>
        <v>40</v>
      </c>
      <c r="K615" t="str">
        <f>VLOOKUP($A615,[1]Table!$A$2:$N782,K$1,FALSE)</f>
        <v>mg/ml</v>
      </c>
      <c r="L615">
        <f>VLOOKUP($A615,[1]Table!$A$2:$N782,L$1,FALSE)</f>
        <v>40</v>
      </c>
      <c r="M615" t="str">
        <f>VLOOKUP($A615,[1]Table!$A$2:$N782,M$1,FALSE)</f>
        <v>mg</v>
      </c>
      <c r="N615" t="str">
        <f>VLOOKUP($A615,[1]Table!$A$2:$N782,N$1,FALSE)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15" t="str">
        <f>ConcatenateRange(AZ615:BU615,"||")</f>
        <v/>
      </c>
      <c r="AZ615" t="str">
        <f t="shared" si="242"/>
        <v/>
      </c>
      <c r="BA615" t="str">
        <f t="shared" si="243"/>
        <v/>
      </c>
      <c r="BB615" t="str">
        <f t="shared" si="244"/>
        <v/>
      </c>
      <c r="BC615" t="str">
        <f t="shared" si="245"/>
        <v/>
      </c>
      <c r="BD615" t="str">
        <f t="shared" si="246"/>
        <v/>
      </c>
      <c r="BE615" t="str">
        <f t="shared" si="247"/>
        <v/>
      </c>
      <c r="BF615" t="str">
        <f t="shared" si="248"/>
        <v/>
      </c>
      <c r="BG615" t="str">
        <f t="shared" si="249"/>
        <v/>
      </c>
      <c r="BH615" t="str">
        <f t="shared" si="250"/>
        <v/>
      </c>
      <c r="BI615" t="str">
        <f t="shared" si="251"/>
        <v/>
      </c>
      <c r="BJ615" t="str">
        <f t="shared" si="252"/>
        <v/>
      </c>
      <c r="BK615" t="str">
        <f t="shared" si="253"/>
        <v/>
      </c>
      <c r="BL615" t="str">
        <f t="shared" si="254"/>
        <v/>
      </c>
      <c r="BM615" t="str">
        <f t="shared" si="255"/>
        <v/>
      </c>
      <c r="BN615" t="str">
        <f t="shared" si="256"/>
        <v/>
      </c>
      <c r="BO615" t="str">
        <f t="shared" si="257"/>
        <v/>
      </c>
      <c r="BP615" t="str">
        <f t="shared" si="258"/>
        <v/>
      </c>
      <c r="BQ615" t="str">
        <f t="shared" si="259"/>
        <v/>
      </c>
      <c r="BR615" t="str">
        <f t="shared" si="260"/>
        <v/>
      </c>
      <c r="BS615" t="str">
        <f t="shared" si="261"/>
        <v/>
      </c>
      <c r="BT615" t="str">
        <f t="shared" si="262"/>
        <v/>
      </c>
      <c r="BU615" t="str">
        <f t="shared" si="263"/>
        <v/>
      </c>
    </row>
    <row r="616" spans="1:73">
      <c r="A616" s="1">
        <v>38938</v>
      </c>
      <c r="B616" t="str">
        <f>VLOOKUP($A616,[1]Table!$A$2:$N783,B$1,FALSE)</f>
        <v>J02AX01</v>
      </c>
      <c r="C616" t="str">
        <f>VLOOKUP($A616,[1]Table!$A$2:$N783,C$1,FALSE)</f>
        <v>ANTIMYCOTICA VOOR SYSTEMISCH GEBRUIK</v>
      </c>
      <c r="D616" t="str">
        <f>VLOOKUP($A616,[1]Table!$A$2:$N783,D$1,FALSE)</f>
        <v>ANTIMYCOTICA VOOR SYSTEMISCH GEBRUIK</v>
      </c>
      <c r="E616" t="str">
        <f>VLOOKUP($A616,[1]Table!$A$2:$N783,E$1,FALSE)</f>
        <v>FLUCYTOSINE</v>
      </c>
      <c r="F616" t="str">
        <f>VLOOKUP($A616,[1]Table!$A$2:$N783,F$1,FALSE)</f>
        <v>ANCOTIL 10 MG/ML FLACON 250ML</v>
      </c>
      <c r="G616" t="str">
        <f>VLOOKUP($A616,[1]Table!$A$2:$N783,G$1,FALSE)</f>
        <v>FLUCYTOSINE 10MG/ML INFVLST</v>
      </c>
      <c r="H616" t="str">
        <f>VLOOKUP($A616,[1]Table!$A$2:$N783,H$1,FALSE)</f>
        <v>infusievloeistof</v>
      </c>
      <c r="I616" t="str">
        <f>VLOOKUP($A616,[1]Table!$A$2:$N783,I$1,FALSE)</f>
        <v>iv</v>
      </c>
      <c r="J616">
        <f>VLOOKUP($A616,[1]Table!$A$2:$N783,J$1,FALSE)</f>
        <v>10</v>
      </c>
      <c r="K616" t="str">
        <f>VLOOKUP($A616,[1]Table!$A$2:$N783,K$1,FALSE)</f>
        <v>mg/ml</v>
      </c>
      <c r="L616">
        <f>VLOOKUP($A616,[1]Table!$A$2:$N783,L$1,FALSE)</f>
        <v>10</v>
      </c>
      <c r="M616" t="str">
        <f>VLOOKUP($A616,[1]Table!$A$2:$N783,M$1,FALSE)</f>
        <v>mg</v>
      </c>
      <c r="N616" t="str">
        <f>VLOOKUP($A616,[1]Table!$A$2:$N783,N$1,FALSE)</f>
        <v>Door gevoelige verwekkers veroorzaakte gegeneraliseerde mycosen (in combinatie met amfotericine B bij chronisch verlopende en moeilijk te beïnvloeden mycosevormen)</v>
      </c>
      <c r="O616" t="str">
        <f>ConcatenateRange(AZ616:BU616,"||")</f>
        <v/>
      </c>
      <c r="AZ616" t="str">
        <f t="shared" si="242"/>
        <v/>
      </c>
      <c r="BA616" t="str">
        <f t="shared" si="243"/>
        <v/>
      </c>
      <c r="BB616" t="str">
        <f t="shared" si="244"/>
        <v/>
      </c>
      <c r="BC616" t="str">
        <f t="shared" si="245"/>
        <v/>
      </c>
      <c r="BD616" t="str">
        <f t="shared" si="246"/>
        <v/>
      </c>
      <c r="BE616" t="str">
        <f t="shared" si="247"/>
        <v/>
      </c>
      <c r="BF616" t="str">
        <f t="shared" si="248"/>
        <v/>
      </c>
      <c r="BG616" t="str">
        <f t="shared" si="249"/>
        <v/>
      </c>
      <c r="BH616" t="str">
        <f t="shared" si="250"/>
        <v/>
      </c>
      <c r="BI616" t="str">
        <f t="shared" si="251"/>
        <v/>
      </c>
      <c r="BJ616" t="str">
        <f t="shared" si="252"/>
        <v/>
      </c>
      <c r="BK616" t="str">
        <f t="shared" si="253"/>
        <v/>
      </c>
      <c r="BL616" t="str">
        <f t="shared" si="254"/>
        <v/>
      </c>
      <c r="BM616" t="str">
        <f t="shared" si="255"/>
        <v/>
      </c>
      <c r="BN616" t="str">
        <f t="shared" si="256"/>
        <v/>
      </c>
      <c r="BO616" t="str">
        <f t="shared" si="257"/>
        <v/>
      </c>
      <c r="BP616" t="str">
        <f t="shared" si="258"/>
        <v/>
      </c>
      <c r="BQ616" t="str">
        <f t="shared" si="259"/>
        <v/>
      </c>
      <c r="BR616" t="str">
        <f t="shared" si="260"/>
        <v/>
      </c>
      <c r="BS616" t="str">
        <f t="shared" si="261"/>
        <v/>
      </c>
      <c r="BT616" t="str">
        <f t="shared" si="262"/>
        <v/>
      </c>
      <c r="BU616" t="str">
        <f t="shared" si="263"/>
        <v/>
      </c>
    </row>
    <row r="617" spans="1:73">
      <c r="A617" s="1">
        <v>128007</v>
      </c>
      <c r="B617" t="str">
        <f>VLOOKUP($A617,[1]Table!$A$2:$N784,B$1,FALSE)</f>
        <v>L01BB05</v>
      </c>
      <c r="C617" t="str">
        <f>VLOOKUP($A617,[1]Table!$A$2:$N784,C$1,FALSE)</f>
        <v>ONCOLYTICA</v>
      </c>
      <c r="D617" t="str">
        <f>VLOOKUP($A617,[1]Table!$A$2:$N784,D$1,FALSE)</f>
        <v>ANTIMETABOLIETEN</v>
      </c>
      <c r="E617" t="str">
        <f>VLOOKUP($A617,[1]Table!$A$2:$N784,E$1,FALSE)</f>
        <v>FLUDARABINE</v>
      </c>
      <c r="F617" t="str">
        <f>VLOOKUP($A617,[1]Table!$A$2:$N784,F$1,FALSE)</f>
        <v>FLUDARABINE 50 MG = 2 ML FLACON</v>
      </c>
      <c r="G617" t="str">
        <f>VLOOKUP($A617,[1]Table!$A$2:$N784,G$1,FALSE)</f>
        <v>FLUDARABINE 25MG/ML INJOPL</v>
      </c>
      <c r="H617" t="str">
        <f>VLOOKUP($A617,[1]Table!$A$2:$N784,H$1,FALSE)</f>
        <v>concentraat voor oplossing voor injectie</v>
      </c>
      <c r="I617" t="str">
        <f>VLOOKUP($A617,[1]Table!$A$2:$N784,I$1,FALSE)</f>
        <v>iv</v>
      </c>
      <c r="J617">
        <f>VLOOKUP($A617,[1]Table!$A$2:$N784,J$1,FALSE)</f>
        <v>25</v>
      </c>
      <c r="K617" t="str">
        <f>VLOOKUP($A617,[1]Table!$A$2:$N784,K$1,FALSE)</f>
        <v>mg/ml</v>
      </c>
      <c r="L617">
        <f>VLOOKUP($A617,[1]Table!$A$2:$N784,L$1,FALSE)</f>
        <v>25</v>
      </c>
      <c r="M617" t="str">
        <f>VLOOKUP($A617,[1]Table!$A$2:$N784,M$1,FALSE)</f>
        <v>mg</v>
      </c>
      <c r="N617" t="str">
        <f>VLOOKUP($A617,[1]Table!$A$2:$N784,N$1,FALSE)</f>
        <v>Oncologische aandoeningen</v>
      </c>
      <c r="O617" t="str">
        <f>ConcatenateRange(AZ617:BU617,"||")</f>
        <v/>
      </c>
      <c r="AZ617" t="str">
        <f t="shared" si="242"/>
        <v/>
      </c>
      <c r="BA617" t="str">
        <f t="shared" si="243"/>
        <v/>
      </c>
      <c r="BB617" t="str">
        <f t="shared" si="244"/>
        <v/>
      </c>
      <c r="BC617" t="str">
        <f t="shared" si="245"/>
        <v/>
      </c>
      <c r="BD617" t="str">
        <f t="shared" si="246"/>
        <v/>
      </c>
      <c r="BE617" t="str">
        <f t="shared" si="247"/>
        <v/>
      </c>
      <c r="BF617" t="str">
        <f t="shared" si="248"/>
        <v/>
      </c>
      <c r="BG617" t="str">
        <f t="shared" si="249"/>
        <v/>
      </c>
      <c r="BH617" t="str">
        <f t="shared" si="250"/>
        <v/>
      </c>
      <c r="BI617" t="str">
        <f t="shared" si="251"/>
        <v/>
      </c>
      <c r="BJ617" t="str">
        <f t="shared" si="252"/>
        <v/>
      </c>
      <c r="BK617" t="str">
        <f t="shared" si="253"/>
        <v/>
      </c>
      <c r="BL617" t="str">
        <f t="shared" si="254"/>
        <v/>
      </c>
      <c r="BM617" t="str">
        <f t="shared" si="255"/>
        <v/>
      </c>
      <c r="BN617" t="str">
        <f t="shared" si="256"/>
        <v/>
      </c>
      <c r="BO617" t="str">
        <f t="shared" si="257"/>
        <v/>
      </c>
      <c r="BP617" t="str">
        <f t="shared" si="258"/>
        <v/>
      </c>
      <c r="BQ617" t="str">
        <f t="shared" si="259"/>
        <v/>
      </c>
      <c r="BR617" t="str">
        <f t="shared" si="260"/>
        <v/>
      </c>
      <c r="BS617" t="str">
        <f t="shared" si="261"/>
        <v/>
      </c>
      <c r="BT617" t="str">
        <f t="shared" si="262"/>
        <v/>
      </c>
      <c r="BU617" t="str">
        <f t="shared" si="263"/>
        <v/>
      </c>
    </row>
    <row r="618" spans="1:73">
      <c r="A618" s="1">
        <v>115223</v>
      </c>
      <c r="B618" t="str">
        <f>VLOOKUP($A618,[1]Table!$A$2:$N785,B$1,FALSE)</f>
        <v>L01BB05</v>
      </c>
      <c r="C618" t="str">
        <f>VLOOKUP($A618,[1]Table!$A$2:$N785,C$1,FALSE)</f>
        <v>ONCOLYTICA</v>
      </c>
      <c r="D618" t="str">
        <f>VLOOKUP($A618,[1]Table!$A$2:$N785,D$1,FALSE)</f>
        <v>ANTIMETABOLIETEN</v>
      </c>
      <c r="E618" t="str">
        <f>VLOOKUP($A618,[1]Table!$A$2:$N785,E$1,FALSE)</f>
        <v>FLUDARABINE</v>
      </c>
      <c r="F618" t="str">
        <f>VLOOKUP($A618,[1]Table!$A$2:$N785,F$1,FALSE)</f>
        <v>FLUDARA 10 MG TABLET OMHULD</v>
      </c>
      <c r="G618" t="str">
        <f>VLOOKUP($A618,[1]Table!$A$2:$N785,G$1,FALSE)</f>
        <v>FLUDARABINE 10MG TAB OMHULD</v>
      </c>
      <c r="H618" t="str">
        <f>VLOOKUP($A618,[1]Table!$A$2:$N785,H$1,FALSE)</f>
        <v>omhulde tablet</v>
      </c>
      <c r="I618" t="str">
        <f>VLOOKUP($A618,[1]Table!$A$2:$N785,I$1,FALSE)</f>
        <v>or</v>
      </c>
      <c r="J618">
        <f>VLOOKUP($A618,[1]Table!$A$2:$N785,J$1,FALSE)</f>
        <v>10</v>
      </c>
      <c r="K618" t="str">
        <f>VLOOKUP($A618,[1]Table!$A$2:$N785,K$1,FALSE)</f>
        <v>mg/stuk</v>
      </c>
      <c r="L618">
        <f>VLOOKUP($A618,[1]Table!$A$2:$N785,L$1,FALSE)</f>
        <v>10</v>
      </c>
      <c r="M618" t="str">
        <f>VLOOKUP($A618,[1]Table!$A$2:$N785,M$1,FALSE)</f>
        <v>mg</v>
      </c>
      <c r="N618" t="str">
        <f>VLOOKUP($A618,[1]Table!$A$2:$N785,N$1,FALSE)</f>
        <v>Oncologische aandoeningen</v>
      </c>
      <c r="O618" t="str">
        <f>ConcatenateRange(AZ618:BU618,"||")</f>
        <v/>
      </c>
      <c r="AZ618" t="str">
        <f t="shared" si="242"/>
        <v/>
      </c>
      <c r="BA618" t="str">
        <f t="shared" si="243"/>
        <v/>
      </c>
      <c r="BB618" t="str">
        <f t="shared" si="244"/>
        <v/>
      </c>
      <c r="BC618" t="str">
        <f t="shared" si="245"/>
        <v/>
      </c>
      <c r="BD618" t="str">
        <f t="shared" si="246"/>
        <v/>
      </c>
      <c r="BE618" t="str">
        <f t="shared" si="247"/>
        <v/>
      </c>
      <c r="BF618" t="str">
        <f t="shared" si="248"/>
        <v/>
      </c>
      <c r="BG618" t="str">
        <f t="shared" si="249"/>
        <v/>
      </c>
      <c r="BH618" t="str">
        <f t="shared" si="250"/>
        <v/>
      </c>
      <c r="BI618" t="str">
        <f t="shared" si="251"/>
        <v/>
      </c>
      <c r="BJ618" t="str">
        <f t="shared" si="252"/>
        <v/>
      </c>
      <c r="BK618" t="str">
        <f t="shared" si="253"/>
        <v/>
      </c>
      <c r="BL618" t="str">
        <f t="shared" si="254"/>
        <v/>
      </c>
      <c r="BM618" t="str">
        <f t="shared" si="255"/>
        <v/>
      </c>
      <c r="BN618" t="str">
        <f t="shared" si="256"/>
        <v/>
      </c>
      <c r="BO618" t="str">
        <f t="shared" si="257"/>
        <v/>
      </c>
      <c r="BP618" t="str">
        <f t="shared" si="258"/>
        <v/>
      </c>
      <c r="BQ618" t="str">
        <f t="shared" si="259"/>
        <v/>
      </c>
      <c r="BR618" t="str">
        <f t="shared" si="260"/>
        <v/>
      </c>
      <c r="BS618" t="str">
        <f t="shared" si="261"/>
        <v/>
      </c>
      <c r="BT618" t="str">
        <f t="shared" si="262"/>
        <v/>
      </c>
      <c r="BU618" t="str">
        <f t="shared" si="263"/>
        <v/>
      </c>
    </row>
    <row r="619" spans="1:73">
      <c r="A619" s="1">
        <v>42196</v>
      </c>
      <c r="B619" t="str">
        <f>VLOOKUP($A619,[1]Table!$A$2:$N786,B$1,FALSE)</f>
        <v>H02AA02</v>
      </c>
      <c r="C619" t="str">
        <f>VLOOKUP($A619,[1]Table!$A$2:$N786,C$1,FALSE)</f>
        <v>CORTICOSTEROIDEN VOOR SYSTEMISCH GEBRUIK</v>
      </c>
      <c r="D619" t="str">
        <f>VLOOKUP($A619,[1]Table!$A$2:$N786,D$1,FALSE)</f>
        <v>CORTICOSTEROIDEN VOOR SYSTEMISCH GEBRUIK</v>
      </c>
      <c r="E619" t="str">
        <f>VLOOKUP($A619,[1]Table!$A$2:$N786,E$1,FALSE)</f>
        <v>FLUDROCORTISON</v>
      </c>
      <c r="F619" t="str">
        <f>VLOOKUP($A619,[1]Table!$A$2:$N786,F$1,FALSE)</f>
        <v>FLUDROCORTISON ACETAAT  62,5 MCG TABLET</v>
      </c>
      <c r="G619" t="str">
        <f>VLOOKUP($A619,[1]Table!$A$2:$N786,G$1,FALSE)</f>
        <v>FLUDROCORTISON 62,5UG TAB</v>
      </c>
      <c r="H619" t="str">
        <f>VLOOKUP($A619,[1]Table!$A$2:$N786,H$1,FALSE)</f>
        <v>tablet</v>
      </c>
      <c r="I619" t="str">
        <f>VLOOKUP($A619,[1]Table!$A$2:$N786,I$1,FALSE)</f>
        <v>or</v>
      </c>
      <c r="J619">
        <f>VLOOKUP($A619,[1]Table!$A$2:$N786,J$1,FALSE)</f>
        <v>62.5</v>
      </c>
      <c r="K619" t="str">
        <f>VLOOKUP($A619,[1]Table!$A$2:$N786,K$1,FALSE)</f>
        <v>mcg/stuk</v>
      </c>
      <c r="L619">
        <f>VLOOKUP($A619,[1]Table!$A$2:$N786,L$1,FALSE)</f>
        <v>62.5</v>
      </c>
      <c r="M619" t="str">
        <f>VLOOKUP($A619,[1]Table!$A$2:$N786,M$1,FALSE)</f>
        <v>mcg</v>
      </c>
      <c r="N619" t="str">
        <f>VLOOKUP($A619,[1]Table!$A$2:$N786,N$1,FALSE)</f>
        <v>Primaire bijnierschors insufficientie</v>
      </c>
      <c r="O619" t="str">
        <f>ConcatenateRange(AZ619:BU619,"||")</f>
        <v/>
      </c>
      <c r="AZ619" t="str">
        <f t="shared" si="242"/>
        <v/>
      </c>
      <c r="BA619" t="str">
        <f t="shared" si="243"/>
        <v/>
      </c>
      <c r="BB619" t="str">
        <f t="shared" si="244"/>
        <v/>
      </c>
      <c r="BC619" t="str">
        <f t="shared" si="245"/>
        <v/>
      </c>
      <c r="BD619" t="str">
        <f t="shared" si="246"/>
        <v/>
      </c>
      <c r="BE619" t="str">
        <f t="shared" si="247"/>
        <v/>
      </c>
      <c r="BF619" t="str">
        <f t="shared" si="248"/>
        <v/>
      </c>
      <c r="BG619" t="str">
        <f t="shared" si="249"/>
        <v/>
      </c>
      <c r="BH619" t="str">
        <f t="shared" si="250"/>
        <v/>
      </c>
      <c r="BI619" t="str">
        <f t="shared" si="251"/>
        <v/>
      </c>
      <c r="BJ619" t="str">
        <f t="shared" si="252"/>
        <v/>
      </c>
      <c r="BK619" t="str">
        <f t="shared" si="253"/>
        <v/>
      </c>
      <c r="BL619" t="str">
        <f t="shared" si="254"/>
        <v/>
      </c>
      <c r="BM619" t="str">
        <f t="shared" si="255"/>
        <v/>
      </c>
      <c r="BN619" t="str">
        <f t="shared" si="256"/>
        <v/>
      </c>
      <c r="BO619" t="str">
        <f t="shared" si="257"/>
        <v/>
      </c>
      <c r="BP619" t="str">
        <f t="shared" si="258"/>
        <v/>
      </c>
      <c r="BQ619" t="str">
        <f t="shared" si="259"/>
        <v/>
      </c>
      <c r="BR619" t="str">
        <f t="shared" si="260"/>
        <v/>
      </c>
      <c r="BS619" t="str">
        <f t="shared" si="261"/>
        <v/>
      </c>
      <c r="BT619" t="str">
        <f t="shared" si="262"/>
        <v/>
      </c>
      <c r="BU619" t="str">
        <f t="shared" si="263"/>
        <v/>
      </c>
    </row>
    <row r="620" spans="1:73">
      <c r="A620" s="1">
        <v>37958</v>
      </c>
      <c r="B620" t="str">
        <f>VLOOKUP($A620,[1]Table!$A$2:$N787,B$1,FALSE)</f>
        <v>H02AA02</v>
      </c>
      <c r="C620" t="str">
        <f>VLOOKUP($A620,[1]Table!$A$2:$N787,C$1,FALSE)</f>
        <v>CORTICOSTEROIDEN VOOR SYSTEMISCH GEBRUIK</v>
      </c>
      <c r="D620" t="str">
        <f>VLOOKUP($A620,[1]Table!$A$2:$N787,D$1,FALSE)</f>
        <v>CORTICOSTEROIDEN VOOR SYSTEMISCH GEBRUIK</v>
      </c>
      <c r="E620" t="str">
        <f>VLOOKUP($A620,[1]Table!$A$2:$N787,E$1,FALSE)</f>
        <v>FLUDROCORTISON</v>
      </c>
      <c r="F620" t="str">
        <f>VLOOKUP($A620,[1]Table!$A$2:$N787,F$1,FALSE)</f>
        <v>FLORINEF 100 MICROG TABLET</v>
      </c>
      <c r="G620" t="str">
        <f>VLOOKUP($A620,[1]Table!$A$2:$N787,G$1,FALSE)</f>
        <v>FLUDROCORTISON 100UG TABLET</v>
      </c>
      <c r="H620" t="str">
        <f>VLOOKUP($A620,[1]Table!$A$2:$N787,H$1,FALSE)</f>
        <v>tablet</v>
      </c>
      <c r="I620" t="str">
        <f>VLOOKUP($A620,[1]Table!$A$2:$N787,I$1,FALSE)</f>
        <v>or</v>
      </c>
      <c r="J620">
        <f>VLOOKUP($A620,[1]Table!$A$2:$N787,J$1,FALSE)</f>
        <v>100</v>
      </c>
      <c r="K620" t="str">
        <f>VLOOKUP($A620,[1]Table!$A$2:$N787,K$1,FALSE)</f>
        <v>mcg/stuk</v>
      </c>
      <c r="L620">
        <f>VLOOKUP($A620,[1]Table!$A$2:$N787,L$1,FALSE)</f>
        <v>100</v>
      </c>
      <c r="M620" t="str">
        <f>VLOOKUP($A620,[1]Table!$A$2:$N787,M$1,FALSE)</f>
        <v>mcg</v>
      </c>
      <c r="N620" t="str">
        <f>VLOOKUP($A620,[1]Table!$A$2:$N787,N$1,FALSE)</f>
        <v>Primaire bijnierschors insufficientie</v>
      </c>
      <c r="O620" t="str">
        <f>ConcatenateRange(AZ620:BU620,"||")</f>
        <v/>
      </c>
      <c r="AZ620" t="str">
        <f t="shared" si="242"/>
        <v/>
      </c>
      <c r="BA620" t="str">
        <f t="shared" si="243"/>
        <v/>
      </c>
      <c r="BB620" t="str">
        <f t="shared" si="244"/>
        <v/>
      </c>
      <c r="BC620" t="str">
        <f t="shared" si="245"/>
        <v/>
      </c>
      <c r="BD620" t="str">
        <f t="shared" si="246"/>
        <v/>
      </c>
      <c r="BE620" t="str">
        <f t="shared" si="247"/>
        <v/>
      </c>
      <c r="BF620" t="str">
        <f t="shared" si="248"/>
        <v/>
      </c>
      <c r="BG620" t="str">
        <f t="shared" si="249"/>
        <v/>
      </c>
      <c r="BH620" t="str">
        <f t="shared" si="250"/>
        <v/>
      </c>
      <c r="BI620" t="str">
        <f t="shared" si="251"/>
        <v/>
      </c>
      <c r="BJ620" t="str">
        <f t="shared" si="252"/>
        <v/>
      </c>
      <c r="BK620" t="str">
        <f t="shared" si="253"/>
        <v/>
      </c>
      <c r="BL620" t="str">
        <f t="shared" si="254"/>
        <v/>
      </c>
      <c r="BM620" t="str">
        <f t="shared" si="255"/>
        <v/>
      </c>
      <c r="BN620" t="str">
        <f t="shared" si="256"/>
        <v/>
      </c>
      <c r="BO620" t="str">
        <f t="shared" si="257"/>
        <v/>
      </c>
      <c r="BP620" t="str">
        <f t="shared" si="258"/>
        <v/>
      </c>
      <c r="BQ620" t="str">
        <f t="shared" si="259"/>
        <v/>
      </c>
      <c r="BR620" t="str">
        <f t="shared" si="260"/>
        <v/>
      </c>
      <c r="BS620" t="str">
        <f t="shared" si="261"/>
        <v/>
      </c>
      <c r="BT620" t="str">
        <f t="shared" si="262"/>
        <v/>
      </c>
      <c r="BU620" t="str">
        <f t="shared" si="263"/>
        <v/>
      </c>
    </row>
    <row r="621" spans="1:73">
      <c r="A621" s="1">
        <v>69760</v>
      </c>
      <c r="B621" t="str">
        <f>VLOOKUP($A621,[1]Table!$A$2:$N789,B$1,FALSE)</f>
        <v>V03AB25</v>
      </c>
      <c r="C621" t="str">
        <f>VLOOKUP($A621,[1]Table!$A$2:$N789,C$1,FALSE)</f>
        <v>ALLE OVERIGE THERAPEUTISCHE MIDDELEN</v>
      </c>
      <c r="D621" t="str">
        <f>VLOOKUP($A621,[1]Table!$A$2:$N789,D$1,FALSE)</f>
        <v>ALLE OVERIGE THERAPEUTISCHE MIDDELEN</v>
      </c>
      <c r="E621" t="str">
        <f>VLOOKUP($A621,[1]Table!$A$2:$N789,E$1,FALSE)</f>
        <v>FLUMAZENIL</v>
      </c>
      <c r="F621" t="str">
        <f>VLOOKUP($A621,[1]Table!$A$2:$N789,F$1,FALSE)</f>
        <v>FLUMAZENIL 0,1 MG/ML AMPUL 5 ML</v>
      </c>
      <c r="G621" t="str">
        <f>VLOOKUP($A621,[1]Table!$A$2:$N789,G$1,FALSE)</f>
        <v>FLUMAZENIL 0,1MG/ML INJVLST</v>
      </c>
      <c r="H621" t="str">
        <f>VLOOKUP($A621,[1]Table!$A$2:$N789,H$1,FALSE)</f>
        <v>injectievloeistof</v>
      </c>
      <c r="I621" t="str">
        <f>VLOOKUP($A621,[1]Table!$A$2:$N789,I$1,FALSE)</f>
        <v>iv</v>
      </c>
      <c r="J621">
        <f>VLOOKUP($A621,[1]Table!$A$2:$N789,J$1,FALSE)</f>
        <v>0.1</v>
      </c>
      <c r="K621" t="str">
        <f>VLOOKUP($A621,[1]Table!$A$2:$N789,K$1,FALSE)</f>
        <v>mg/ml</v>
      </c>
      <c r="L621">
        <f>VLOOKUP($A621,[1]Table!$A$2:$N789,L$1,FALSE)</f>
        <v>0.1</v>
      </c>
      <c r="M621" t="str">
        <f>VLOOKUP($A621,[1]Table!$A$2:$N789,M$1,FALSE)</f>
        <v>mg</v>
      </c>
      <c r="N621" t="str">
        <f>VLOOKUP($A621,[1]Table!$A$2:$N789,N$1,FALSE)</f>
        <v>Antagonist van door benzodiazepinen en zopiclon veroorzaakte sedering</v>
      </c>
      <c r="O621" t="str">
        <f>ConcatenateRange(AZ621:BU621,"||")</f>
        <v/>
      </c>
      <c r="AZ621" t="str">
        <f t="shared" si="242"/>
        <v/>
      </c>
      <c r="BA621" t="str">
        <f t="shared" si="243"/>
        <v/>
      </c>
      <c r="BB621" t="str">
        <f t="shared" si="244"/>
        <v/>
      </c>
      <c r="BC621" t="str">
        <f t="shared" si="245"/>
        <v/>
      </c>
      <c r="BD621" t="str">
        <f t="shared" si="246"/>
        <v/>
      </c>
      <c r="BE621" t="str">
        <f t="shared" si="247"/>
        <v/>
      </c>
      <c r="BF621" t="str">
        <f t="shared" si="248"/>
        <v/>
      </c>
      <c r="BG621" t="str">
        <f t="shared" si="249"/>
        <v/>
      </c>
      <c r="BH621" t="str">
        <f t="shared" si="250"/>
        <v/>
      </c>
      <c r="BI621" t="str">
        <f t="shared" si="251"/>
        <v/>
      </c>
      <c r="BJ621" t="str">
        <f t="shared" si="252"/>
        <v/>
      </c>
      <c r="BK621" t="str">
        <f t="shared" si="253"/>
        <v/>
      </c>
      <c r="BL621" t="str">
        <f t="shared" si="254"/>
        <v/>
      </c>
      <c r="BM621" t="str">
        <f t="shared" si="255"/>
        <v/>
      </c>
      <c r="BN621" t="str">
        <f t="shared" si="256"/>
        <v/>
      </c>
      <c r="BO621" t="str">
        <f t="shared" si="257"/>
        <v/>
      </c>
      <c r="BP621" t="str">
        <f t="shared" si="258"/>
        <v/>
      </c>
      <c r="BQ621" t="str">
        <f t="shared" si="259"/>
        <v/>
      </c>
      <c r="BR621" t="str">
        <f t="shared" si="260"/>
        <v/>
      </c>
      <c r="BS621" t="str">
        <f t="shared" si="261"/>
        <v/>
      </c>
      <c r="BT621" t="str">
        <f t="shared" si="262"/>
        <v/>
      </c>
      <c r="BU621" t="str">
        <f t="shared" si="263"/>
        <v/>
      </c>
    </row>
    <row r="622" spans="1:73">
      <c r="A622" s="1">
        <v>44164</v>
      </c>
      <c r="B622" t="str">
        <f>VLOOKUP($A622,[1]Table!$A$2:$N790,B$1,FALSE)</f>
        <v>N07CA03</v>
      </c>
      <c r="C622" t="str">
        <f>VLOOKUP($A622,[1]Table!$A$2:$N790,C$1,FALSE)</f>
        <v>OVERIGE MIDDELEN WERKZAAM OP HET ZENUWSTELSEL</v>
      </c>
      <c r="D622" t="str">
        <f>VLOOKUP($A622,[1]Table!$A$2:$N790,D$1,FALSE)</f>
        <v>VERTIGOMIDDELEN</v>
      </c>
      <c r="E622" t="str">
        <f>VLOOKUP($A622,[1]Table!$A$2:$N790,E$1,FALSE)</f>
        <v>FLUNARIZINE</v>
      </c>
      <c r="F622" t="str">
        <f>VLOOKUP($A622,[1]Table!$A$2:$N790,F$1,FALSE)</f>
        <v>FLUNARIZINE 5 MG CAPSULE</v>
      </c>
      <c r="G622" t="str">
        <f>VLOOKUP($A622,[1]Table!$A$2:$N790,G$1,FALSE)</f>
        <v>FLUNARIZINE 5MG CAPSULE</v>
      </c>
      <c r="H622" t="str">
        <f>VLOOKUP($A622,[1]Table!$A$2:$N790,H$1,FALSE)</f>
        <v>capsule</v>
      </c>
      <c r="I622" t="str">
        <f>VLOOKUP($A622,[1]Table!$A$2:$N790,I$1,FALSE)</f>
        <v>or</v>
      </c>
      <c r="J622">
        <f>VLOOKUP($A622,[1]Table!$A$2:$N790,J$1,FALSE)</f>
        <v>5</v>
      </c>
      <c r="K622" t="str">
        <f>VLOOKUP($A622,[1]Table!$A$2:$N790,K$1,FALSE)</f>
        <v>mg/stuk</v>
      </c>
      <c r="L622">
        <f>VLOOKUP($A622,[1]Table!$A$2:$N790,L$1,FALSE)</f>
        <v>5</v>
      </c>
      <c r="M622" t="str">
        <f>VLOOKUP($A622,[1]Table!$A$2:$N790,M$1,FALSE)</f>
        <v>mg</v>
      </c>
      <c r="N622" t="str">
        <f>VLOOKUP($A622,[1]Table!$A$2:$N790,N$1,FALSE)</f>
        <v>Migraine profylaxe</v>
      </c>
      <c r="O622" t="str">
        <f>ConcatenateRange(AZ622:BU622,"||")</f>
        <v/>
      </c>
      <c r="AZ622" t="str">
        <f t="shared" si="242"/>
        <v/>
      </c>
      <c r="BA622" t="str">
        <f t="shared" si="243"/>
        <v/>
      </c>
      <c r="BB622" t="str">
        <f t="shared" si="244"/>
        <v/>
      </c>
      <c r="BC622" t="str">
        <f t="shared" si="245"/>
        <v/>
      </c>
      <c r="BD622" t="str">
        <f t="shared" si="246"/>
        <v/>
      </c>
      <c r="BE622" t="str">
        <f t="shared" si="247"/>
        <v/>
      </c>
      <c r="BF622" t="str">
        <f t="shared" si="248"/>
        <v/>
      </c>
      <c r="BG622" t="str">
        <f t="shared" si="249"/>
        <v/>
      </c>
      <c r="BH622" t="str">
        <f t="shared" si="250"/>
        <v/>
      </c>
      <c r="BI622" t="str">
        <f t="shared" si="251"/>
        <v/>
      </c>
      <c r="BJ622" t="str">
        <f t="shared" si="252"/>
        <v/>
      </c>
      <c r="BK622" t="str">
        <f t="shared" si="253"/>
        <v/>
      </c>
      <c r="BL622" t="str">
        <f t="shared" si="254"/>
        <v/>
      </c>
      <c r="BM622" t="str">
        <f t="shared" si="255"/>
        <v/>
      </c>
      <c r="BN622" t="str">
        <f t="shared" si="256"/>
        <v/>
      </c>
      <c r="BO622" t="str">
        <f t="shared" si="257"/>
        <v/>
      </c>
      <c r="BP622" t="str">
        <f t="shared" si="258"/>
        <v/>
      </c>
      <c r="BQ622" t="str">
        <f t="shared" si="259"/>
        <v/>
      </c>
      <c r="BR622" t="str">
        <f t="shared" si="260"/>
        <v/>
      </c>
      <c r="BS622" t="str">
        <f t="shared" si="261"/>
        <v/>
      </c>
      <c r="BT622" t="str">
        <f t="shared" si="262"/>
        <v/>
      </c>
      <c r="BU622" t="str">
        <f t="shared" si="263"/>
        <v/>
      </c>
    </row>
    <row r="623" spans="1:73">
      <c r="A623" s="1">
        <v>9830</v>
      </c>
      <c r="B623" t="str">
        <f>VLOOKUP($A623,[1]Table!$A$2:$N791,B$1,FALSE)</f>
        <v>S01BA07</v>
      </c>
      <c r="C623" t="str">
        <f>VLOOKUP($A623,[1]Table!$A$2:$N791,C$1,FALSE)</f>
        <v>MIDDELEN VOOR OOGHEELKUNDIG GEBRUIK</v>
      </c>
      <c r="D623" t="str">
        <f>VLOOKUP($A623,[1]Table!$A$2:$N791,D$1,FALSE)</f>
        <v>ANTI-INFLAMMATOIRE MIDDELEN</v>
      </c>
      <c r="E623" t="str">
        <f>VLOOKUP($A623,[1]Table!$A$2:$N791,E$1,FALSE)</f>
        <v>FLUORMETHOLON</v>
      </c>
      <c r="F623" t="str">
        <f>VLOOKUP($A623,[1]Table!$A$2:$N791,F$1,FALSE)</f>
        <v>FML LIQUIFILM 0.1 % OOGDRUPPELS 5ML</v>
      </c>
      <c r="G623" t="str">
        <f>VLOOKUP($A623,[1]Table!$A$2:$N791,G$1,FALSE)</f>
        <v>FLUORMETHOLON 1MG/ML OOGDR</v>
      </c>
      <c r="H623" t="str">
        <f>VLOOKUP($A623,[1]Table!$A$2:$N791,H$1,FALSE)</f>
        <v>oogdruppels</v>
      </c>
      <c r="I623" t="str">
        <f>VLOOKUP($A623,[1]Table!$A$2:$N791,I$1,FALSE)</f>
        <v>oog</v>
      </c>
      <c r="J623">
        <f>VLOOKUP($A623,[1]Table!$A$2:$N791,J$1,FALSE)</f>
        <v>1</v>
      </c>
      <c r="K623" t="str">
        <f>VLOOKUP($A623,[1]Table!$A$2:$N791,K$1,FALSE)</f>
        <v>mg/ml</v>
      </c>
      <c r="L623">
        <f>VLOOKUP($A623,[1]Table!$A$2:$N791,L$1,FALSE)</f>
        <v>1</v>
      </c>
      <c r="M623" t="str">
        <f>VLOOKUP($A623,[1]Table!$A$2:$N791,M$1,FALSE)</f>
        <v>mg</v>
      </c>
      <c r="N623" t="str">
        <f>VLOOKUP($A623,[1]Table!$A$2:$N791,N$1,FALSE)</f>
        <v xml:space="preserve">Inflammatoire, niet-infectieuze aandoening van de conjunctiva, uveitis en post-operatief </v>
      </c>
      <c r="O623" t="str">
        <f>ConcatenateRange(AZ623:BU623,"||")</f>
        <v/>
      </c>
      <c r="AZ623" t="str">
        <f t="shared" si="242"/>
        <v/>
      </c>
      <c r="BA623" t="str">
        <f t="shared" si="243"/>
        <v/>
      </c>
      <c r="BB623" t="str">
        <f t="shared" si="244"/>
        <v/>
      </c>
      <c r="BC623" t="str">
        <f t="shared" si="245"/>
        <v/>
      </c>
      <c r="BD623" t="str">
        <f t="shared" si="246"/>
        <v/>
      </c>
      <c r="BE623" t="str">
        <f t="shared" si="247"/>
        <v/>
      </c>
      <c r="BF623" t="str">
        <f t="shared" si="248"/>
        <v/>
      </c>
      <c r="BG623" t="str">
        <f t="shared" si="249"/>
        <v/>
      </c>
      <c r="BH623" t="str">
        <f t="shared" si="250"/>
        <v/>
      </c>
      <c r="BI623" t="str">
        <f t="shared" si="251"/>
        <v/>
      </c>
      <c r="BJ623" t="str">
        <f t="shared" si="252"/>
        <v/>
      </c>
      <c r="BK623" t="str">
        <f t="shared" si="253"/>
        <v/>
      </c>
      <c r="BL623" t="str">
        <f t="shared" si="254"/>
        <v/>
      </c>
      <c r="BM623" t="str">
        <f t="shared" si="255"/>
        <v/>
      </c>
      <c r="BN623" t="str">
        <f t="shared" si="256"/>
        <v/>
      </c>
      <c r="BO623" t="str">
        <f t="shared" si="257"/>
        <v/>
      </c>
      <c r="BP623" t="str">
        <f t="shared" si="258"/>
        <v/>
      </c>
      <c r="BQ623" t="str">
        <f t="shared" si="259"/>
        <v/>
      </c>
      <c r="BR623" t="str">
        <f t="shared" si="260"/>
        <v/>
      </c>
      <c r="BS623" t="str">
        <f t="shared" si="261"/>
        <v/>
      </c>
      <c r="BT623" t="str">
        <f t="shared" si="262"/>
        <v/>
      </c>
      <c r="BU623" t="str">
        <f t="shared" si="263"/>
        <v/>
      </c>
    </row>
    <row r="624" spans="1:73">
      <c r="A624" s="1">
        <v>75264</v>
      </c>
      <c r="B624" t="str">
        <f>VLOOKUP($A624,[1]Table!$A$2:$N792,B$1,FALSE)</f>
        <v>N06AB03</v>
      </c>
      <c r="C624" t="str">
        <f>VLOOKUP($A624,[1]Table!$A$2:$N792,C$1,FALSE)</f>
        <v>PSYCHOANALEPTICA</v>
      </c>
      <c r="D624" t="str">
        <f>VLOOKUP($A624,[1]Table!$A$2:$N792,D$1,FALSE)</f>
        <v>ANTIDEPRESSIVA</v>
      </c>
      <c r="E624" t="str">
        <f>VLOOKUP($A624,[1]Table!$A$2:$N792,E$1,FALSE)</f>
        <v>FLUOXETINE</v>
      </c>
      <c r="F624" t="str">
        <f>VLOOKUP($A624,[1]Table!$A$2:$N792,F$1,FALSE)</f>
        <v>FLUOXETINE 20 MG CAPSULE</v>
      </c>
      <c r="G624" t="str">
        <f>VLOOKUP($A624,[1]Table!$A$2:$N792,G$1,FALSE)</f>
        <v>FLUOXETINE 20MG CAPSULE</v>
      </c>
      <c r="H624" t="str">
        <f>VLOOKUP($A624,[1]Table!$A$2:$N792,H$1,FALSE)</f>
        <v>capsule</v>
      </c>
      <c r="I624" t="str">
        <f>VLOOKUP($A624,[1]Table!$A$2:$N792,I$1,FALSE)</f>
        <v>or</v>
      </c>
      <c r="J624">
        <f>VLOOKUP($A624,[1]Table!$A$2:$N792,J$1,FALSE)</f>
        <v>20</v>
      </c>
      <c r="K624" t="str">
        <f>VLOOKUP($A624,[1]Table!$A$2:$N792,K$1,FALSE)</f>
        <v>mg/stuk</v>
      </c>
      <c r="L624">
        <f>VLOOKUP($A624,[1]Table!$A$2:$N792,L$1,FALSE)</f>
        <v>20</v>
      </c>
      <c r="M624" t="str">
        <f>VLOOKUP($A624,[1]Table!$A$2:$N792,M$1,FALSE)</f>
        <v>mg</v>
      </c>
      <c r="N624" t="str">
        <f>VLOOKUP($A624,[1]Table!$A$2:$N792,N$1,FALSE)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4" t="str">
        <f>ConcatenateRange(AZ624:BU624,"||")</f>
        <v/>
      </c>
      <c r="AZ624" t="str">
        <f t="shared" si="242"/>
        <v/>
      </c>
      <c r="BA624" t="str">
        <f t="shared" si="243"/>
        <v/>
      </c>
      <c r="BB624" t="str">
        <f t="shared" si="244"/>
        <v/>
      </c>
      <c r="BC624" t="str">
        <f t="shared" si="245"/>
        <v/>
      </c>
      <c r="BD624" t="str">
        <f t="shared" si="246"/>
        <v/>
      </c>
      <c r="BE624" t="str">
        <f t="shared" si="247"/>
        <v/>
      </c>
      <c r="BF624" t="str">
        <f t="shared" si="248"/>
        <v/>
      </c>
      <c r="BG624" t="str">
        <f t="shared" si="249"/>
        <v/>
      </c>
      <c r="BH624" t="str">
        <f t="shared" si="250"/>
        <v/>
      </c>
      <c r="BI624" t="str">
        <f t="shared" si="251"/>
        <v/>
      </c>
      <c r="BJ624" t="str">
        <f t="shared" si="252"/>
        <v/>
      </c>
      <c r="BK624" t="str">
        <f t="shared" si="253"/>
        <v/>
      </c>
      <c r="BL624" t="str">
        <f t="shared" si="254"/>
        <v/>
      </c>
      <c r="BM624" t="str">
        <f t="shared" si="255"/>
        <v/>
      </c>
      <c r="BN624" t="str">
        <f t="shared" si="256"/>
        <v/>
      </c>
      <c r="BO624" t="str">
        <f t="shared" si="257"/>
        <v/>
      </c>
      <c r="BP624" t="str">
        <f t="shared" si="258"/>
        <v/>
      </c>
      <c r="BQ624" t="str">
        <f t="shared" si="259"/>
        <v/>
      </c>
      <c r="BR624" t="str">
        <f t="shared" si="260"/>
        <v/>
      </c>
      <c r="BS624" t="str">
        <f t="shared" si="261"/>
        <v/>
      </c>
      <c r="BT624" t="str">
        <f t="shared" si="262"/>
        <v/>
      </c>
      <c r="BU624" t="str">
        <f t="shared" si="263"/>
        <v/>
      </c>
    </row>
    <row r="625" spans="1:73">
      <c r="A625" s="1">
        <v>116769</v>
      </c>
      <c r="B625" t="str">
        <f>VLOOKUP($A625,[1]Table!$A$2:$N793,B$1,FALSE)</f>
        <v>N06AB03</v>
      </c>
      <c r="C625" t="str">
        <f>VLOOKUP($A625,[1]Table!$A$2:$N793,C$1,FALSE)</f>
        <v>PSYCHOANALEPTICA</v>
      </c>
      <c r="D625" t="str">
        <f>VLOOKUP($A625,[1]Table!$A$2:$N793,D$1,FALSE)</f>
        <v>ANTIDEPRESSIVA</v>
      </c>
      <c r="E625" t="str">
        <f>VLOOKUP($A625,[1]Table!$A$2:$N793,E$1,FALSE)</f>
        <v>FLUOXETINE</v>
      </c>
      <c r="F625" t="str">
        <f>VLOOKUP($A625,[1]Table!$A$2:$N793,F$1,FALSE)</f>
        <v>FLUOXETINE 20 MG DISPER TABLET</v>
      </c>
      <c r="G625" t="str">
        <f>VLOOKUP($A625,[1]Table!$A$2:$N793,G$1,FALSE)</f>
        <v>FLUOXETINE 20MG DISPERTAB</v>
      </c>
      <c r="H625" t="str">
        <f>VLOOKUP($A625,[1]Table!$A$2:$N793,H$1,FALSE)</f>
        <v>dispergeerbare tablet</v>
      </c>
      <c r="I625" t="str">
        <f>VLOOKUP($A625,[1]Table!$A$2:$N793,I$1,FALSE)</f>
        <v>or</v>
      </c>
      <c r="J625">
        <f>VLOOKUP($A625,[1]Table!$A$2:$N793,J$1,FALSE)</f>
        <v>20</v>
      </c>
      <c r="K625" t="str">
        <f>VLOOKUP($A625,[1]Table!$A$2:$N793,K$1,FALSE)</f>
        <v>mg/stuk</v>
      </c>
      <c r="L625">
        <f>VLOOKUP($A625,[1]Table!$A$2:$N793,L$1,FALSE)</f>
        <v>10</v>
      </c>
      <c r="M625" t="str">
        <f>VLOOKUP($A625,[1]Table!$A$2:$N793,M$1,FALSE)</f>
        <v>mg</v>
      </c>
      <c r="N625" t="str">
        <f>VLOOKUP($A625,[1]Table!$A$2:$N793,N$1,FALSE)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5" t="str">
        <f>ConcatenateRange(AZ625:BU625,"||")</f>
        <v/>
      </c>
      <c r="AZ625" t="str">
        <f t="shared" si="242"/>
        <v/>
      </c>
      <c r="BA625" t="str">
        <f t="shared" si="243"/>
        <v/>
      </c>
      <c r="BB625" t="str">
        <f t="shared" si="244"/>
        <v/>
      </c>
      <c r="BC625" t="str">
        <f t="shared" si="245"/>
        <v/>
      </c>
      <c r="BD625" t="str">
        <f t="shared" si="246"/>
        <v/>
      </c>
      <c r="BE625" t="str">
        <f t="shared" si="247"/>
        <v/>
      </c>
      <c r="BF625" t="str">
        <f t="shared" si="248"/>
        <v/>
      </c>
      <c r="BG625" t="str">
        <f t="shared" si="249"/>
        <v/>
      </c>
      <c r="BH625" t="str">
        <f t="shared" si="250"/>
        <v/>
      </c>
      <c r="BI625" t="str">
        <f t="shared" si="251"/>
        <v/>
      </c>
      <c r="BJ625" t="str">
        <f t="shared" si="252"/>
        <v/>
      </c>
      <c r="BK625" t="str">
        <f t="shared" si="253"/>
        <v/>
      </c>
      <c r="BL625" t="str">
        <f t="shared" si="254"/>
        <v/>
      </c>
      <c r="BM625" t="str">
        <f t="shared" si="255"/>
        <v/>
      </c>
      <c r="BN625" t="str">
        <f t="shared" si="256"/>
        <v/>
      </c>
      <c r="BO625" t="str">
        <f t="shared" si="257"/>
        <v/>
      </c>
      <c r="BP625" t="str">
        <f t="shared" si="258"/>
        <v/>
      </c>
      <c r="BQ625" t="str">
        <f t="shared" si="259"/>
        <v/>
      </c>
      <c r="BR625" t="str">
        <f t="shared" si="260"/>
        <v/>
      </c>
      <c r="BS625" t="str">
        <f t="shared" si="261"/>
        <v/>
      </c>
      <c r="BT625" t="str">
        <f t="shared" si="262"/>
        <v/>
      </c>
      <c r="BU625" t="str">
        <f t="shared" si="263"/>
        <v/>
      </c>
    </row>
    <row r="626" spans="1:73">
      <c r="A626" s="1">
        <v>92541</v>
      </c>
      <c r="B626" t="str">
        <f>VLOOKUP($A626,[1]Table!$A$2:$N794,B$1,FALSE)</f>
        <v>R03BA05</v>
      </c>
      <c r="C626" t="str">
        <f>VLOOKUP($A626,[1]Table!$A$2:$N794,C$1,FALSE)</f>
        <v>MIDDELEN BIJ ASTMA/COPD</v>
      </c>
      <c r="D626" t="str">
        <f>VLOOKUP($A626,[1]Table!$A$2:$N794,D$1,FALSE)</f>
        <v>OVERIGE MIDDELEN BIJ ASTMA/COPD VOOR INHALATIE</v>
      </c>
      <c r="E626" t="str">
        <f>VLOOKUP($A626,[1]Table!$A$2:$N794,E$1,FALSE)</f>
        <v>FLUTICASON</v>
      </c>
      <c r="F626" t="str">
        <f>VLOOKUP($A626,[1]Table!$A$2:$N794,F$1,FALSE)</f>
        <v>FLIXOTIDE 50 MICROG/DOSIS AERO 120DOSES</v>
      </c>
      <c r="G626" t="str">
        <f>VLOOKUP($A626,[1]Table!$A$2:$N794,G$1,FALSE)</f>
        <v>FLUTICASON 50UG/DO AEROSOL</v>
      </c>
      <c r="H626" t="str">
        <f>VLOOKUP($A626,[1]Table!$A$2:$N794,H$1,FALSE)</f>
        <v>aerosol</v>
      </c>
      <c r="I626" t="str">
        <f>VLOOKUP($A626,[1]Table!$A$2:$N794,I$1,FALSE)</f>
        <v>inh</v>
      </c>
      <c r="J626">
        <f>VLOOKUP($A626,[1]Table!$A$2:$N794,J$1,FALSE)</f>
        <v>50</v>
      </c>
      <c r="K626" t="str">
        <f>VLOOKUP($A626,[1]Table!$A$2:$N794,K$1,FALSE)</f>
        <v>mcg/dose</v>
      </c>
      <c r="L626">
        <f>VLOOKUP($A626,[1]Table!$A$2:$N794,L$1,FALSE)</f>
        <v>50</v>
      </c>
      <c r="M626" t="str">
        <f>VLOOKUP($A626,[1]Table!$A$2:$N794,M$1,FALSE)</f>
        <v>mcg</v>
      </c>
      <c r="N626" t="str">
        <f>VLOOKUP($A626,[1]Table!$A$2:$N794,N$1,FALSE)</f>
        <v>Astma, verminderen bronchiale hyperreactiviteit||Acute astma aanval</v>
      </c>
      <c r="O626" t="str">
        <f>ConcatenateRange(AZ626:BU626,"||")</f>
        <v/>
      </c>
      <c r="AZ626" t="str">
        <f t="shared" si="242"/>
        <v/>
      </c>
      <c r="BA626" t="str">
        <f t="shared" si="243"/>
        <v/>
      </c>
      <c r="BB626" t="str">
        <f t="shared" si="244"/>
        <v/>
      </c>
      <c r="BC626" t="str">
        <f t="shared" si="245"/>
        <v/>
      </c>
      <c r="BD626" t="str">
        <f t="shared" si="246"/>
        <v/>
      </c>
      <c r="BE626" t="str">
        <f t="shared" si="247"/>
        <v/>
      </c>
      <c r="BF626" t="str">
        <f t="shared" si="248"/>
        <v/>
      </c>
      <c r="BG626" t="str">
        <f t="shared" si="249"/>
        <v/>
      </c>
      <c r="BH626" t="str">
        <f t="shared" si="250"/>
        <v/>
      </c>
      <c r="BI626" t="str">
        <f t="shared" si="251"/>
        <v/>
      </c>
      <c r="BJ626" t="str">
        <f t="shared" si="252"/>
        <v/>
      </c>
      <c r="BK626" t="str">
        <f t="shared" si="253"/>
        <v/>
      </c>
      <c r="BL626" t="str">
        <f t="shared" si="254"/>
        <v/>
      </c>
      <c r="BM626" t="str">
        <f t="shared" si="255"/>
        <v/>
      </c>
      <c r="BN626" t="str">
        <f t="shared" si="256"/>
        <v/>
      </c>
      <c r="BO626" t="str">
        <f t="shared" si="257"/>
        <v/>
      </c>
      <c r="BP626" t="str">
        <f t="shared" si="258"/>
        <v/>
      </c>
      <c r="BQ626" t="str">
        <f t="shared" si="259"/>
        <v/>
      </c>
      <c r="BR626" t="str">
        <f t="shared" si="260"/>
        <v/>
      </c>
      <c r="BS626" t="str">
        <f t="shared" si="261"/>
        <v/>
      </c>
      <c r="BT626" t="str">
        <f t="shared" si="262"/>
        <v/>
      </c>
      <c r="BU626" t="str">
        <f t="shared" si="263"/>
        <v/>
      </c>
    </row>
    <row r="627" spans="1:73">
      <c r="A627" s="1">
        <v>92568</v>
      </c>
      <c r="B627" t="str">
        <f>VLOOKUP($A627,[1]Table!$A$2:$N795,B$1,FALSE)</f>
        <v>R03BA05</v>
      </c>
      <c r="C627" t="str">
        <f>VLOOKUP($A627,[1]Table!$A$2:$N795,C$1,FALSE)</f>
        <v>MIDDELEN BIJ ASTMA/COPD</v>
      </c>
      <c r="D627" t="str">
        <f>VLOOKUP($A627,[1]Table!$A$2:$N795,D$1,FALSE)</f>
        <v>OVERIGE MIDDELEN BIJ ASTMA/COPD VOOR INHALATIE</v>
      </c>
      <c r="E627" t="str">
        <f>VLOOKUP($A627,[1]Table!$A$2:$N795,E$1,FALSE)</f>
        <v>FLUTICASON</v>
      </c>
      <c r="F627" t="str">
        <f>VLOOKUP($A627,[1]Table!$A$2:$N795,F$1,FALSE)</f>
        <v>FLIXOTIDE 125 MICROG/DOSIS AEROSOL 120DO</v>
      </c>
      <c r="G627" t="str">
        <f>VLOOKUP($A627,[1]Table!$A$2:$N795,G$1,FALSE)</f>
        <v>FLUTICASON 125UG/DO AEROSOL</v>
      </c>
      <c r="H627" t="str">
        <f>VLOOKUP($A627,[1]Table!$A$2:$N795,H$1,FALSE)</f>
        <v>aerosol</v>
      </c>
      <c r="I627" t="str">
        <f>VLOOKUP($A627,[1]Table!$A$2:$N795,I$1,FALSE)</f>
        <v>inh</v>
      </c>
      <c r="J627">
        <f>VLOOKUP($A627,[1]Table!$A$2:$N795,J$1,FALSE)</f>
        <v>125</v>
      </c>
      <c r="K627" t="str">
        <f>VLOOKUP($A627,[1]Table!$A$2:$N795,K$1,FALSE)</f>
        <v>mcg/dose</v>
      </c>
      <c r="L627">
        <f>VLOOKUP($A627,[1]Table!$A$2:$N795,L$1,FALSE)</f>
        <v>125</v>
      </c>
      <c r="M627" t="str">
        <f>VLOOKUP($A627,[1]Table!$A$2:$N795,M$1,FALSE)</f>
        <v>mcg</v>
      </c>
      <c r="N627" t="str">
        <f>VLOOKUP($A627,[1]Table!$A$2:$N795,N$1,FALSE)</f>
        <v>Astma, verminderen bronchiale hyperreactiviteit||Acute astma aanval</v>
      </c>
      <c r="O627" t="str">
        <f>ConcatenateRange(AZ627:BU627,"||")</f>
        <v/>
      </c>
      <c r="AZ627" t="str">
        <f t="shared" si="242"/>
        <v/>
      </c>
      <c r="BA627" t="str">
        <f t="shared" si="243"/>
        <v/>
      </c>
      <c r="BB627" t="str">
        <f t="shared" si="244"/>
        <v/>
      </c>
      <c r="BC627" t="str">
        <f t="shared" si="245"/>
        <v/>
      </c>
      <c r="BD627" t="str">
        <f t="shared" si="246"/>
        <v/>
      </c>
      <c r="BE627" t="str">
        <f t="shared" si="247"/>
        <v/>
      </c>
      <c r="BF627" t="str">
        <f t="shared" si="248"/>
        <v/>
      </c>
      <c r="BG627" t="str">
        <f t="shared" si="249"/>
        <v/>
      </c>
      <c r="BH627" t="str">
        <f t="shared" si="250"/>
        <v/>
      </c>
      <c r="BI627" t="str">
        <f t="shared" si="251"/>
        <v/>
      </c>
      <c r="BJ627" t="str">
        <f t="shared" si="252"/>
        <v/>
      </c>
      <c r="BK627" t="str">
        <f t="shared" si="253"/>
        <v/>
      </c>
      <c r="BL627" t="str">
        <f t="shared" si="254"/>
        <v/>
      </c>
      <c r="BM627" t="str">
        <f t="shared" si="255"/>
        <v/>
      </c>
      <c r="BN627" t="str">
        <f t="shared" si="256"/>
        <v/>
      </c>
      <c r="BO627" t="str">
        <f t="shared" si="257"/>
        <v/>
      </c>
      <c r="BP627" t="str">
        <f t="shared" si="258"/>
        <v/>
      </c>
      <c r="BQ627" t="str">
        <f t="shared" si="259"/>
        <v/>
      </c>
      <c r="BR627" t="str">
        <f t="shared" si="260"/>
        <v/>
      </c>
      <c r="BS627" t="str">
        <f t="shared" si="261"/>
        <v/>
      </c>
      <c r="BT627" t="str">
        <f t="shared" si="262"/>
        <v/>
      </c>
      <c r="BU627" t="str">
        <f t="shared" si="263"/>
        <v/>
      </c>
    </row>
    <row r="628" spans="1:73">
      <c r="A628" s="1">
        <v>92576</v>
      </c>
      <c r="B628" t="str">
        <f>VLOOKUP($A628,[1]Table!$A$2:$N796,B$1,FALSE)</f>
        <v>R03BA05</v>
      </c>
      <c r="C628" t="str">
        <f>VLOOKUP($A628,[1]Table!$A$2:$N796,C$1,FALSE)</f>
        <v>MIDDELEN BIJ ASTMA/COPD</v>
      </c>
      <c r="D628" t="str">
        <f>VLOOKUP($A628,[1]Table!$A$2:$N796,D$1,FALSE)</f>
        <v>OVERIGE MIDDELEN BIJ ASTMA/COPD VOOR INHALATIE</v>
      </c>
      <c r="E628" t="str">
        <f>VLOOKUP($A628,[1]Table!$A$2:$N796,E$1,FALSE)</f>
        <v>FLUTICASON</v>
      </c>
      <c r="F628" t="str">
        <f>VLOOKUP($A628,[1]Table!$A$2:$N796,F$1,FALSE)</f>
        <v>FLIXOTIDE 250 MICROG/DOSIS AERO 120 DOSE</v>
      </c>
      <c r="G628" t="str">
        <f>VLOOKUP($A628,[1]Table!$A$2:$N796,G$1,FALSE)</f>
        <v>FLUTICASON 250UG/DO AEROSOL</v>
      </c>
      <c r="H628" t="str">
        <f>VLOOKUP($A628,[1]Table!$A$2:$N796,H$1,FALSE)</f>
        <v>aerosol</v>
      </c>
      <c r="I628" t="str">
        <f>VLOOKUP($A628,[1]Table!$A$2:$N796,I$1,FALSE)</f>
        <v>inh</v>
      </c>
      <c r="J628">
        <f>VLOOKUP($A628,[1]Table!$A$2:$N796,J$1,FALSE)</f>
        <v>250</v>
      </c>
      <c r="K628" t="str">
        <f>VLOOKUP($A628,[1]Table!$A$2:$N796,K$1,FALSE)</f>
        <v>mcg/dose</v>
      </c>
      <c r="L628">
        <f>VLOOKUP($A628,[1]Table!$A$2:$N796,L$1,FALSE)</f>
        <v>250</v>
      </c>
      <c r="M628" t="str">
        <f>VLOOKUP($A628,[1]Table!$A$2:$N796,M$1,FALSE)</f>
        <v>mcg</v>
      </c>
      <c r="N628" t="str">
        <f>VLOOKUP($A628,[1]Table!$A$2:$N796,N$1,FALSE)</f>
        <v>Astma, verminderen bronchiale hyperreactiviteit||Acute astma aanval</v>
      </c>
      <c r="O628" t="str">
        <f>ConcatenateRange(AZ628:BU628,"||")</f>
        <v/>
      </c>
      <c r="AZ628" t="str">
        <f t="shared" si="242"/>
        <v/>
      </c>
      <c r="BA628" t="str">
        <f t="shared" si="243"/>
        <v/>
      </c>
      <c r="BB628" t="str">
        <f t="shared" si="244"/>
        <v/>
      </c>
      <c r="BC628" t="str">
        <f t="shared" si="245"/>
        <v/>
      </c>
      <c r="BD628" t="str">
        <f t="shared" si="246"/>
        <v/>
      </c>
      <c r="BE628" t="str">
        <f t="shared" si="247"/>
        <v/>
      </c>
      <c r="BF628" t="str">
        <f t="shared" si="248"/>
        <v/>
      </c>
      <c r="BG628" t="str">
        <f t="shared" si="249"/>
        <v/>
      </c>
      <c r="BH628" t="str">
        <f t="shared" si="250"/>
        <v/>
      </c>
      <c r="BI628" t="str">
        <f t="shared" si="251"/>
        <v/>
      </c>
      <c r="BJ628" t="str">
        <f t="shared" si="252"/>
        <v/>
      </c>
      <c r="BK628" t="str">
        <f t="shared" si="253"/>
        <v/>
      </c>
      <c r="BL628" t="str">
        <f t="shared" si="254"/>
        <v/>
      </c>
      <c r="BM628" t="str">
        <f t="shared" si="255"/>
        <v/>
      </c>
      <c r="BN628" t="str">
        <f t="shared" si="256"/>
        <v/>
      </c>
      <c r="BO628" t="str">
        <f t="shared" si="257"/>
        <v/>
      </c>
      <c r="BP628" t="str">
        <f t="shared" si="258"/>
        <v/>
      </c>
      <c r="BQ628" t="str">
        <f t="shared" si="259"/>
        <v/>
      </c>
      <c r="BR628" t="str">
        <f t="shared" si="260"/>
        <v/>
      </c>
      <c r="BS628" t="str">
        <f t="shared" si="261"/>
        <v/>
      </c>
      <c r="BT628" t="str">
        <f t="shared" si="262"/>
        <v/>
      </c>
      <c r="BU628" t="str">
        <f t="shared" si="263"/>
        <v/>
      </c>
    </row>
    <row r="629" spans="1:73">
      <c r="A629" s="1">
        <v>92010</v>
      </c>
      <c r="B629" t="str">
        <f>VLOOKUP($A629,[1]Table!$A$2:$N797,B$1,FALSE)</f>
        <v>D07AC17</v>
      </c>
      <c r="C629" t="str">
        <f>VLOOKUP($A629,[1]Table!$A$2:$N797,C$1,FALSE)</f>
        <v>DERMATOLOGISCHE CORTICOSTEROIDEN</v>
      </c>
      <c r="D629" t="str">
        <f>VLOOKUP($A629,[1]Table!$A$2:$N797,D$1,FALSE)</f>
        <v>ENKELVOUDIGE CORTICOSTEROIDEN</v>
      </c>
      <c r="E629" t="str">
        <f>VLOOKUP($A629,[1]Table!$A$2:$N797,E$1,FALSE)</f>
        <v>FLUTICASON</v>
      </c>
      <c r="F629" t="str">
        <f>VLOOKUP($A629,[1]Table!$A$2:$N797,F$1,FALSE)</f>
        <v>CUTIVATE 0,5 MG/G CREME HYDROFIEL 100 G</v>
      </c>
      <c r="G629" t="str">
        <f>VLOOKUP($A629,[1]Table!$A$2:$N797,G$1,FALSE)</f>
        <v>FLUTICASON 0,5MG/G CREME</v>
      </c>
      <c r="H629" t="str">
        <f>VLOOKUP($A629,[1]Table!$A$2:$N797,H$1,FALSE)</f>
        <v>creme</v>
      </c>
      <c r="I629" t="str">
        <f>VLOOKUP($A629,[1]Table!$A$2:$N797,I$1,FALSE)</f>
        <v>cutaan</v>
      </c>
      <c r="J629">
        <f>VLOOKUP($A629,[1]Table!$A$2:$N797,J$1,FALSE)</f>
        <v>0.5</v>
      </c>
      <c r="K629" t="str">
        <f>VLOOKUP($A629,[1]Table!$A$2:$N797,K$1,FALSE)</f>
        <v>mg/gr</v>
      </c>
      <c r="L629">
        <f>VLOOKUP($A629,[1]Table!$A$2:$N797,L$1,FALSE)</f>
        <v>0.5</v>
      </c>
      <c r="M629" t="str">
        <f>VLOOKUP($A629,[1]Table!$A$2:$N797,M$1,FALSE)</f>
        <v>mg</v>
      </c>
      <c r="N629" t="str">
        <f>VLOOKUP($A629,[1]Table!$A$2:$N797,N$1,FALSE)</f>
        <v>Constitutioneel eczeem||Lichen Sclerosus</v>
      </c>
      <c r="O629" t="str">
        <f>ConcatenateRange(AZ629:BU629,"||")</f>
        <v/>
      </c>
      <c r="AZ629" t="str">
        <f t="shared" si="242"/>
        <v/>
      </c>
      <c r="BA629" t="str">
        <f t="shared" si="243"/>
        <v/>
      </c>
      <c r="BB629" t="str">
        <f t="shared" si="244"/>
        <v/>
      </c>
      <c r="BC629" t="str">
        <f t="shared" si="245"/>
        <v/>
      </c>
      <c r="BD629" t="str">
        <f t="shared" si="246"/>
        <v/>
      </c>
      <c r="BE629" t="str">
        <f t="shared" si="247"/>
        <v/>
      </c>
      <c r="BF629" t="str">
        <f t="shared" si="248"/>
        <v/>
      </c>
      <c r="BG629" t="str">
        <f t="shared" si="249"/>
        <v/>
      </c>
      <c r="BH629" t="str">
        <f t="shared" si="250"/>
        <v/>
      </c>
      <c r="BI629" t="str">
        <f t="shared" si="251"/>
        <v/>
      </c>
      <c r="BJ629" t="str">
        <f t="shared" si="252"/>
        <v/>
      </c>
      <c r="BK629" t="str">
        <f t="shared" si="253"/>
        <v/>
      </c>
      <c r="BL629" t="str">
        <f t="shared" si="254"/>
        <v/>
      </c>
      <c r="BM629" t="str">
        <f t="shared" si="255"/>
        <v/>
      </c>
      <c r="BN629" t="str">
        <f t="shared" si="256"/>
        <v/>
      </c>
      <c r="BO629" t="str">
        <f t="shared" si="257"/>
        <v/>
      </c>
      <c r="BP629" t="str">
        <f t="shared" si="258"/>
        <v/>
      </c>
      <c r="BQ629" t="str">
        <f t="shared" si="259"/>
        <v/>
      </c>
      <c r="BR629" t="str">
        <f t="shared" si="260"/>
        <v/>
      </c>
      <c r="BS629" t="str">
        <f t="shared" si="261"/>
        <v/>
      </c>
      <c r="BT629" t="str">
        <f t="shared" si="262"/>
        <v/>
      </c>
      <c r="BU629" t="str">
        <f t="shared" si="263"/>
        <v/>
      </c>
    </row>
    <row r="630" spans="1:73">
      <c r="A630" s="1">
        <v>92487</v>
      </c>
      <c r="B630" t="str">
        <f>VLOOKUP($A630,[1]Table!$A$2:$N798,B$1,FALSE)</f>
        <v>R03BA05</v>
      </c>
      <c r="C630" t="str">
        <f>VLOOKUP($A630,[1]Table!$A$2:$N798,C$1,FALSE)</f>
        <v>MIDDELEN BIJ ASTMA/COPD</v>
      </c>
      <c r="D630" t="str">
        <f>VLOOKUP($A630,[1]Table!$A$2:$N798,D$1,FALSE)</f>
        <v>OVERIGE MIDDELEN BIJ ASTMA/COPD VOOR INHALATIE</v>
      </c>
      <c r="E630" t="str">
        <f>VLOOKUP($A630,[1]Table!$A$2:$N798,E$1,FALSE)</f>
        <v>FLUTICASON</v>
      </c>
      <c r="F630" t="str">
        <f>VLOOKUP($A630,[1]Table!$A$2:$N798,F$1,FALSE)</f>
        <v>FLIXOTIDE 100 MICROG DISKUS 60 DOSES</v>
      </c>
      <c r="G630" t="str">
        <f>VLOOKUP($A630,[1]Table!$A$2:$N798,G$1,FALSE)</f>
        <v>FLUTICASON 100UG/DO INHPDR</v>
      </c>
      <c r="H630" t="str">
        <f>VLOOKUP($A630,[1]Table!$A$2:$N798,H$1,FALSE)</f>
        <v>inhalatiepoeder</v>
      </c>
      <c r="I630" t="str">
        <f>VLOOKUP($A630,[1]Table!$A$2:$N798,I$1,FALSE)</f>
        <v>inh</v>
      </c>
      <c r="J630">
        <f>VLOOKUP($A630,[1]Table!$A$2:$N798,J$1,FALSE)</f>
        <v>100</v>
      </c>
      <c r="K630" t="str">
        <f>VLOOKUP($A630,[1]Table!$A$2:$N798,K$1,FALSE)</f>
        <v>mcg/dose</v>
      </c>
      <c r="L630">
        <f>VLOOKUP($A630,[1]Table!$A$2:$N798,L$1,FALSE)</f>
        <v>100</v>
      </c>
      <c r="M630" t="str">
        <f>VLOOKUP($A630,[1]Table!$A$2:$N798,M$1,FALSE)</f>
        <v>mcg</v>
      </c>
      <c r="N630" t="str">
        <f>VLOOKUP($A630,[1]Table!$A$2:$N798,N$1,FALSE)</f>
        <v>Astma, verminderen bronchiale hyperreactiviteit||Acute astma aanval</v>
      </c>
      <c r="O630" t="str">
        <f>ConcatenateRange(AZ630:BU630,"||")</f>
        <v/>
      </c>
      <c r="AZ630" t="str">
        <f t="shared" si="242"/>
        <v/>
      </c>
      <c r="BA630" t="str">
        <f t="shared" si="243"/>
        <v/>
      </c>
      <c r="BB630" t="str">
        <f t="shared" si="244"/>
        <v/>
      </c>
      <c r="BC630" t="str">
        <f t="shared" si="245"/>
        <v/>
      </c>
      <c r="BD630" t="str">
        <f t="shared" si="246"/>
        <v/>
      </c>
      <c r="BE630" t="str">
        <f t="shared" si="247"/>
        <v/>
      </c>
      <c r="BF630" t="str">
        <f t="shared" si="248"/>
        <v/>
      </c>
      <c r="BG630" t="str">
        <f t="shared" si="249"/>
        <v/>
      </c>
      <c r="BH630" t="str">
        <f t="shared" si="250"/>
        <v/>
      </c>
      <c r="BI630" t="str">
        <f t="shared" si="251"/>
        <v/>
      </c>
      <c r="BJ630" t="str">
        <f t="shared" si="252"/>
        <v/>
      </c>
      <c r="BK630" t="str">
        <f t="shared" si="253"/>
        <v/>
      </c>
      <c r="BL630" t="str">
        <f t="shared" si="254"/>
        <v/>
      </c>
      <c r="BM630" t="str">
        <f t="shared" si="255"/>
        <v/>
      </c>
      <c r="BN630" t="str">
        <f t="shared" si="256"/>
        <v/>
      </c>
      <c r="BO630" t="str">
        <f t="shared" si="257"/>
        <v/>
      </c>
      <c r="BP630" t="str">
        <f t="shared" si="258"/>
        <v/>
      </c>
      <c r="BQ630" t="str">
        <f t="shared" si="259"/>
        <v/>
      </c>
      <c r="BR630" t="str">
        <f t="shared" si="260"/>
        <v/>
      </c>
      <c r="BS630" t="str">
        <f t="shared" si="261"/>
        <v/>
      </c>
      <c r="BT630" t="str">
        <f t="shared" si="262"/>
        <v/>
      </c>
      <c r="BU630" t="str">
        <f t="shared" si="263"/>
        <v/>
      </c>
    </row>
    <row r="631" spans="1:73">
      <c r="A631" s="1">
        <v>92495</v>
      </c>
      <c r="B631" t="str">
        <f>VLOOKUP($A631,[1]Table!$A$2:$N799,B$1,FALSE)</f>
        <v>R03BA05</v>
      </c>
      <c r="C631" t="str">
        <f>VLOOKUP($A631,[1]Table!$A$2:$N799,C$1,FALSE)</f>
        <v>MIDDELEN BIJ ASTMA/COPD</v>
      </c>
      <c r="D631" t="str">
        <f>VLOOKUP($A631,[1]Table!$A$2:$N799,D$1,FALSE)</f>
        <v>OVERIGE MIDDELEN BIJ ASTMA/COPD VOOR INHALATIE</v>
      </c>
      <c r="E631" t="str">
        <f>VLOOKUP($A631,[1]Table!$A$2:$N799,E$1,FALSE)</f>
        <v>FLUTICASON</v>
      </c>
      <c r="F631" t="str">
        <f>VLOOKUP($A631,[1]Table!$A$2:$N799,F$1,FALSE)</f>
        <v>FLIXOTIDE 250 MICROG DISKUS 60 DOSES</v>
      </c>
      <c r="G631" t="str">
        <f>VLOOKUP($A631,[1]Table!$A$2:$N799,G$1,FALSE)</f>
        <v>FLUTICASON 250UG/DO INHPDR</v>
      </c>
      <c r="H631" t="str">
        <f>VLOOKUP($A631,[1]Table!$A$2:$N799,H$1,FALSE)</f>
        <v>inhalatiepoeder</v>
      </c>
      <c r="I631" t="str">
        <f>VLOOKUP($A631,[1]Table!$A$2:$N799,I$1,FALSE)</f>
        <v>inh</v>
      </c>
      <c r="J631">
        <f>VLOOKUP($A631,[1]Table!$A$2:$N799,J$1,FALSE)</f>
        <v>250</v>
      </c>
      <c r="K631" t="str">
        <f>VLOOKUP($A631,[1]Table!$A$2:$N799,K$1,FALSE)</f>
        <v>mcg/dose</v>
      </c>
      <c r="L631">
        <f>VLOOKUP($A631,[1]Table!$A$2:$N799,L$1,FALSE)</f>
        <v>250</v>
      </c>
      <c r="M631" t="str">
        <f>VLOOKUP($A631,[1]Table!$A$2:$N799,M$1,FALSE)</f>
        <v>mcg</v>
      </c>
      <c r="N631" t="str">
        <f>VLOOKUP($A631,[1]Table!$A$2:$N799,N$1,FALSE)</f>
        <v>Astma, verminderen bronchiale hyperreactiviteit||Acute astma aanval</v>
      </c>
      <c r="O631" t="str">
        <f>ConcatenateRange(AZ631:BU631,"||")</f>
        <v/>
      </c>
      <c r="AZ631" t="str">
        <f t="shared" si="242"/>
        <v/>
      </c>
      <c r="BA631" t="str">
        <f t="shared" si="243"/>
        <v/>
      </c>
      <c r="BB631" t="str">
        <f t="shared" si="244"/>
        <v/>
      </c>
      <c r="BC631" t="str">
        <f t="shared" si="245"/>
        <v/>
      </c>
      <c r="BD631" t="str">
        <f t="shared" si="246"/>
        <v/>
      </c>
      <c r="BE631" t="str">
        <f t="shared" si="247"/>
        <v/>
      </c>
      <c r="BF631" t="str">
        <f t="shared" si="248"/>
        <v/>
      </c>
      <c r="BG631" t="str">
        <f t="shared" si="249"/>
        <v/>
      </c>
      <c r="BH631" t="str">
        <f t="shared" si="250"/>
        <v/>
      </c>
      <c r="BI631" t="str">
        <f t="shared" si="251"/>
        <v/>
      </c>
      <c r="BJ631" t="str">
        <f t="shared" si="252"/>
        <v/>
      </c>
      <c r="BK631" t="str">
        <f t="shared" si="253"/>
        <v/>
      </c>
      <c r="BL631" t="str">
        <f t="shared" si="254"/>
        <v/>
      </c>
      <c r="BM631" t="str">
        <f t="shared" si="255"/>
        <v/>
      </c>
      <c r="BN631" t="str">
        <f t="shared" si="256"/>
        <v/>
      </c>
      <c r="BO631" t="str">
        <f t="shared" si="257"/>
        <v/>
      </c>
      <c r="BP631" t="str">
        <f t="shared" si="258"/>
        <v/>
      </c>
      <c r="BQ631" t="str">
        <f t="shared" si="259"/>
        <v/>
      </c>
      <c r="BR631" t="str">
        <f t="shared" si="260"/>
        <v/>
      </c>
      <c r="BS631" t="str">
        <f t="shared" si="261"/>
        <v/>
      </c>
      <c r="BT631" t="str">
        <f t="shared" si="262"/>
        <v/>
      </c>
      <c r="BU631" t="str">
        <f t="shared" si="263"/>
        <v/>
      </c>
    </row>
    <row r="632" spans="1:73">
      <c r="A632" s="1">
        <v>92509</v>
      </c>
      <c r="B632" t="str">
        <f>VLOOKUP($A632,[1]Table!$A$2:$N800,B$1,FALSE)</f>
        <v>R03BA05</v>
      </c>
      <c r="C632" t="str">
        <f>VLOOKUP($A632,[1]Table!$A$2:$N800,C$1,FALSE)</f>
        <v>MIDDELEN BIJ ASTMA/COPD</v>
      </c>
      <c r="D632" t="str">
        <f>VLOOKUP($A632,[1]Table!$A$2:$N800,D$1,FALSE)</f>
        <v>OVERIGE MIDDELEN BIJ ASTMA/COPD VOOR INHALATIE</v>
      </c>
      <c r="E632" t="str">
        <f>VLOOKUP($A632,[1]Table!$A$2:$N800,E$1,FALSE)</f>
        <v>FLUTICASON</v>
      </c>
      <c r="F632" t="str">
        <f>VLOOKUP($A632,[1]Table!$A$2:$N800,F$1,FALSE)</f>
        <v>FLIXOTIDE 500 MICROG DISKUS 60 DOSES</v>
      </c>
      <c r="G632" t="str">
        <f>VLOOKUP($A632,[1]Table!$A$2:$N800,G$1,FALSE)</f>
        <v>FLUTICASON 500UG/DO INHPDR</v>
      </c>
      <c r="H632" t="str">
        <f>VLOOKUP($A632,[1]Table!$A$2:$N800,H$1,FALSE)</f>
        <v>inhalatiepoeder</v>
      </c>
      <c r="I632" t="str">
        <f>VLOOKUP($A632,[1]Table!$A$2:$N800,I$1,FALSE)</f>
        <v>inh</v>
      </c>
      <c r="J632">
        <f>VLOOKUP($A632,[1]Table!$A$2:$N800,J$1,FALSE)</f>
        <v>500</v>
      </c>
      <c r="K632" t="str">
        <f>VLOOKUP($A632,[1]Table!$A$2:$N800,K$1,FALSE)</f>
        <v>mcg/dose</v>
      </c>
      <c r="L632">
        <f>VLOOKUP($A632,[1]Table!$A$2:$N800,L$1,FALSE)</f>
        <v>500</v>
      </c>
      <c r="M632" t="str">
        <f>VLOOKUP($A632,[1]Table!$A$2:$N800,M$1,FALSE)</f>
        <v>mcg</v>
      </c>
      <c r="N632" t="str">
        <f>VLOOKUP($A632,[1]Table!$A$2:$N800,N$1,FALSE)</f>
        <v>Astma, verminderen bronchiale hyperreactiviteit||Acute astma aanval</v>
      </c>
      <c r="O632" t="str">
        <f>ConcatenateRange(AZ632:BU632,"||")</f>
        <v/>
      </c>
      <c r="AZ632" t="str">
        <f t="shared" si="242"/>
        <v/>
      </c>
      <c r="BA632" t="str">
        <f t="shared" si="243"/>
        <v/>
      </c>
      <c r="BB632" t="str">
        <f t="shared" si="244"/>
        <v/>
      </c>
      <c r="BC632" t="str">
        <f t="shared" si="245"/>
        <v/>
      </c>
      <c r="BD632" t="str">
        <f t="shared" si="246"/>
        <v/>
      </c>
      <c r="BE632" t="str">
        <f t="shared" si="247"/>
        <v/>
      </c>
      <c r="BF632" t="str">
        <f t="shared" si="248"/>
        <v/>
      </c>
      <c r="BG632" t="str">
        <f t="shared" si="249"/>
        <v/>
      </c>
      <c r="BH632" t="str">
        <f t="shared" si="250"/>
        <v/>
      </c>
      <c r="BI632" t="str">
        <f t="shared" si="251"/>
        <v/>
      </c>
      <c r="BJ632" t="str">
        <f t="shared" si="252"/>
        <v/>
      </c>
      <c r="BK632" t="str">
        <f t="shared" si="253"/>
        <v/>
      </c>
      <c r="BL632" t="str">
        <f t="shared" si="254"/>
        <v/>
      </c>
      <c r="BM632" t="str">
        <f t="shared" si="255"/>
        <v/>
      </c>
      <c r="BN632" t="str">
        <f t="shared" si="256"/>
        <v/>
      </c>
      <c r="BO632" t="str">
        <f t="shared" si="257"/>
        <v/>
      </c>
      <c r="BP632" t="str">
        <f t="shared" si="258"/>
        <v/>
      </c>
      <c r="BQ632" t="str">
        <f t="shared" si="259"/>
        <v/>
      </c>
      <c r="BR632" t="str">
        <f t="shared" si="260"/>
        <v/>
      </c>
      <c r="BS632" t="str">
        <f t="shared" si="261"/>
        <v/>
      </c>
      <c r="BT632" t="str">
        <f t="shared" si="262"/>
        <v/>
      </c>
      <c r="BU632" t="str">
        <f t="shared" si="263"/>
        <v/>
      </c>
    </row>
    <row r="633" spans="1:73">
      <c r="A633" s="1">
        <v>119563</v>
      </c>
      <c r="B633" t="str">
        <f>VLOOKUP($A633,[1]Table!$A$2:$N801,B$1,FALSE)</f>
        <v>R01AD08</v>
      </c>
      <c r="C633" t="str">
        <f>VLOOKUP($A633,[1]Table!$A$2:$N801,C$1,FALSE)</f>
        <v>MIDDELEN VOOR NASAAL GEBRUIK</v>
      </c>
      <c r="D633" t="str">
        <f>VLOOKUP($A633,[1]Table!$A$2:$N801,D$1,FALSE)</f>
        <v>DECONGESTIVA EN ANDERE LOKALE MIDDELEN VOOR NASAAL GEBRUIK</v>
      </c>
      <c r="E633" t="str">
        <f>VLOOKUP($A633,[1]Table!$A$2:$N801,E$1,FALSE)</f>
        <v>FLUTICASON</v>
      </c>
      <c r="F633" t="str">
        <f>VLOOKUP($A633,[1]Table!$A$2:$N801,F$1,FALSE)</f>
        <v>FLIXONASE 0.4 MG NEUSDRUPPELS</v>
      </c>
      <c r="G633" t="str">
        <f>VLOOKUP($A633,[1]Table!$A$2:$N801,G$1,FALSE)</f>
        <v>FLUTICASON 1MG/ML NEUSDRUPP</v>
      </c>
      <c r="H633" t="str">
        <f>VLOOKUP($A633,[1]Table!$A$2:$N801,H$1,FALSE)</f>
        <v>neusdruppels</v>
      </c>
      <c r="I633" t="str">
        <f>VLOOKUP($A633,[1]Table!$A$2:$N801,I$1,FALSE)</f>
        <v>nasaal</v>
      </c>
      <c r="J633">
        <f>VLOOKUP($A633,[1]Table!$A$2:$N801,J$1,FALSE)</f>
        <v>1</v>
      </c>
      <c r="K633" t="str">
        <f>VLOOKUP($A633,[1]Table!$A$2:$N801,K$1,FALSE)</f>
        <v>mg/ml</v>
      </c>
      <c r="L633">
        <f>VLOOKUP($A633,[1]Table!$A$2:$N801,L$1,FALSE)</f>
        <v>1</v>
      </c>
      <c r="M633" t="str">
        <f>VLOOKUP($A633,[1]Table!$A$2:$N801,M$1,FALSE)</f>
        <v>mg</v>
      </c>
      <c r="N633" t="str">
        <f>VLOOKUP($A633,[1]Table!$A$2:$N801,N$1,FALSE)</f>
        <v>Allergische rhinitis: propionaat||Allergische rhinitis: furoaat</v>
      </c>
      <c r="O633" t="str">
        <f>ConcatenateRange(AZ633:BU633,"||")</f>
        <v/>
      </c>
      <c r="AZ633" t="str">
        <f t="shared" si="242"/>
        <v/>
      </c>
      <c r="BA633" t="str">
        <f t="shared" si="243"/>
        <v/>
      </c>
      <c r="BB633" t="str">
        <f t="shared" si="244"/>
        <v/>
      </c>
      <c r="BC633" t="str">
        <f t="shared" si="245"/>
        <v/>
      </c>
      <c r="BD633" t="str">
        <f t="shared" si="246"/>
        <v/>
      </c>
      <c r="BE633" t="str">
        <f t="shared" si="247"/>
        <v/>
      </c>
      <c r="BF633" t="str">
        <f t="shared" si="248"/>
        <v/>
      </c>
      <c r="BG633" t="str">
        <f t="shared" si="249"/>
        <v/>
      </c>
      <c r="BH633" t="str">
        <f t="shared" si="250"/>
        <v/>
      </c>
      <c r="BI633" t="str">
        <f t="shared" si="251"/>
        <v/>
      </c>
      <c r="BJ633" t="str">
        <f t="shared" si="252"/>
        <v/>
      </c>
      <c r="BK633" t="str">
        <f t="shared" si="253"/>
        <v/>
      </c>
      <c r="BL633" t="str">
        <f t="shared" si="254"/>
        <v/>
      </c>
      <c r="BM633" t="str">
        <f t="shared" si="255"/>
        <v/>
      </c>
      <c r="BN633" t="str">
        <f t="shared" si="256"/>
        <v/>
      </c>
      <c r="BO633" t="str">
        <f t="shared" si="257"/>
        <v/>
      </c>
      <c r="BP633" t="str">
        <f t="shared" si="258"/>
        <v/>
      </c>
      <c r="BQ633" t="str">
        <f t="shared" si="259"/>
        <v/>
      </c>
      <c r="BR633" t="str">
        <f t="shared" si="260"/>
        <v/>
      </c>
      <c r="BS633" t="str">
        <f t="shared" si="261"/>
        <v/>
      </c>
      <c r="BT633" t="str">
        <f t="shared" si="262"/>
        <v/>
      </c>
      <c r="BU633" t="str">
        <f t="shared" si="263"/>
        <v/>
      </c>
    </row>
    <row r="634" spans="1:73">
      <c r="A634" s="1">
        <v>128937</v>
      </c>
      <c r="B634" t="str">
        <f>VLOOKUP($A634,[1]Table!$A$2:$N802,B$1,FALSE)</f>
        <v>R01AD12</v>
      </c>
      <c r="C634" t="str">
        <f>VLOOKUP($A634,[1]Table!$A$2:$N802,C$1,FALSE)</f>
        <v>MIDDELEN VOOR NASAAL GEBRUIK</v>
      </c>
      <c r="D634" t="str">
        <f>VLOOKUP($A634,[1]Table!$A$2:$N802,D$1,FALSE)</f>
        <v>DECONGESTIVA EN ANDERE LOKALE MIDDELEN VOOR NASAAL GEBRUIK</v>
      </c>
      <c r="E634" t="str">
        <f>VLOOKUP($A634,[1]Table!$A$2:$N802,E$1,FALSE)</f>
        <v>FLUTICASON</v>
      </c>
      <c r="F634" t="str">
        <f>VLOOKUP($A634,[1]Table!$A$2:$N802,F$1,FALSE)</f>
        <v>AVAMYS NEUSSPRAY 27,5 UG/DOSIS 120 DOSES</v>
      </c>
      <c r="G634" t="str">
        <f>VLOOKUP($A634,[1]Table!$A$2:$N802,G$1,FALSE)</f>
        <v>FLUTICAS-FUR 27,5UG/DO NEUS</v>
      </c>
      <c r="H634" t="str">
        <f>VLOOKUP($A634,[1]Table!$A$2:$N802,H$1,FALSE)</f>
        <v>neusspray</v>
      </c>
      <c r="I634" t="str">
        <f>VLOOKUP($A634,[1]Table!$A$2:$N802,I$1,FALSE)</f>
        <v>nasaal</v>
      </c>
      <c r="J634">
        <f>VLOOKUP($A634,[1]Table!$A$2:$N802,J$1,FALSE)</f>
        <v>27.5</v>
      </c>
      <c r="K634" t="str">
        <f>VLOOKUP($A634,[1]Table!$A$2:$N802,K$1,FALSE)</f>
        <v>mcg/dose</v>
      </c>
      <c r="L634">
        <f>VLOOKUP($A634,[1]Table!$A$2:$N802,L$1,FALSE)</f>
        <v>27.5</v>
      </c>
      <c r="M634" t="str">
        <f>VLOOKUP($A634,[1]Table!$A$2:$N802,M$1,FALSE)</f>
        <v>mcg</v>
      </c>
      <c r="N634" t="s">
        <v>58</v>
      </c>
      <c r="O634" t="str">
        <f>ConcatenateRange(AZ634:BU634,"||")</f>
        <v/>
      </c>
      <c r="AZ634" t="str">
        <f t="shared" si="242"/>
        <v/>
      </c>
      <c r="BA634" t="str">
        <f t="shared" si="243"/>
        <v/>
      </c>
      <c r="BB634" t="str">
        <f t="shared" si="244"/>
        <v/>
      </c>
      <c r="BC634" t="str">
        <f t="shared" si="245"/>
        <v/>
      </c>
      <c r="BD634" t="str">
        <f t="shared" si="246"/>
        <v/>
      </c>
      <c r="BE634" t="str">
        <f t="shared" si="247"/>
        <v/>
      </c>
      <c r="BF634" t="str">
        <f t="shared" si="248"/>
        <v/>
      </c>
      <c r="BG634" t="str">
        <f t="shared" si="249"/>
        <v/>
      </c>
      <c r="BH634" t="str">
        <f t="shared" si="250"/>
        <v/>
      </c>
      <c r="BI634" t="str">
        <f t="shared" si="251"/>
        <v/>
      </c>
      <c r="BJ634" t="str">
        <f t="shared" si="252"/>
        <v/>
      </c>
      <c r="BK634" t="str">
        <f t="shared" si="253"/>
        <v/>
      </c>
      <c r="BL634" t="str">
        <f t="shared" si="254"/>
        <v/>
      </c>
      <c r="BM634" t="str">
        <f t="shared" si="255"/>
        <v/>
      </c>
      <c r="BN634" t="str">
        <f t="shared" si="256"/>
        <v/>
      </c>
      <c r="BO634" t="str">
        <f t="shared" si="257"/>
        <v/>
      </c>
      <c r="BP634" t="str">
        <f t="shared" si="258"/>
        <v/>
      </c>
      <c r="BQ634" t="str">
        <f t="shared" si="259"/>
        <v/>
      </c>
      <c r="BR634" t="str">
        <f t="shared" si="260"/>
        <v/>
      </c>
      <c r="BS634" t="str">
        <f t="shared" si="261"/>
        <v/>
      </c>
      <c r="BT634" t="str">
        <f t="shared" si="262"/>
        <v/>
      </c>
      <c r="BU634" t="str">
        <f t="shared" si="263"/>
        <v/>
      </c>
    </row>
    <row r="635" spans="1:73">
      <c r="A635" s="1">
        <v>89362</v>
      </c>
      <c r="B635" t="str">
        <f>VLOOKUP($A635,[1]Table!$A$2:$N803,B$1,FALSE)</f>
        <v>R01AD08</v>
      </c>
      <c r="C635" t="str">
        <f>VLOOKUP($A635,[1]Table!$A$2:$N803,C$1,FALSE)</f>
        <v>MIDDELEN VOOR NASAAL GEBRUIK</v>
      </c>
      <c r="D635" t="str">
        <f>VLOOKUP($A635,[1]Table!$A$2:$N803,D$1,FALSE)</f>
        <v>DECONGESTIVA EN ANDERE LOKALE MIDDELEN VOOR NASAAL GEBRUIK</v>
      </c>
      <c r="E635" t="str">
        <f>VLOOKUP($A635,[1]Table!$A$2:$N803,E$1,FALSE)</f>
        <v>FLUTICASON</v>
      </c>
      <c r="F635" t="str">
        <f>VLOOKUP($A635,[1]Table!$A$2:$N803,F$1,FALSE)</f>
        <v>FLIXONASE 50 MICROG/DOSIS NEUSSPR 150 DOS</v>
      </c>
      <c r="G635" t="str">
        <f>VLOOKUP($A635,[1]Table!$A$2:$N803,G$1,FALSE)</f>
        <v>FLUTICA-PRO 50UG/DO NEUSPR</v>
      </c>
      <c r="H635" t="str">
        <f>VLOOKUP($A635,[1]Table!$A$2:$N803,H$1,FALSE)</f>
        <v>neusspray</v>
      </c>
      <c r="I635" t="str">
        <f>VLOOKUP($A635,[1]Table!$A$2:$N803,I$1,FALSE)</f>
        <v>nasaal</v>
      </c>
      <c r="J635">
        <f>VLOOKUP($A635,[1]Table!$A$2:$N803,J$1,FALSE)</f>
        <v>50</v>
      </c>
      <c r="K635" t="str">
        <f>VLOOKUP($A635,[1]Table!$A$2:$N803,K$1,FALSE)</f>
        <v>mcg/dose</v>
      </c>
      <c r="L635">
        <f>VLOOKUP($A635,[1]Table!$A$2:$N803,L$1,FALSE)</f>
        <v>50</v>
      </c>
      <c r="M635" t="str">
        <f>VLOOKUP($A635,[1]Table!$A$2:$N803,M$1,FALSE)</f>
        <v>mcg</v>
      </c>
      <c r="N635" t="str">
        <f>VLOOKUP($A635,[1]Table!$A$2:$N803,N$1,FALSE)</f>
        <v>Allergische rhinitis: propionaat||Allergische rhinitis: furoaat</v>
      </c>
      <c r="O635" t="str">
        <f>ConcatenateRange(AZ635:BU635,"||")</f>
        <v/>
      </c>
      <c r="AZ635" t="str">
        <f t="shared" si="242"/>
        <v/>
      </c>
      <c r="BA635" t="str">
        <f t="shared" si="243"/>
        <v/>
      </c>
      <c r="BB635" t="str">
        <f t="shared" si="244"/>
        <v/>
      </c>
      <c r="BC635" t="str">
        <f t="shared" si="245"/>
        <v/>
      </c>
      <c r="BD635" t="str">
        <f t="shared" si="246"/>
        <v/>
      </c>
      <c r="BE635" t="str">
        <f t="shared" si="247"/>
        <v/>
      </c>
      <c r="BF635" t="str">
        <f t="shared" si="248"/>
        <v/>
      </c>
      <c r="BG635" t="str">
        <f t="shared" si="249"/>
        <v/>
      </c>
      <c r="BH635" t="str">
        <f t="shared" si="250"/>
        <v/>
      </c>
      <c r="BI635" t="str">
        <f t="shared" si="251"/>
        <v/>
      </c>
      <c r="BJ635" t="str">
        <f t="shared" si="252"/>
        <v/>
      </c>
      <c r="BK635" t="str">
        <f t="shared" si="253"/>
        <v/>
      </c>
      <c r="BL635" t="str">
        <f t="shared" si="254"/>
        <v/>
      </c>
      <c r="BM635" t="str">
        <f t="shared" si="255"/>
        <v/>
      </c>
      <c r="BN635" t="str">
        <f t="shared" si="256"/>
        <v/>
      </c>
      <c r="BO635" t="str">
        <f t="shared" si="257"/>
        <v/>
      </c>
      <c r="BP635" t="str">
        <f t="shared" si="258"/>
        <v/>
      </c>
      <c r="BQ635" t="str">
        <f t="shared" si="259"/>
        <v/>
      </c>
      <c r="BR635" t="str">
        <f t="shared" si="260"/>
        <v/>
      </c>
      <c r="BS635" t="str">
        <f t="shared" si="261"/>
        <v/>
      </c>
      <c r="BT635" t="str">
        <f t="shared" si="262"/>
        <v/>
      </c>
      <c r="BU635" t="str">
        <f t="shared" si="263"/>
        <v/>
      </c>
    </row>
    <row r="636" spans="1:73">
      <c r="A636" s="1">
        <v>106143</v>
      </c>
      <c r="B636" t="str">
        <f>VLOOKUP($A636,[1]Table!$A$2:$N804,B$1,FALSE)</f>
        <v>R03BA05</v>
      </c>
      <c r="C636" t="str">
        <f>VLOOKUP($A636,[1]Table!$A$2:$N804,C$1,FALSE)</f>
        <v>MIDDELEN BIJ ASTMA/COPD</v>
      </c>
      <c r="D636" t="str">
        <f>VLOOKUP($A636,[1]Table!$A$2:$N804,D$1,FALSE)</f>
        <v>OVERIGE MIDDELEN BIJ ASTMA/COPD VOOR INHALATIE</v>
      </c>
      <c r="E636" t="str">
        <f>VLOOKUP($A636,[1]Table!$A$2:$N804,E$1,FALSE)</f>
        <v>FLUTICASON</v>
      </c>
      <c r="F636" t="str">
        <f>VLOOKUP($A636,[1]Table!$A$2:$N804,F$1,FALSE)</f>
        <v>FLIXOTIDE  500 INHVLST 0,25MG/ML NEBULE 2 ML</v>
      </c>
      <c r="G636" t="str">
        <f>VLOOKUP($A636,[1]Table!$A$2:$N804,G$1,FALSE)</f>
        <v>FLUTICASON 0,25MG/ML VERNEV</v>
      </c>
      <c r="H636" t="str">
        <f>VLOOKUP($A636,[1]Table!$A$2:$N804,H$1,FALSE)</f>
        <v>vernevelvloeistof</v>
      </c>
      <c r="I636" t="str">
        <f>VLOOKUP($A636,[1]Table!$A$2:$N804,I$1,FALSE)</f>
        <v>inh</v>
      </c>
      <c r="J636">
        <f>VLOOKUP($A636,[1]Table!$A$2:$N804,J$1,FALSE)</f>
        <v>0.25</v>
      </c>
      <c r="K636" t="str">
        <f>VLOOKUP($A636,[1]Table!$A$2:$N804,K$1,FALSE)</f>
        <v>mg/ml</v>
      </c>
      <c r="L636">
        <f>VLOOKUP($A636,[1]Table!$A$2:$N804,L$1,FALSE)</f>
        <v>0.25</v>
      </c>
      <c r="M636" t="str">
        <f>VLOOKUP($A636,[1]Table!$A$2:$N804,M$1,FALSE)</f>
        <v>mg</v>
      </c>
      <c r="N636" t="str">
        <f>VLOOKUP($A636,[1]Table!$A$2:$N804,N$1,FALSE)</f>
        <v>Astma, verminderen bronchiale hyperreactiviteit||Acute astma aanval</v>
      </c>
      <c r="O636" t="str">
        <f>ConcatenateRange(AZ636:BU636,"||")</f>
        <v/>
      </c>
      <c r="AZ636" t="str">
        <f t="shared" si="242"/>
        <v/>
      </c>
      <c r="BA636" t="str">
        <f t="shared" si="243"/>
        <v/>
      </c>
      <c r="BB636" t="str">
        <f t="shared" si="244"/>
        <v/>
      </c>
      <c r="BC636" t="str">
        <f t="shared" si="245"/>
        <v/>
      </c>
      <c r="BD636" t="str">
        <f t="shared" si="246"/>
        <v/>
      </c>
      <c r="BE636" t="str">
        <f t="shared" si="247"/>
        <v/>
      </c>
      <c r="BF636" t="str">
        <f t="shared" si="248"/>
        <v/>
      </c>
      <c r="BG636" t="str">
        <f t="shared" si="249"/>
        <v/>
      </c>
      <c r="BH636" t="str">
        <f t="shared" si="250"/>
        <v/>
      </c>
      <c r="BI636" t="str">
        <f t="shared" si="251"/>
        <v/>
      </c>
      <c r="BJ636" t="str">
        <f t="shared" si="252"/>
        <v/>
      </c>
      <c r="BK636" t="str">
        <f t="shared" si="253"/>
        <v/>
      </c>
      <c r="BL636" t="str">
        <f t="shared" si="254"/>
        <v/>
      </c>
      <c r="BM636" t="str">
        <f t="shared" si="255"/>
        <v/>
      </c>
      <c r="BN636" t="str">
        <f t="shared" si="256"/>
        <v/>
      </c>
      <c r="BO636" t="str">
        <f t="shared" si="257"/>
        <v/>
      </c>
      <c r="BP636" t="str">
        <f t="shared" si="258"/>
        <v/>
      </c>
      <c r="BQ636" t="str">
        <f t="shared" si="259"/>
        <v/>
      </c>
      <c r="BR636" t="str">
        <f t="shared" si="260"/>
        <v/>
      </c>
      <c r="BS636" t="str">
        <f t="shared" si="261"/>
        <v/>
      </c>
      <c r="BT636" t="str">
        <f t="shared" si="262"/>
        <v/>
      </c>
      <c r="BU636" t="str">
        <f t="shared" si="263"/>
        <v/>
      </c>
    </row>
    <row r="637" spans="1:73">
      <c r="A637" s="1">
        <v>106151</v>
      </c>
      <c r="B637" t="str">
        <f>VLOOKUP($A637,[1]Table!$A$2:$N805,B$1,FALSE)</f>
        <v>R03BA05</v>
      </c>
      <c r="C637" t="str">
        <f>VLOOKUP($A637,[1]Table!$A$2:$N805,C$1,FALSE)</f>
        <v>MIDDELEN BIJ ASTMA/COPD</v>
      </c>
      <c r="D637" t="str">
        <f>VLOOKUP($A637,[1]Table!$A$2:$N805,D$1,FALSE)</f>
        <v>OVERIGE MIDDELEN BIJ ASTMA/COPD VOOR INHALATIE</v>
      </c>
      <c r="E637" t="str">
        <f>VLOOKUP($A637,[1]Table!$A$2:$N805,E$1,FALSE)</f>
        <v>FLUTICASON</v>
      </c>
      <c r="F637" t="str">
        <f>VLOOKUP($A637,[1]Table!$A$2:$N805,F$1,FALSE)</f>
        <v>FLIXOTIDE 2000 INHVLST 1 MG/ML NEBULE 2 ML</v>
      </c>
      <c r="G637" t="str">
        <f>VLOOKUP($A637,[1]Table!$A$2:$N805,G$1,FALSE)</f>
        <v>FLUTICASON 1MG/ML VERNEVELV</v>
      </c>
      <c r="H637" t="str">
        <f>VLOOKUP($A637,[1]Table!$A$2:$N805,H$1,FALSE)</f>
        <v>vernevelvloeistof</v>
      </c>
      <c r="I637" t="str">
        <f>VLOOKUP($A637,[1]Table!$A$2:$N805,I$1,FALSE)</f>
        <v>inh</v>
      </c>
      <c r="J637">
        <f>VLOOKUP($A637,[1]Table!$A$2:$N805,J$1,FALSE)</f>
        <v>1</v>
      </c>
      <c r="K637" t="str">
        <f>VLOOKUP($A637,[1]Table!$A$2:$N805,K$1,FALSE)</f>
        <v>mg/ml</v>
      </c>
      <c r="L637">
        <f>VLOOKUP($A637,[1]Table!$A$2:$N805,L$1,FALSE)</f>
        <v>1</v>
      </c>
      <c r="M637" t="str">
        <f>VLOOKUP($A637,[1]Table!$A$2:$N805,M$1,FALSE)</f>
        <v>mg</v>
      </c>
      <c r="N637" t="str">
        <f>VLOOKUP($A637,[1]Table!$A$2:$N805,N$1,FALSE)</f>
        <v>Astma, verminderen bronchiale hyperreactiviteit||Acute astma aanval</v>
      </c>
      <c r="O637" t="str">
        <f>ConcatenateRange(AZ637:BU637,"||")</f>
        <v/>
      </c>
      <c r="AZ637" t="str">
        <f t="shared" si="242"/>
        <v/>
      </c>
      <c r="BA637" t="str">
        <f t="shared" si="243"/>
        <v/>
      </c>
      <c r="BB637" t="str">
        <f t="shared" si="244"/>
        <v/>
      </c>
      <c r="BC637" t="str">
        <f t="shared" si="245"/>
        <v/>
      </c>
      <c r="BD637" t="str">
        <f t="shared" si="246"/>
        <v/>
      </c>
      <c r="BE637" t="str">
        <f t="shared" si="247"/>
        <v/>
      </c>
      <c r="BF637" t="str">
        <f t="shared" si="248"/>
        <v/>
      </c>
      <c r="BG637" t="str">
        <f t="shared" si="249"/>
        <v/>
      </c>
      <c r="BH637" t="str">
        <f t="shared" si="250"/>
        <v/>
      </c>
      <c r="BI637" t="str">
        <f t="shared" si="251"/>
        <v/>
      </c>
      <c r="BJ637" t="str">
        <f t="shared" si="252"/>
        <v/>
      </c>
      <c r="BK637" t="str">
        <f t="shared" si="253"/>
        <v/>
      </c>
      <c r="BL637" t="str">
        <f t="shared" si="254"/>
        <v/>
      </c>
      <c r="BM637" t="str">
        <f t="shared" si="255"/>
        <v/>
      </c>
      <c r="BN637" t="str">
        <f t="shared" si="256"/>
        <v/>
      </c>
      <c r="BO637" t="str">
        <f t="shared" si="257"/>
        <v/>
      </c>
      <c r="BP637" t="str">
        <f t="shared" si="258"/>
        <v/>
      </c>
      <c r="BQ637" t="str">
        <f t="shared" si="259"/>
        <v/>
      </c>
      <c r="BR637" t="str">
        <f t="shared" si="260"/>
        <v/>
      </c>
      <c r="BS637" t="str">
        <f t="shared" si="261"/>
        <v/>
      </c>
      <c r="BT637" t="str">
        <f t="shared" si="262"/>
        <v/>
      </c>
      <c r="BU637" t="str">
        <f t="shared" si="263"/>
        <v/>
      </c>
    </row>
    <row r="638" spans="1:73">
      <c r="A638" s="1">
        <v>92029</v>
      </c>
      <c r="B638" t="str">
        <f>VLOOKUP($A638,[1]Table!$A$2:$N806,B$1,FALSE)</f>
        <v>D07AC17</v>
      </c>
      <c r="C638" t="str">
        <f>VLOOKUP($A638,[1]Table!$A$2:$N806,C$1,FALSE)</f>
        <v>DERMATOLOGISCHE CORTICOSTEROIDEN</v>
      </c>
      <c r="D638" t="str">
        <f>VLOOKUP($A638,[1]Table!$A$2:$N806,D$1,FALSE)</f>
        <v>ENKELVOUDIGE CORTICOSTEROIDEN</v>
      </c>
      <c r="E638" t="str">
        <f>VLOOKUP($A638,[1]Table!$A$2:$N806,E$1,FALSE)</f>
        <v>FLUTICASON</v>
      </c>
      <c r="F638" t="str">
        <f>VLOOKUP($A638,[1]Table!$A$2:$N806,F$1,FALSE)</f>
        <v>CUTIVATE 0.05 MG/G ZALF HYDROFOOB 100G</v>
      </c>
      <c r="G638" t="str">
        <f>VLOOKUP($A638,[1]Table!$A$2:$N806,G$1,FALSE)</f>
        <v>FLUTICASON 0,05MG/G ZALF</v>
      </c>
      <c r="H638" t="str">
        <f>VLOOKUP($A638,[1]Table!$A$2:$N806,H$1,FALSE)</f>
        <v>zalf</v>
      </c>
      <c r="I638" t="str">
        <f>VLOOKUP($A638,[1]Table!$A$2:$N806,I$1,FALSE)</f>
        <v>cutaan</v>
      </c>
      <c r="J638">
        <f>VLOOKUP($A638,[1]Table!$A$2:$N806,J$1,FALSE)</f>
        <v>0.05</v>
      </c>
      <c r="K638" t="str">
        <f>VLOOKUP($A638,[1]Table!$A$2:$N806,K$1,FALSE)</f>
        <v>mg/gr</v>
      </c>
      <c r="L638">
        <f>VLOOKUP($A638,[1]Table!$A$2:$N806,L$1,FALSE)</f>
        <v>0.05</v>
      </c>
      <c r="M638" t="str">
        <f>VLOOKUP($A638,[1]Table!$A$2:$N806,M$1,FALSE)</f>
        <v>mg</v>
      </c>
      <c r="N638" t="str">
        <f>VLOOKUP($A638,[1]Table!$A$2:$N806,N$1,FALSE)</f>
        <v>Constitutioneel eczeem||Lichen Sclerosus</v>
      </c>
      <c r="O638" t="str">
        <f>ConcatenateRange(AZ638:BU638,"||")</f>
        <v/>
      </c>
      <c r="AZ638" t="str">
        <f t="shared" si="242"/>
        <v/>
      </c>
      <c r="BA638" t="str">
        <f t="shared" si="243"/>
        <v/>
      </c>
      <c r="BB638" t="str">
        <f t="shared" si="244"/>
        <v/>
      </c>
      <c r="BC638" t="str">
        <f t="shared" si="245"/>
        <v/>
      </c>
      <c r="BD638" t="str">
        <f t="shared" si="246"/>
        <v/>
      </c>
      <c r="BE638" t="str">
        <f t="shared" si="247"/>
        <v/>
      </c>
      <c r="BF638" t="str">
        <f t="shared" si="248"/>
        <v/>
      </c>
      <c r="BG638" t="str">
        <f t="shared" si="249"/>
        <v/>
      </c>
      <c r="BH638" t="str">
        <f t="shared" si="250"/>
        <v/>
      </c>
      <c r="BI638" t="str">
        <f t="shared" si="251"/>
        <v/>
      </c>
      <c r="BJ638" t="str">
        <f t="shared" si="252"/>
        <v/>
      </c>
      <c r="BK638" t="str">
        <f t="shared" si="253"/>
        <v/>
      </c>
      <c r="BL638" t="str">
        <f t="shared" si="254"/>
        <v/>
      </c>
      <c r="BM638" t="str">
        <f t="shared" si="255"/>
        <v/>
      </c>
      <c r="BN638" t="str">
        <f t="shared" si="256"/>
        <v/>
      </c>
      <c r="BO638" t="str">
        <f t="shared" si="257"/>
        <v/>
      </c>
      <c r="BP638" t="str">
        <f t="shared" si="258"/>
        <v/>
      </c>
      <c r="BQ638" t="str">
        <f t="shared" si="259"/>
        <v/>
      </c>
      <c r="BR638" t="str">
        <f t="shared" si="260"/>
        <v/>
      </c>
      <c r="BS638" t="str">
        <f t="shared" si="261"/>
        <v/>
      </c>
      <c r="BT638" t="str">
        <f t="shared" si="262"/>
        <v/>
      </c>
      <c r="BU638" t="str">
        <f t="shared" si="263"/>
        <v/>
      </c>
    </row>
    <row r="639" spans="1:73">
      <c r="A639" s="1">
        <v>96091</v>
      </c>
      <c r="B639" t="str">
        <f>VLOOKUP($A639,[1]Table!$A$2:$N807,B$1,FALSE)</f>
        <v>N06AB08</v>
      </c>
      <c r="C639" t="str">
        <f>VLOOKUP($A639,[1]Table!$A$2:$N807,C$1,FALSE)</f>
        <v>PSYCHOANALEPTICA</v>
      </c>
      <c r="D639" t="str">
        <f>VLOOKUP($A639,[1]Table!$A$2:$N807,D$1,FALSE)</f>
        <v>ANTIDEPRESSIVA</v>
      </c>
      <c r="E639" t="str">
        <f>VLOOKUP($A639,[1]Table!$A$2:$N807,E$1,FALSE)</f>
        <v>FLUVOXAMINE</v>
      </c>
      <c r="F639" t="str">
        <f>VLOOKUP($A639,[1]Table!$A$2:$N807,F$1,FALSE)</f>
        <v>FLUVOXAMINE MALEAAT 50 MG TABLET</v>
      </c>
      <c r="G639" t="str">
        <f>VLOOKUP($A639,[1]Table!$A$2:$N807,G$1,FALSE)</f>
        <v>FLUVOXAMINE 50MG TABLET</v>
      </c>
      <c r="H639" t="str">
        <f>VLOOKUP($A639,[1]Table!$A$2:$N807,H$1,FALSE)</f>
        <v>tablet</v>
      </c>
      <c r="I639" t="str">
        <f>VLOOKUP($A639,[1]Table!$A$2:$N807,I$1,FALSE)</f>
        <v>or</v>
      </c>
      <c r="J639">
        <f>VLOOKUP($A639,[1]Table!$A$2:$N807,J$1,FALSE)</f>
        <v>50</v>
      </c>
      <c r="K639" t="str">
        <f>VLOOKUP($A639,[1]Table!$A$2:$N807,K$1,FALSE)</f>
        <v>mg/stuk</v>
      </c>
      <c r="L639">
        <f>VLOOKUP($A639,[1]Table!$A$2:$N807,L$1,FALSE)</f>
        <v>25</v>
      </c>
      <c r="M639" t="str">
        <f>VLOOKUP($A639,[1]Table!$A$2:$N807,M$1,FALSE)</f>
        <v>mg</v>
      </c>
      <c r="N639" t="str">
        <f>VLOOKUP($A639,[1]Table!$A$2:$N807,N$1,FALSE)</f>
        <v>Obsessief compulsieve stoornis, angststoornissen (sociale fobie, separatiestoornis en/of gegeneraliseerde angststoornis)</v>
      </c>
      <c r="O639" t="str">
        <f>ConcatenateRange(AZ639:BU639,"||")</f>
        <v/>
      </c>
      <c r="AZ639" t="str">
        <f t="shared" si="242"/>
        <v/>
      </c>
      <c r="BA639" t="str">
        <f t="shared" si="243"/>
        <v/>
      </c>
      <c r="BB639" t="str">
        <f t="shared" si="244"/>
        <v/>
      </c>
      <c r="BC639" t="str">
        <f t="shared" si="245"/>
        <v/>
      </c>
      <c r="BD639" t="str">
        <f t="shared" si="246"/>
        <v/>
      </c>
      <c r="BE639" t="str">
        <f t="shared" si="247"/>
        <v/>
      </c>
      <c r="BF639" t="str">
        <f t="shared" si="248"/>
        <v/>
      </c>
      <c r="BG639" t="str">
        <f t="shared" si="249"/>
        <v/>
      </c>
      <c r="BH639" t="str">
        <f t="shared" si="250"/>
        <v/>
      </c>
      <c r="BI639" t="str">
        <f t="shared" si="251"/>
        <v/>
      </c>
      <c r="BJ639" t="str">
        <f t="shared" si="252"/>
        <v/>
      </c>
      <c r="BK639" t="str">
        <f t="shared" si="253"/>
        <v/>
      </c>
      <c r="BL639" t="str">
        <f t="shared" si="254"/>
        <v/>
      </c>
      <c r="BM639" t="str">
        <f t="shared" si="255"/>
        <v/>
      </c>
      <c r="BN639" t="str">
        <f t="shared" si="256"/>
        <v/>
      </c>
      <c r="BO639" t="str">
        <f t="shared" si="257"/>
        <v/>
      </c>
      <c r="BP639" t="str">
        <f t="shared" si="258"/>
        <v/>
      </c>
      <c r="BQ639" t="str">
        <f t="shared" si="259"/>
        <v/>
      </c>
      <c r="BR639" t="str">
        <f t="shared" si="260"/>
        <v/>
      </c>
      <c r="BS639" t="str">
        <f t="shared" si="261"/>
        <v/>
      </c>
      <c r="BT639" t="str">
        <f t="shared" si="262"/>
        <v/>
      </c>
      <c r="BU639" t="str">
        <f t="shared" si="263"/>
        <v/>
      </c>
    </row>
    <row r="640" spans="1:73">
      <c r="A640" s="1">
        <v>96105</v>
      </c>
      <c r="B640" t="str">
        <f>VLOOKUP($A640,[1]Table!$A$2:$N808,B$1,FALSE)</f>
        <v>N06AB08</v>
      </c>
      <c r="C640" t="str">
        <f>VLOOKUP($A640,[1]Table!$A$2:$N808,C$1,FALSE)</f>
        <v>PSYCHOANALEPTICA</v>
      </c>
      <c r="D640" t="str">
        <f>VLOOKUP($A640,[1]Table!$A$2:$N808,D$1,FALSE)</f>
        <v>ANTIDEPRESSIVA</v>
      </c>
      <c r="E640" t="str">
        <f>VLOOKUP($A640,[1]Table!$A$2:$N808,E$1,FALSE)</f>
        <v>FLUVOXAMINE</v>
      </c>
      <c r="F640" t="str">
        <f>VLOOKUP($A640,[1]Table!$A$2:$N808,F$1,FALSE)</f>
        <v>FLUVOXAMINE MALEAAT TABLET 100MG</v>
      </c>
      <c r="G640" t="str">
        <f>VLOOKUP($A640,[1]Table!$A$2:$N808,G$1,FALSE)</f>
        <v>FLUVOXAMINE 100MG TABLET</v>
      </c>
      <c r="H640" t="str">
        <f>VLOOKUP($A640,[1]Table!$A$2:$N808,H$1,FALSE)</f>
        <v>tablet</v>
      </c>
      <c r="I640" t="str">
        <f>VLOOKUP($A640,[1]Table!$A$2:$N808,I$1,FALSE)</f>
        <v>or</v>
      </c>
      <c r="J640">
        <f>VLOOKUP($A640,[1]Table!$A$2:$N808,J$1,FALSE)</f>
        <v>100</v>
      </c>
      <c r="K640" t="str">
        <f>VLOOKUP($A640,[1]Table!$A$2:$N808,K$1,FALSE)</f>
        <v>mg/stuk</v>
      </c>
      <c r="L640">
        <f>VLOOKUP($A640,[1]Table!$A$2:$N808,L$1,FALSE)</f>
        <v>100</v>
      </c>
      <c r="M640" t="str">
        <f>VLOOKUP($A640,[1]Table!$A$2:$N808,M$1,FALSE)</f>
        <v>mg</v>
      </c>
      <c r="N640" t="str">
        <f>VLOOKUP($A640,[1]Table!$A$2:$N808,N$1,FALSE)</f>
        <v>Obsessief compulsieve stoornis, angststoornissen (sociale fobie, separatiestoornis en/of gegeneraliseerde angststoornis)</v>
      </c>
      <c r="O640" t="str">
        <f>ConcatenateRange(AZ640:BU640,"||")</f>
        <v/>
      </c>
      <c r="AZ640" t="str">
        <f t="shared" si="242"/>
        <v/>
      </c>
      <c r="BA640" t="str">
        <f t="shared" si="243"/>
        <v/>
      </c>
      <c r="BB640" t="str">
        <f t="shared" si="244"/>
        <v/>
      </c>
      <c r="BC640" t="str">
        <f t="shared" si="245"/>
        <v/>
      </c>
      <c r="BD640" t="str">
        <f t="shared" si="246"/>
        <v/>
      </c>
      <c r="BE640" t="str">
        <f t="shared" si="247"/>
        <v/>
      </c>
      <c r="BF640" t="str">
        <f t="shared" si="248"/>
        <v/>
      </c>
      <c r="BG640" t="str">
        <f t="shared" si="249"/>
        <v/>
      </c>
      <c r="BH640" t="str">
        <f t="shared" si="250"/>
        <v/>
      </c>
      <c r="BI640" t="str">
        <f t="shared" si="251"/>
        <v/>
      </c>
      <c r="BJ640" t="str">
        <f t="shared" si="252"/>
        <v/>
      </c>
      <c r="BK640" t="str">
        <f t="shared" si="253"/>
        <v/>
      </c>
      <c r="BL640" t="str">
        <f t="shared" si="254"/>
        <v/>
      </c>
      <c r="BM640" t="str">
        <f t="shared" si="255"/>
        <v/>
      </c>
      <c r="BN640" t="str">
        <f t="shared" si="256"/>
        <v/>
      </c>
      <c r="BO640" t="str">
        <f t="shared" si="257"/>
        <v/>
      </c>
      <c r="BP640" t="str">
        <f t="shared" si="258"/>
        <v/>
      </c>
      <c r="BQ640" t="str">
        <f t="shared" si="259"/>
        <v/>
      </c>
      <c r="BR640" t="str">
        <f t="shared" si="260"/>
        <v/>
      </c>
      <c r="BS640" t="str">
        <f t="shared" si="261"/>
        <v/>
      </c>
      <c r="BT640" t="str">
        <f t="shared" si="262"/>
        <v/>
      </c>
      <c r="BU640" t="str">
        <f t="shared" si="263"/>
        <v/>
      </c>
    </row>
    <row r="641" spans="1:73">
      <c r="A641" s="1">
        <v>102695</v>
      </c>
      <c r="B641" t="str">
        <f>VLOOKUP($A641,[1]Table!$A$2:$N809,B$1,FALSE)</f>
        <v>V03AF03</v>
      </c>
      <c r="C641" t="str">
        <f>VLOOKUP($A641,[1]Table!$A$2:$N809,C$1,FALSE)</f>
        <v>ALLE OVERIGE THERAPEUTISCHE MIDDELEN</v>
      </c>
      <c r="D641" t="str">
        <f>VLOOKUP($A641,[1]Table!$A$2:$N809,D$1,FALSE)</f>
        <v>ALLE OVERIGE THERAPEUTISCHE MIDDELEN</v>
      </c>
      <c r="E641" t="str">
        <f>VLOOKUP($A641,[1]Table!$A$2:$N809,E$1,FALSE)</f>
        <v>FOLINEZUUR</v>
      </c>
      <c r="F641" t="str">
        <f>VLOOKUP($A641,[1]Table!$A$2:$N809,F$1,FALSE)</f>
        <v>FOLIKABI 10 MG/ML INJVLST FLACON 20 ML</v>
      </c>
      <c r="G641" t="str">
        <f>VLOOKUP($A641,[1]Table!$A$2:$N809,G$1,FALSE)</f>
        <v>FOLINEZUUR 10MG/ML INJVLST</v>
      </c>
      <c r="H641" t="str">
        <f>VLOOKUP($A641,[1]Table!$A$2:$N809,H$1,FALSE)</f>
        <v>injectievloeistof</v>
      </c>
      <c r="I641" t="str">
        <f>VLOOKUP($A641,[1]Table!$A$2:$N809,I$1,FALSE)</f>
        <v>im||iv</v>
      </c>
      <c r="J641">
        <f>VLOOKUP($A641,[1]Table!$A$2:$N809,J$1,FALSE)</f>
        <v>12.707000000000001</v>
      </c>
      <c r="K641" t="str">
        <f>VLOOKUP($A641,[1]Table!$A$2:$N809,K$1,FALSE)</f>
        <v>mg/ml</v>
      </c>
      <c r="L641">
        <f>VLOOKUP($A641,[1]Table!$A$2:$N809,L$1,FALSE)</f>
        <v>12.707000000000001</v>
      </c>
      <c r="M641" t="str">
        <f>VLOOKUP($A641,[1]Table!$A$2:$N809,M$1,FALSE)</f>
        <v>mg</v>
      </c>
      <c r="N641" t="str">
        <f>VLOOKUP($A641,[1]Table!$A$2:$N809,N$1,FALSE)</f>
        <v>HD-MTX rescue||Toxoplasmose||Epileptische encephalopathie</v>
      </c>
      <c r="O641" t="str">
        <f>ConcatenateRange(AZ641:BU641,"||")</f>
        <v/>
      </c>
      <c r="AZ641" t="str">
        <f t="shared" si="242"/>
        <v/>
      </c>
      <c r="BA641" t="str">
        <f t="shared" si="243"/>
        <v/>
      </c>
      <c r="BB641" t="str">
        <f t="shared" si="244"/>
        <v/>
      </c>
      <c r="BC641" t="str">
        <f t="shared" si="245"/>
        <v/>
      </c>
      <c r="BD641" t="str">
        <f t="shared" si="246"/>
        <v/>
      </c>
      <c r="BE641" t="str">
        <f t="shared" si="247"/>
        <v/>
      </c>
      <c r="BF641" t="str">
        <f t="shared" si="248"/>
        <v/>
      </c>
      <c r="BG641" t="str">
        <f t="shared" si="249"/>
        <v/>
      </c>
      <c r="BH641" t="str">
        <f t="shared" si="250"/>
        <v/>
      </c>
      <c r="BI641" t="str">
        <f t="shared" si="251"/>
        <v/>
      </c>
      <c r="BJ641" t="str">
        <f t="shared" si="252"/>
        <v/>
      </c>
      <c r="BK641" t="str">
        <f t="shared" si="253"/>
        <v/>
      </c>
      <c r="BL641" t="str">
        <f t="shared" si="254"/>
        <v/>
      </c>
      <c r="BM641" t="str">
        <f t="shared" si="255"/>
        <v/>
      </c>
      <c r="BN641" t="str">
        <f t="shared" si="256"/>
        <v/>
      </c>
      <c r="BO641" t="str">
        <f t="shared" si="257"/>
        <v/>
      </c>
      <c r="BP641" t="str">
        <f t="shared" si="258"/>
        <v/>
      </c>
      <c r="BQ641" t="str">
        <f t="shared" si="259"/>
        <v/>
      </c>
      <c r="BR641" t="str">
        <f t="shared" si="260"/>
        <v/>
      </c>
      <c r="BS641" t="str">
        <f t="shared" si="261"/>
        <v/>
      </c>
      <c r="BT641" t="str">
        <f t="shared" si="262"/>
        <v/>
      </c>
      <c r="BU641" t="str">
        <f t="shared" si="263"/>
        <v/>
      </c>
    </row>
    <row r="642" spans="1:73">
      <c r="A642" s="1">
        <v>16926</v>
      </c>
      <c r="B642" t="str">
        <f>VLOOKUP($A642,[1]Table!$A$2:$N811,B$1,FALSE)</f>
        <v>V03AF03</v>
      </c>
      <c r="C642" t="str">
        <f>VLOOKUP($A642,[1]Table!$A$2:$N811,C$1,FALSE)</f>
        <v>ALLE OVERIGE THERAPEUTISCHE MIDDELEN</v>
      </c>
      <c r="D642" t="str">
        <f>VLOOKUP($A642,[1]Table!$A$2:$N811,D$1,FALSE)</f>
        <v>ALLE OVERIGE THERAPEUTISCHE MIDDELEN</v>
      </c>
      <c r="E642" t="str">
        <f>VLOOKUP($A642,[1]Table!$A$2:$N811,E$1,FALSE)</f>
        <v>FOLINEZUUR</v>
      </c>
      <c r="F642" t="str">
        <f>VLOOKUP($A642,[1]Table!$A$2:$N811,F$1,FALSE)</f>
        <v>RESCUVOLIN 15 MG TABLET</v>
      </c>
      <c r="G642" t="str">
        <f>VLOOKUP($A642,[1]Table!$A$2:$N811,G$1,FALSE)</f>
        <v>FOLINEZUUR 15MG TABLET</v>
      </c>
      <c r="H642" t="str">
        <f>VLOOKUP($A642,[1]Table!$A$2:$N811,H$1,FALSE)</f>
        <v>tablet</v>
      </c>
      <c r="I642" t="str">
        <f>VLOOKUP($A642,[1]Table!$A$2:$N811,I$1,FALSE)</f>
        <v>or</v>
      </c>
      <c r="J642">
        <f>VLOOKUP($A642,[1]Table!$A$2:$N811,J$1,FALSE)</f>
        <v>19.097999999999999</v>
      </c>
      <c r="K642" t="str">
        <f>VLOOKUP($A642,[1]Table!$A$2:$N811,K$1,FALSE)</f>
        <v>mg/stuk</v>
      </c>
      <c r="L642">
        <f>VLOOKUP($A642,[1]Table!$A$2:$N811,L$1,FALSE)</f>
        <v>9.5489999999999995</v>
      </c>
      <c r="M642" t="str">
        <f>VLOOKUP($A642,[1]Table!$A$2:$N811,M$1,FALSE)</f>
        <v>mg</v>
      </c>
      <c r="N642" t="str">
        <f>VLOOKUP($A642,[1]Table!$A$2:$N811,N$1,FALSE)</f>
        <v>HD-MTX rescue||Toxoplasmose||Epileptische encephalopathie</v>
      </c>
      <c r="O642" t="str">
        <f>ConcatenateRange(AZ642:BU642,"||")</f>
        <v/>
      </c>
      <c r="AZ642" t="str">
        <f t="shared" si="242"/>
        <v/>
      </c>
      <c r="BA642" t="str">
        <f t="shared" si="243"/>
        <v/>
      </c>
      <c r="BB642" t="str">
        <f t="shared" si="244"/>
        <v/>
      </c>
      <c r="BC642" t="str">
        <f t="shared" si="245"/>
        <v/>
      </c>
      <c r="BD642" t="str">
        <f t="shared" si="246"/>
        <v/>
      </c>
      <c r="BE642" t="str">
        <f t="shared" si="247"/>
        <v/>
      </c>
      <c r="BF642" t="str">
        <f t="shared" si="248"/>
        <v/>
      </c>
      <c r="BG642" t="str">
        <f t="shared" si="249"/>
        <v/>
      </c>
      <c r="BH642" t="str">
        <f t="shared" si="250"/>
        <v/>
      </c>
      <c r="BI642" t="str">
        <f t="shared" si="251"/>
        <v/>
      </c>
      <c r="BJ642" t="str">
        <f t="shared" si="252"/>
        <v/>
      </c>
      <c r="BK642" t="str">
        <f t="shared" si="253"/>
        <v/>
      </c>
      <c r="BL642" t="str">
        <f t="shared" si="254"/>
        <v/>
      </c>
      <c r="BM642" t="str">
        <f t="shared" si="255"/>
        <v/>
      </c>
      <c r="BN642" t="str">
        <f t="shared" si="256"/>
        <v/>
      </c>
      <c r="BO642" t="str">
        <f t="shared" si="257"/>
        <v/>
      </c>
      <c r="BP642" t="str">
        <f t="shared" si="258"/>
        <v/>
      </c>
      <c r="BQ642" t="str">
        <f t="shared" si="259"/>
        <v/>
      </c>
      <c r="BR642" t="str">
        <f t="shared" si="260"/>
        <v/>
      </c>
      <c r="BS642" t="str">
        <f t="shared" si="261"/>
        <v/>
      </c>
      <c r="BT642" t="str">
        <f t="shared" si="262"/>
        <v/>
      </c>
      <c r="BU642" t="str">
        <f t="shared" si="263"/>
        <v/>
      </c>
    </row>
    <row r="643" spans="1:73">
      <c r="A643" s="1">
        <v>87769</v>
      </c>
      <c r="B643" t="str">
        <f>VLOOKUP($A643,[1]Table!$A$2:$N812,B$1,FALSE)</f>
        <v>B03BB01</v>
      </c>
      <c r="C643" t="str">
        <f>VLOOKUP($A643,[1]Table!$A$2:$N812,C$1,FALSE)</f>
        <v>MIDDELEN BIJ ANEMIE</v>
      </c>
      <c r="D643" t="str">
        <f>VLOOKUP($A643,[1]Table!$A$2:$N812,D$1,FALSE)</f>
        <v>VITAMINE B12 EN FOLIUMZUUR</v>
      </c>
      <c r="E643" t="str">
        <f>VLOOKUP($A643,[1]Table!$A$2:$N812,E$1,FALSE)</f>
        <v>FOLIUMZUUR</v>
      </c>
      <c r="F643" t="str">
        <f>VLOOKUP($A643,[1]Table!$A$2:$N812,F$1,FALSE)</f>
        <v>FOLIUMZUUR 0.5 MG TABLET</v>
      </c>
      <c r="G643" t="str">
        <f>VLOOKUP($A643,[1]Table!$A$2:$N812,G$1,FALSE)</f>
        <v>FOLIUMZUUR 0,5MG TABLET</v>
      </c>
      <c r="H643" t="str">
        <f>VLOOKUP($A643,[1]Table!$A$2:$N812,H$1,FALSE)</f>
        <v>tablet</v>
      </c>
      <c r="I643" t="str">
        <f>VLOOKUP($A643,[1]Table!$A$2:$N812,I$1,FALSE)</f>
        <v>or</v>
      </c>
      <c r="J643">
        <f>VLOOKUP($A643,[1]Table!$A$2:$N812,J$1,FALSE)</f>
        <v>0.5</v>
      </c>
      <c r="K643" t="str">
        <f>VLOOKUP($A643,[1]Table!$A$2:$N812,K$1,FALSE)</f>
        <v>mg/stuk</v>
      </c>
      <c r="L643">
        <f>VLOOKUP($A643,[1]Table!$A$2:$N812,L$1,FALSE)</f>
        <v>0.25</v>
      </c>
      <c r="M643" t="str">
        <f>VLOOKUP($A643,[1]Table!$A$2:$N812,M$1,FALSE)</f>
        <v>mg</v>
      </c>
      <c r="N643" t="str">
        <f>VLOOKUP($A643,[1]Table!$A$2:$N812,N$1,FALSE)</f>
        <v>Megaloblastaire anemie||Foliumzuur suppletie bij chronische hemolyse||Matige tot ernstige hemolyse tgv sferocytose||Homocysteine metabolisme stoornissen</v>
      </c>
      <c r="O643" t="str">
        <f>ConcatenateRange(AZ643:BU643,"||")</f>
        <v/>
      </c>
      <c r="AZ643" t="str">
        <f t="shared" si="242"/>
        <v/>
      </c>
      <c r="BA643" t="str">
        <f t="shared" si="243"/>
        <v/>
      </c>
      <c r="BB643" t="str">
        <f t="shared" si="244"/>
        <v/>
      </c>
      <c r="BC643" t="str">
        <f t="shared" si="245"/>
        <v/>
      </c>
      <c r="BD643" t="str">
        <f t="shared" si="246"/>
        <v/>
      </c>
      <c r="BE643" t="str">
        <f t="shared" si="247"/>
        <v/>
      </c>
      <c r="BF643" t="str">
        <f t="shared" si="248"/>
        <v/>
      </c>
      <c r="BG643" t="str">
        <f t="shared" si="249"/>
        <v/>
      </c>
      <c r="BH643" t="str">
        <f t="shared" si="250"/>
        <v/>
      </c>
      <c r="BI643" t="str">
        <f t="shared" si="251"/>
        <v/>
      </c>
      <c r="BJ643" t="str">
        <f t="shared" si="252"/>
        <v/>
      </c>
      <c r="BK643" t="str">
        <f t="shared" si="253"/>
        <v/>
      </c>
      <c r="BL643" t="str">
        <f t="shared" si="254"/>
        <v/>
      </c>
      <c r="BM643" t="str">
        <f t="shared" si="255"/>
        <v/>
      </c>
      <c r="BN643" t="str">
        <f t="shared" si="256"/>
        <v/>
      </c>
      <c r="BO643" t="str">
        <f t="shared" si="257"/>
        <v/>
      </c>
      <c r="BP643" t="str">
        <f t="shared" si="258"/>
        <v/>
      </c>
      <c r="BQ643" t="str">
        <f t="shared" si="259"/>
        <v/>
      </c>
      <c r="BR643" t="str">
        <f t="shared" si="260"/>
        <v/>
      </c>
      <c r="BS643" t="str">
        <f t="shared" si="261"/>
        <v/>
      </c>
      <c r="BT643" t="str">
        <f t="shared" si="262"/>
        <v/>
      </c>
      <c r="BU643" t="str">
        <f t="shared" si="263"/>
        <v/>
      </c>
    </row>
    <row r="644" spans="1:73">
      <c r="A644" s="1">
        <v>3530</v>
      </c>
      <c r="B644" t="str">
        <f>VLOOKUP($A644,[1]Table!$A$2:$N813,B$1,FALSE)</f>
        <v>B03BB01</v>
      </c>
      <c r="C644" t="str">
        <f>VLOOKUP($A644,[1]Table!$A$2:$N813,C$1,FALSE)</f>
        <v>MIDDELEN BIJ ANEMIE</v>
      </c>
      <c r="D644" t="str">
        <f>VLOOKUP($A644,[1]Table!$A$2:$N813,D$1,FALSE)</f>
        <v>VITAMINE B12 EN FOLIUMZUUR</v>
      </c>
      <c r="E644" t="str">
        <f>VLOOKUP($A644,[1]Table!$A$2:$N813,E$1,FALSE)</f>
        <v>FOLIUMZUUR</v>
      </c>
      <c r="F644" t="str">
        <f>VLOOKUP($A644,[1]Table!$A$2:$N813,F$1,FALSE)</f>
        <v>FOLIUMZUUR 5 MG TABLET</v>
      </c>
      <c r="G644" t="str">
        <f>VLOOKUP($A644,[1]Table!$A$2:$N813,G$1,FALSE)</f>
        <v>FOLIUMZUUR 5MG TABLET</v>
      </c>
      <c r="H644" t="str">
        <f>VLOOKUP($A644,[1]Table!$A$2:$N813,H$1,FALSE)</f>
        <v>tablet</v>
      </c>
      <c r="I644" t="str">
        <f>VLOOKUP($A644,[1]Table!$A$2:$N813,I$1,FALSE)</f>
        <v>or</v>
      </c>
      <c r="J644">
        <f>VLOOKUP($A644,[1]Table!$A$2:$N813,J$1,FALSE)</f>
        <v>5</v>
      </c>
      <c r="K644" t="str">
        <f>VLOOKUP($A644,[1]Table!$A$2:$N813,K$1,FALSE)</f>
        <v>mg/stuk</v>
      </c>
      <c r="L644">
        <f>VLOOKUP($A644,[1]Table!$A$2:$N813,L$1,FALSE)</f>
        <v>5</v>
      </c>
      <c r="M644" t="str">
        <f>VLOOKUP($A644,[1]Table!$A$2:$N813,M$1,FALSE)</f>
        <v>mg</v>
      </c>
      <c r="N644" t="str">
        <f>VLOOKUP($A644,[1]Table!$A$2:$N813,N$1,FALSE)</f>
        <v>Megaloblastaire anemie||Foliumzuur suppletie bij chronische hemolyse||Matige tot ernstige hemolyse tgv sferocytose||Homocysteine metabolisme stoornissen</v>
      </c>
      <c r="O644" t="str">
        <f>ConcatenateRange(AZ644:BU644,"||")</f>
        <v/>
      </c>
      <c r="AZ644" t="str">
        <f t="shared" si="242"/>
        <v/>
      </c>
      <c r="BA644" t="str">
        <f t="shared" si="243"/>
        <v/>
      </c>
      <c r="BB644" t="str">
        <f t="shared" si="244"/>
        <v/>
      </c>
      <c r="BC644" t="str">
        <f t="shared" si="245"/>
        <v/>
      </c>
      <c r="BD644" t="str">
        <f t="shared" si="246"/>
        <v/>
      </c>
      <c r="BE644" t="str">
        <f t="shared" si="247"/>
        <v/>
      </c>
      <c r="BF644" t="str">
        <f t="shared" si="248"/>
        <v/>
      </c>
      <c r="BG644" t="str">
        <f t="shared" si="249"/>
        <v/>
      </c>
      <c r="BH644" t="str">
        <f t="shared" si="250"/>
        <v/>
      </c>
      <c r="BI644" t="str">
        <f t="shared" si="251"/>
        <v/>
      </c>
      <c r="BJ644" t="str">
        <f t="shared" si="252"/>
        <v/>
      </c>
      <c r="BK644" t="str">
        <f t="shared" si="253"/>
        <v/>
      </c>
      <c r="BL644" t="str">
        <f t="shared" si="254"/>
        <v/>
      </c>
      <c r="BM644" t="str">
        <f t="shared" si="255"/>
        <v/>
      </c>
      <c r="BN644" t="str">
        <f t="shared" si="256"/>
        <v/>
      </c>
      <c r="BO644" t="str">
        <f t="shared" si="257"/>
        <v/>
      </c>
      <c r="BP644" t="str">
        <f t="shared" si="258"/>
        <v/>
      </c>
      <c r="BQ644" t="str">
        <f t="shared" si="259"/>
        <v/>
      </c>
      <c r="BR644" t="str">
        <f t="shared" si="260"/>
        <v/>
      </c>
      <c r="BS644" t="str">
        <f t="shared" si="261"/>
        <v/>
      </c>
      <c r="BT644" t="str">
        <f t="shared" si="262"/>
        <v/>
      </c>
      <c r="BU644" t="str">
        <f t="shared" si="263"/>
        <v/>
      </c>
    </row>
    <row r="645" spans="1:73">
      <c r="A645" s="1">
        <v>87254</v>
      </c>
      <c r="B645" t="str">
        <f>VLOOKUP($A645,[1]Table!$A$2:$N814,B$1,FALSE)</f>
        <v>R03AC13</v>
      </c>
      <c r="C645" t="str">
        <f>VLOOKUP($A645,[1]Table!$A$2:$N814,C$1,FALSE)</f>
        <v>MIDDELEN BIJ ASTMA/COPD</v>
      </c>
      <c r="D645" t="str">
        <f>VLOOKUP($A645,[1]Table!$A$2:$N814,D$1,FALSE)</f>
        <v>SYMPATHICOMIMETICA VOOR INHALATIE</v>
      </c>
      <c r="E645" t="str">
        <f>VLOOKUP($A645,[1]Table!$A$2:$N814,E$1,FALSE)</f>
        <v>FORMOTEROL</v>
      </c>
      <c r="F645" t="str">
        <f>VLOOKUP($A645,[1]Table!$A$2:$N814,F$1,FALSE)</f>
        <v>ATIMOS 12 MICROG/DOSIS AEROSOL 100 DOSIS</v>
      </c>
      <c r="G645" t="str">
        <f>VLOOKUP($A645,[1]Table!$A$2:$N814,G$1,FALSE)</f>
        <v>FORMOTEROL 12UG/DO AEROSOL</v>
      </c>
      <c r="H645" t="str">
        <f>VLOOKUP($A645,[1]Table!$A$2:$N814,H$1,FALSE)</f>
        <v>aerosol</v>
      </c>
      <c r="I645" t="str">
        <f>VLOOKUP($A645,[1]Table!$A$2:$N814,I$1,FALSE)</f>
        <v>inh</v>
      </c>
      <c r="J645">
        <f>VLOOKUP($A645,[1]Table!$A$2:$N814,J$1,FALSE)</f>
        <v>12</v>
      </c>
      <c r="K645" t="str">
        <f>VLOOKUP($A645,[1]Table!$A$2:$N814,K$1,FALSE)</f>
        <v>mcg/dose</v>
      </c>
      <c r="L645">
        <f>VLOOKUP($A645,[1]Table!$A$2:$N814,L$1,FALSE)</f>
        <v>12</v>
      </c>
      <c r="M645" t="str">
        <f>VLOOKUP($A645,[1]Table!$A$2:$N814,M$1,FALSE)</f>
        <v>mcg</v>
      </c>
      <c r="N645" t="str">
        <f>VLOOKUP($A645,[1]Table!$A$2:$N814,N$1,FALSE)</f>
        <v>Astma onderhoudsbehandeling</v>
      </c>
      <c r="O645" t="str">
        <f>ConcatenateRange(AZ645:BU645,"||")</f>
        <v/>
      </c>
      <c r="AZ645" t="str">
        <f t="shared" si="242"/>
        <v/>
      </c>
      <c r="BA645" t="str">
        <f t="shared" si="243"/>
        <v/>
      </c>
      <c r="BB645" t="str">
        <f t="shared" si="244"/>
        <v/>
      </c>
      <c r="BC645" t="str">
        <f t="shared" si="245"/>
        <v/>
      </c>
      <c r="BD645" t="str">
        <f t="shared" si="246"/>
        <v/>
      </c>
      <c r="BE645" t="str">
        <f t="shared" si="247"/>
        <v/>
      </c>
      <c r="BF645" t="str">
        <f t="shared" si="248"/>
        <v/>
      </c>
      <c r="BG645" t="str">
        <f t="shared" si="249"/>
        <v/>
      </c>
      <c r="BH645" t="str">
        <f t="shared" si="250"/>
        <v/>
      </c>
      <c r="BI645" t="str">
        <f t="shared" si="251"/>
        <v/>
      </c>
      <c r="BJ645" t="str">
        <f t="shared" si="252"/>
        <v/>
      </c>
      <c r="BK645" t="str">
        <f t="shared" si="253"/>
        <v/>
      </c>
      <c r="BL645" t="str">
        <f t="shared" si="254"/>
        <v/>
      </c>
      <c r="BM645" t="str">
        <f t="shared" si="255"/>
        <v/>
      </c>
      <c r="BN645" t="str">
        <f t="shared" si="256"/>
        <v/>
      </c>
      <c r="BO645" t="str">
        <f t="shared" si="257"/>
        <v/>
      </c>
      <c r="BP645" t="str">
        <f t="shared" si="258"/>
        <v/>
      </c>
      <c r="BQ645" t="str">
        <f t="shared" si="259"/>
        <v/>
      </c>
      <c r="BR645" t="str">
        <f t="shared" si="260"/>
        <v/>
      </c>
      <c r="BS645" t="str">
        <f t="shared" si="261"/>
        <v/>
      </c>
      <c r="BT645" t="str">
        <f t="shared" si="262"/>
        <v/>
      </c>
      <c r="BU645" t="str">
        <f t="shared" si="263"/>
        <v/>
      </c>
    </row>
    <row r="646" spans="1:73">
      <c r="A646" s="1">
        <v>101265</v>
      </c>
      <c r="B646" t="str">
        <f>VLOOKUP($A646,[1]Table!$A$2:$N815,B$1,FALSE)</f>
        <v>R03AC13</v>
      </c>
      <c r="C646" t="str">
        <f>VLOOKUP($A646,[1]Table!$A$2:$N815,C$1,FALSE)</f>
        <v>MIDDELEN BIJ ASTMA/COPD</v>
      </c>
      <c r="D646" t="str">
        <f>VLOOKUP($A646,[1]Table!$A$2:$N815,D$1,FALSE)</f>
        <v>SYMPATHICOMIMETICA VOOR INHALATIE</v>
      </c>
      <c r="E646" t="str">
        <f>VLOOKUP($A646,[1]Table!$A$2:$N815,E$1,FALSE)</f>
        <v>FORMOTEROL</v>
      </c>
      <c r="F646" t="str">
        <f>VLOOKUP($A646,[1]Table!$A$2:$N815,F$1,FALSE)</f>
        <v>OXIS  6 MICROG/D0SIS TURBUHALER 60 DOSES</v>
      </c>
      <c r="G646" t="str">
        <f>VLOOKUP($A646,[1]Table!$A$2:$N815,G$1,FALSE)</f>
        <v>FORMOTEROL 6UG/DO INHALPDR</v>
      </c>
      <c r="H646" t="str">
        <f>VLOOKUP($A646,[1]Table!$A$2:$N815,H$1,FALSE)</f>
        <v>inhalatiepoeder</v>
      </c>
      <c r="I646" t="str">
        <f>VLOOKUP($A646,[1]Table!$A$2:$N815,I$1,FALSE)</f>
        <v>inh</v>
      </c>
      <c r="J646">
        <f>VLOOKUP($A646,[1]Table!$A$2:$N815,J$1,FALSE)</f>
        <v>6</v>
      </c>
      <c r="K646" t="str">
        <f>VLOOKUP($A646,[1]Table!$A$2:$N815,K$1,FALSE)</f>
        <v>mcg/dose</v>
      </c>
      <c r="L646">
        <f>VLOOKUP($A646,[1]Table!$A$2:$N815,L$1,FALSE)</f>
        <v>6</v>
      </c>
      <c r="M646" t="str">
        <f>VLOOKUP($A646,[1]Table!$A$2:$N815,M$1,FALSE)</f>
        <v>mcg</v>
      </c>
      <c r="N646" t="str">
        <f>VLOOKUP($A646,[1]Table!$A$2:$N815,N$1,FALSE)</f>
        <v>Astma onderhoudsbehandeling</v>
      </c>
      <c r="O646" t="str">
        <f>ConcatenateRange(AZ646:BU646,"||")</f>
        <v/>
      </c>
      <c r="AZ646" t="str">
        <f t="shared" si="242"/>
        <v/>
      </c>
      <c r="BA646" t="str">
        <f t="shared" si="243"/>
        <v/>
      </c>
      <c r="BB646" t="str">
        <f t="shared" si="244"/>
        <v/>
      </c>
      <c r="BC646" t="str">
        <f t="shared" si="245"/>
        <v/>
      </c>
      <c r="BD646" t="str">
        <f t="shared" si="246"/>
        <v/>
      </c>
      <c r="BE646" t="str">
        <f t="shared" si="247"/>
        <v/>
      </c>
      <c r="BF646" t="str">
        <f t="shared" si="248"/>
        <v/>
      </c>
      <c r="BG646" t="str">
        <f t="shared" si="249"/>
        <v/>
      </c>
      <c r="BH646" t="str">
        <f t="shared" si="250"/>
        <v/>
      </c>
      <c r="BI646" t="str">
        <f t="shared" si="251"/>
        <v/>
      </c>
      <c r="BJ646" t="str">
        <f t="shared" si="252"/>
        <v/>
      </c>
      <c r="BK646" t="str">
        <f t="shared" si="253"/>
        <v/>
      </c>
      <c r="BL646" t="str">
        <f t="shared" si="254"/>
        <v/>
      </c>
      <c r="BM646" t="str">
        <f t="shared" si="255"/>
        <v/>
      </c>
      <c r="BN646" t="str">
        <f t="shared" si="256"/>
        <v/>
      </c>
      <c r="BO646" t="str">
        <f t="shared" si="257"/>
        <v/>
      </c>
      <c r="BP646" t="str">
        <f t="shared" si="258"/>
        <v/>
      </c>
      <c r="BQ646" t="str">
        <f t="shared" si="259"/>
        <v/>
      </c>
      <c r="BR646" t="str">
        <f t="shared" si="260"/>
        <v/>
      </c>
      <c r="BS646" t="str">
        <f t="shared" si="261"/>
        <v/>
      </c>
      <c r="BT646" t="str">
        <f t="shared" si="262"/>
        <v/>
      </c>
      <c r="BU646" t="str">
        <f t="shared" si="263"/>
        <v/>
      </c>
    </row>
    <row r="647" spans="1:73">
      <c r="A647" s="1">
        <v>101273</v>
      </c>
      <c r="B647" t="str">
        <f>VLOOKUP($A647,[1]Table!$A$2:$N816,B$1,FALSE)</f>
        <v>R03AC13</v>
      </c>
      <c r="C647" t="str">
        <f>VLOOKUP($A647,[1]Table!$A$2:$N816,C$1,FALSE)</f>
        <v>MIDDELEN BIJ ASTMA/COPD</v>
      </c>
      <c r="D647" t="str">
        <f>VLOOKUP($A647,[1]Table!$A$2:$N816,D$1,FALSE)</f>
        <v>SYMPATHICOMIMETICA VOOR INHALATIE</v>
      </c>
      <c r="E647" t="str">
        <f>VLOOKUP($A647,[1]Table!$A$2:$N816,E$1,FALSE)</f>
        <v>FORMOTEROL</v>
      </c>
      <c r="F647" t="str">
        <f>VLOOKUP($A647,[1]Table!$A$2:$N816,F$1,FALSE)</f>
        <v>OXIS  12 MICROG/D0SIS TURBUHALER 60DOSES</v>
      </c>
      <c r="G647" t="str">
        <f>VLOOKUP($A647,[1]Table!$A$2:$N816,G$1,FALSE)</f>
        <v>FORMOTEROL 12UG/DO INHALPDR</v>
      </c>
      <c r="H647" t="str">
        <f>VLOOKUP($A647,[1]Table!$A$2:$N816,H$1,FALSE)</f>
        <v>inhalatiepoeder</v>
      </c>
      <c r="I647" t="str">
        <f>VLOOKUP($A647,[1]Table!$A$2:$N816,I$1,FALSE)</f>
        <v>inh</v>
      </c>
      <c r="J647">
        <f>VLOOKUP($A647,[1]Table!$A$2:$N816,J$1,FALSE)</f>
        <v>12</v>
      </c>
      <c r="K647" t="str">
        <f>VLOOKUP($A647,[1]Table!$A$2:$N816,K$1,FALSE)</f>
        <v>mcg/dose</v>
      </c>
      <c r="L647">
        <f>VLOOKUP($A647,[1]Table!$A$2:$N816,L$1,FALSE)</f>
        <v>12</v>
      </c>
      <c r="M647" t="str">
        <f>VLOOKUP($A647,[1]Table!$A$2:$N816,M$1,FALSE)</f>
        <v>mcg</v>
      </c>
      <c r="N647" t="str">
        <f>VLOOKUP($A647,[1]Table!$A$2:$N816,N$1,FALSE)</f>
        <v>Astma onderhoudsbehandeling</v>
      </c>
      <c r="O647" t="str">
        <f>ConcatenateRange(AZ647:BU647,"||")</f>
        <v/>
      </c>
      <c r="AZ647" t="str">
        <f t="shared" si="242"/>
        <v/>
      </c>
      <c r="BA647" t="str">
        <f t="shared" si="243"/>
        <v/>
      </c>
      <c r="BB647" t="str">
        <f t="shared" si="244"/>
        <v/>
      </c>
      <c r="BC647" t="str">
        <f t="shared" si="245"/>
        <v/>
      </c>
      <c r="BD647" t="str">
        <f t="shared" si="246"/>
        <v/>
      </c>
      <c r="BE647" t="str">
        <f t="shared" si="247"/>
        <v/>
      </c>
      <c r="BF647" t="str">
        <f t="shared" si="248"/>
        <v/>
      </c>
      <c r="BG647" t="str">
        <f t="shared" si="249"/>
        <v/>
      </c>
      <c r="BH647" t="str">
        <f t="shared" si="250"/>
        <v/>
      </c>
      <c r="BI647" t="str">
        <f t="shared" si="251"/>
        <v/>
      </c>
      <c r="BJ647" t="str">
        <f t="shared" si="252"/>
        <v/>
      </c>
      <c r="BK647" t="str">
        <f t="shared" si="253"/>
        <v/>
      </c>
      <c r="BL647" t="str">
        <f t="shared" si="254"/>
        <v/>
      </c>
      <c r="BM647" t="str">
        <f t="shared" si="255"/>
        <v/>
      </c>
      <c r="BN647" t="str">
        <f t="shared" si="256"/>
        <v/>
      </c>
      <c r="BO647" t="str">
        <f t="shared" si="257"/>
        <v/>
      </c>
      <c r="BP647" t="str">
        <f t="shared" si="258"/>
        <v/>
      </c>
      <c r="BQ647" t="str">
        <f t="shared" si="259"/>
        <v/>
      </c>
      <c r="BR647" t="str">
        <f t="shared" si="260"/>
        <v/>
      </c>
      <c r="BS647" t="str">
        <f t="shared" si="261"/>
        <v/>
      </c>
      <c r="BT647" t="str">
        <f t="shared" si="262"/>
        <v/>
      </c>
      <c r="BU647" t="str">
        <f t="shared" si="263"/>
        <v/>
      </c>
    </row>
    <row r="648" spans="1:73">
      <c r="A648" s="1">
        <v>134902</v>
      </c>
      <c r="B648" t="str">
        <f>VLOOKUP($A648,[1]Table!$A$2:$N817,B$1,FALSE)</f>
        <v>A04AD12</v>
      </c>
      <c r="C648" t="str">
        <f>VLOOKUP($A648,[1]Table!$A$2:$N817,C$1,FALSE)</f>
        <v>ANTI-EMETICA</v>
      </c>
      <c r="D648" t="str">
        <f>VLOOKUP($A648,[1]Table!$A$2:$N817,D$1,FALSE)</f>
        <v>ANTI-EMETICA</v>
      </c>
      <c r="E648" t="str">
        <f>VLOOKUP($A648,[1]Table!$A$2:$N817,E$1,FALSE)</f>
        <v>FOSAPREPITANT</v>
      </c>
      <c r="F648" t="str">
        <f>VLOOKUP($A648,[1]Table!$A$2:$N817,F$1,FALSE)</f>
        <v>IVEMEND 150 MG POEDER VOOR INFUSIE</v>
      </c>
      <c r="G648" t="str">
        <f>VLOOKUP($A648,[1]Table!$A$2:$N817,G$1,FALSE)</f>
        <v>FOSAPREPITANT 150MG INFPDR</v>
      </c>
      <c r="H648" t="str">
        <f>VLOOKUP($A648,[1]Table!$A$2:$N817,H$1,FALSE)</f>
        <v>poeder voor oplossing voor infusie</v>
      </c>
      <c r="I648" t="str">
        <f>VLOOKUP($A648,[1]Table!$A$2:$N817,I$1,FALSE)</f>
        <v>iv</v>
      </c>
      <c r="J648">
        <f>VLOOKUP($A648,[1]Table!$A$2:$N817,J$1,FALSE)</f>
        <v>150</v>
      </c>
      <c r="K648" t="str">
        <f>VLOOKUP($A648,[1]Table!$A$2:$N817,K$1,FALSE)</f>
        <v>mg/stuk</v>
      </c>
      <c r="L648">
        <f>VLOOKUP($A648,[1]Table!$A$2:$N817,L$1,FALSE)</f>
        <v>150</v>
      </c>
      <c r="M648" t="str">
        <f>VLOOKUP($A648,[1]Table!$A$2:$N817,M$1,FALSE)</f>
        <v>mg</v>
      </c>
      <c r="N648" t="str">
        <f>VLOOKUP($A648,[1]Table!$A$2:$N817,N$1,FALSE)</f>
        <v>Preventie van misselijkheid en braken bij chemotherapie</v>
      </c>
      <c r="O648" t="str">
        <f>ConcatenateRange(AZ648:BU648,"||")</f>
        <v/>
      </c>
      <c r="AZ648" t="str">
        <f t="shared" si="242"/>
        <v/>
      </c>
      <c r="BA648" t="str">
        <f t="shared" si="243"/>
        <v/>
      </c>
      <c r="BB648" t="str">
        <f t="shared" si="244"/>
        <v/>
      </c>
      <c r="BC648" t="str">
        <f t="shared" si="245"/>
        <v/>
      </c>
      <c r="BD648" t="str">
        <f t="shared" si="246"/>
        <v/>
      </c>
      <c r="BE648" t="str">
        <f t="shared" si="247"/>
        <v/>
      </c>
      <c r="BF648" t="str">
        <f t="shared" si="248"/>
        <v/>
      </c>
      <c r="BG648" t="str">
        <f t="shared" si="249"/>
        <v/>
      </c>
      <c r="BH648" t="str">
        <f t="shared" si="250"/>
        <v/>
      </c>
      <c r="BI648" t="str">
        <f t="shared" si="251"/>
        <v/>
      </c>
      <c r="BJ648" t="str">
        <f t="shared" si="252"/>
        <v/>
      </c>
      <c r="BK648" t="str">
        <f t="shared" si="253"/>
        <v/>
      </c>
      <c r="BL648" t="str">
        <f t="shared" si="254"/>
        <v/>
      </c>
      <c r="BM648" t="str">
        <f t="shared" si="255"/>
        <v/>
      </c>
      <c r="BN648" t="str">
        <f t="shared" si="256"/>
        <v/>
      </c>
      <c r="BO648" t="str">
        <f t="shared" si="257"/>
        <v/>
      </c>
      <c r="BP648" t="str">
        <f t="shared" si="258"/>
        <v/>
      </c>
      <c r="BQ648" t="str">
        <f t="shared" si="259"/>
        <v/>
      </c>
      <c r="BR648" t="str">
        <f t="shared" si="260"/>
        <v/>
      </c>
      <c r="BS648" t="str">
        <f t="shared" si="261"/>
        <v/>
      </c>
      <c r="BT648" t="str">
        <f t="shared" si="262"/>
        <v/>
      </c>
      <c r="BU648" t="str">
        <f t="shared" si="263"/>
        <v/>
      </c>
    </row>
    <row r="649" spans="1:73">
      <c r="A649" s="1">
        <v>75760</v>
      </c>
      <c r="B649" t="str">
        <f>VLOOKUP($A649,[1]Table!$A$2:$N818,B$1,FALSE)</f>
        <v>J05AD01</v>
      </c>
      <c r="C649" t="str">
        <f>VLOOKUP($A649,[1]Table!$A$2:$N818,C$1,FALSE)</f>
        <v>ANTIVIRALE MIDDELEN VOOR SYSTEMISCH GEBRUIK</v>
      </c>
      <c r="D649" t="str">
        <f>VLOOKUP($A649,[1]Table!$A$2:$N818,D$1,FALSE)</f>
        <v>DIRECT WERKENDE ANTIVIRALE MIDDELEN</v>
      </c>
      <c r="E649" t="str">
        <f>VLOOKUP($A649,[1]Table!$A$2:$N818,E$1,FALSE)</f>
        <v>FOSCARNET</v>
      </c>
      <c r="F649" t="str">
        <f>VLOOKUP($A649,[1]Table!$A$2:$N818,F$1,FALSE)</f>
        <v>FOSCAVIR 24MG/ML FLACON 250ML</v>
      </c>
      <c r="G649" t="str">
        <f>VLOOKUP($A649,[1]Table!$A$2:$N818,G$1,FALSE)</f>
        <v>FOSCARNET 24MG/ML INFVLST</v>
      </c>
      <c r="H649" t="str">
        <f>VLOOKUP($A649,[1]Table!$A$2:$N818,H$1,FALSE)</f>
        <v>infusievloeistof</v>
      </c>
      <c r="I649" t="str">
        <f>VLOOKUP($A649,[1]Table!$A$2:$N818,I$1,FALSE)</f>
        <v>iv</v>
      </c>
      <c r="J649">
        <f>VLOOKUP($A649,[1]Table!$A$2:$N818,J$1,FALSE)</f>
        <v>24</v>
      </c>
      <c r="K649" t="str">
        <f>VLOOKUP($A649,[1]Table!$A$2:$N818,K$1,FALSE)</f>
        <v>mg/ml</v>
      </c>
      <c r="L649">
        <f>VLOOKUP($A649,[1]Table!$A$2:$N818,L$1,FALSE)</f>
        <v>24</v>
      </c>
      <c r="M649" t="str">
        <f>VLOOKUP($A649,[1]Table!$A$2:$N818,M$1,FALSE)</f>
        <v>mg</v>
      </c>
      <c r="N649" t="str">
        <f>VLOOKUP($A649,[1]Table!$A$2:$N818,N$1,FALSE)</f>
        <v>Levens-of orgaanbedreigende infecties cytomegalovirus (CMV)||Vervolgtherapie retinitis op basis van cytomegalovirus (CMV)</v>
      </c>
      <c r="O649" t="str">
        <f>ConcatenateRange(AZ649:BU649,"||")</f>
        <v/>
      </c>
      <c r="AZ649" t="str">
        <f t="shared" si="242"/>
        <v/>
      </c>
      <c r="BA649" t="str">
        <f t="shared" si="243"/>
        <v/>
      </c>
      <c r="BB649" t="str">
        <f t="shared" si="244"/>
        <v/>
      </c>
      <c r="BC649" t="str">
        <f t="shared" si="245"/>
        <v/>
      </c>
      <c r="BD649" t="str">
        <f t="shared" si="246"/>
        <v/>
      </c>
      <c r="BE649" t="str">
        <f t="shared" si="247"/>
        <v/>
      </c>
      <c r="BF649" t="str">
        <f t="shared" si="248"/>
        <v/>
      </c>
      <c r="BG649" t="str">
        <f t="shared" si="249"/>
        <v/>
      </c>
      <c r="BH649" t="str">
        <f t="shared" si="250"/>
        <v/>
      </c>
      <c r="BI649" t="str">
        <f t="shared" si="251"/>
        <v/>
      </c>
      <c r="BJ649" t="str">
        <f t="shared" si="252"/>
        <v/>
      </c>
      <c r="BK649" t="str">
        <f t="shared" si="253"/>
        <v/>
      </c>
      <c r="BL649" t="str">
        <f t="shared" si="254"/>
        <v/>
      </c>
      <c r="BM649" t="str">
        <f t="shared" si="255"/>
        <v/>
      </c>
      <c r="BN649" t="str">
        <f t="shared" si="256"/>
        <v/>
      </c>
      <c r="BO649" t="str">
        <f t="shared" si="257"/>
        <v/>
      </c>
      <c r="BP649" t="str">
        <f t="shared" si="258"/>
        <v/>
      </c>
      <c r="BQ649" t="str">
        <f t="shared" si="259"/>
        <v/>
      </c>
      <c r="BR649" t="str">
        <f t="shared" si="260"/>
        <v/>
      </c>
      <c r="BS649" t="str">
        <f t="shared" si="261"/>
        <v/>
      </c>
      <c r="BT649" t="str">
        <f t="shared" si="262"/>
        <v/>
      </c>
      <c r="BU649" t="str">
        <f t="shared" si="263"/>
        <v/>
      </c>
    </row>
    <row r="650" spans="1:73">
      <c r="A650" s="22">
        <v>146498</v>
      </c>
      <c r="B650" t="str">
        <f>VLOOKUP($A650,[1]Table!$A$2:$N1699,B$1,FALSE)</f>
        <v>A06AD17</v>
      </c>
      <c r="C650" t="str">
        <f>VLOOKUP($A650,[1]Table!$A$2:$N1699,C$1,FALSE)</f>
        <v>MIDDELEN BIJ FUNCTIONELE MAAGDARMSTOORNISSEN</v>
      </c>
      <c r="D650" t="str">
        <f>VLOOKUP($A650,[1]Table!$A$2:$N1699,D$1,FALSE)</f>
        <v>LAXANTIA</v>
      </c>
      <c r="E650" t="s">
        <v>74</v>
      </c>
      <c r="F650" t="str">
        <f>VLOOKUP($A650,[1]Table!$A$2:$N1699,F$1,FALSE)</f>
        <v>FOSFAATDRANK 1MMOL/ML ONGECONSERVEERD 300 ML</v>
      </c>
      <c r="G650" t="str">
        <f>VLOOKUP($A650,[1]Table!$A$2:$N1699,G$1,FALSE)</f>
        <v>FOSFAATDRANK 1MMOL/ML</v>
      </c>
      <c r="H650" t="str">
        <f>VLOOKUP($A650,[1]Table!$A$2:$N1699,H$1,FALSE)</f>
        <v>drank</v>
      </c>
      <c r="I650" t="str">
        <f>VLOOKUP($A650,[1]Table!$A$2:$N1699,I$1,FALSE)</f>
        <v>or</v>
      </c>
      <c r="J650">
        <f>VLOOKUP($A650,[1]Table!$A$2:$N1699,J$1,FALSE)</f>
        <v>1</v>
      </c>
      <c r="K650" t="str">
        <f>VLOOKUP($A650,[1]Table!$A$2:$N1699,K$1,FALSE)</f>
        <v>mmol/ml</v>
      </c>
      <c r="L650">
        <f>VLOOKUP($A650,[1]Table!$A$2:$N1699,L$1,FALSE)</f>
        <v>1</v>
      </c>
      <c r="M650" t="str">
        <f>VLOOKUP($A650,[1]Table!$A$2:$N1699,M$1,FALSE)</f>
        <v>ml</v>
      </c>
      <c r="N650" t="str">
        <f>VLOOKUP($A650,[1]Table!$A$2:$N1699,N$1,FALSE)</f>
        <v>Hypofosfatemie</v>
      </c>
      <c r="AZ650" t="str">
        <f t="shared" si="242"/>
        <v/>
      </c>
      <c r="BA650" t="str">
        <f t="shared" si="243"/>
        <v/>
      </c>
      <c r="BB650" t="str">
        <f t="shared" si="244"/>
        <v/>
      </c>
      <c r="BC650" t="str">
        <f t="shared" si="245"/>
        <v/>
      </c>
      <c r="BD650" t="str">
        <f t="shared" si="246"/>
        <v/>
      </c>
      <c r="BE650" t="str">
        <f t="shared" si="247"/>
        <v/>
      </c>
      <c r="BF650" t="str">
        <f t="shared" si="248"/>
        <v/>
      </c>
      <c r="BG650" t="str">
        <f t="shared" si="249"/>
        <v/>
      </c>
      <c r="BH650" t="str">
        <f t="shared" si="250"/>
        <v/>
      </c>
      <c r="BI650" t="str">
        <f t="shared" si="251"/>
        <v/>
      </c>
      <c r="BJ650" t="str">
        <f t="shared" si="252"/>
        <v/>
      </c>
      <c r="BK650" t="str">
        <f t="shared" si="253"/>
        <v/>
      </c>
      <c r="BL650" t="str">
        <f t="shared" si="254"/>
        <v/>
      </c>
      <c r="BM650" t="str">
        <f t="shared" si="255"/>
        <v/>
      </c>
      <c r="BN650" t="str">
        <f t="shared" si="256"/>
        <v/>
      </c>
      <c r="BO650" t="str">
        <f t="shared" si="257"/>
        <v/>
      </c>
      <c r="BP650" t="str">
        <f t="shared" si="258"/>
        <v/>
      </c>
      <c r="BQ650" t="str">
        <f t="shared" si="259"/>
        <v/>
      </c>
      <c r="BR650" t="str">
        <f t="shared" si="260"/>
        <v/>
      </c>
      <c r="BS650" t="str">
        <f t="shared" si="261"/>
        <v/>
      </c>
      <c r="BT650" t="str">
        <f t="shared" si="262"/>
        <v/>
      </c>
      <c r="BU650" t="str">
        <f t="shared" si="263"/>
        <v/>
      </c>
    </row>
    <row r="651" spans="1:73">
      <c r="A651" s="1">
        <v>119393</v>
      </c>
      <c r="B651" t="str">
        <f>VLOOKUP($A651,[1]Table!$A$2:$N819,B$1,FALSE)</f>
        <v>R07AA02</v>
      </c>
      <c r="C651" t="str">
        <f>VLOOKUP($A651,[1]Table!$A$2:$N819,C$1,FALSE)</f>
        <v>OVERIGE MIDDELEN VOOR HET ADEMHALINGSSTELSEL</v>
      </c>
      <c r="D651" t="str">
        <f>VLOOKUP($A651,[1]Table!$A$2:$N819,D$1,FALSE)</f>
        <v>OVERIGE MIDDELEN VOOR HET ADEMHALINGSSTELSEL</v>
      </c>
      <c r="E651" t="str">
        <f>VLOOKUP($A651,[1]Table!$A$2:$N819,E$1,FALSE)</f>
        <v>FOSFOLIPIDEN</v>
      </c>
      <c r="F651" t="str">
        <f>VLOOKUP($A651,[1]Table!$A$2:$N819,F$1,FALSE)</f>
        <v>CUROSURF 80 MG/ML FLACON 1,5 ML</v>
      </c>
      <c r="G651" t="str">
        <f>VLOOKUP($A651,[1]Table!$A$2:$N819,G$1,FALSE)</f>
        <v>FOSFOLIPIDE 80MG/ML ENDOTR</v>
      </c>
      <c r="H651" t="str">
        <f>VLOOKUP($A651,[1]Table!$A$2:$N819,H$1,FALSE)</f>
        <v>endotracheopulmonaire instillatie, suspensie</v>
      </c>
      <c r="I651" t="str">
        <f>VLOOKUP($A651,[1]Table!$A$2:$N819,I$1,FALSE)</f>
        <v>trachpulm</v>
      </c>
      <c r="J651">
        <f>VLOOKUP($A651,[1]Table!$A$2:$N819,J$1,FALSE)</f>
        <v>80</v>
      </c>
      <c r="K651" t="str">
        <f>VLOOKUP($A651,[1]Table!$A$2:$N819,K$1,FALSE)</f>
        <v>mg/ml</v>
      </c>
      <c r="L651">
        <f>VLOOKUP($A651,[1]Table!$A$2:$N819,L$1,FALSE)</f>
        <v>80</v>
      </c>
      <c r="M651" t="str">
        <f>VLOOKUP($A651,[1]Table!$A$2:$N819,M$1,FALSE)</f>
        <v>mg</v>
      </c>
      <c r="N651" t="str">
        <f>VLOOKUP($A651,[1]Table!$A$2:$N819,N$1,FALSE)</f>
        <v>Profylaxe en behandeling hyaliene membramenziekte (RDS)</v>
      </c>
      <c r="O651" t="str">
        <f>ConcatenateRange(AZ651:BU651,"||")</f>
        <v/>
      </c>
      <c r="AZ651" t="str">
        <f t="shared" si="242"/>
        <v/>
      </c>
      <c r="BA651" t="str">
        <f t="shared" si="243"/>
        <v/>
      </c>
      <c r="BB651" t="str">
        <f t="shared" si="244"/>
        <v/>
      </c>
      <c r="BC651" t="str">
        <f t="shared" si="245"/>
        <v/>
      </c>
      <c r="BD651" t="str">
        <f t="shared" si="246"/>
        <v/>
      </c>
      <c r="BE651" t="str">
        <f t="shared" si="247"/>
        <v/>
      </c>
      <c r="BF651" t="str">
        <f t="shared" si="248"/>
        <v/>
      </c>
      <c r="BG651" t="str">
        <f t="shared" si="249"/>
        <v/>
      </c>
      <c r="BH651" t="str">
        <f t="shared" si="250"/>
        <v/>
      </c>
      <c r="BI651" t="str">
        <f t="shared" si="251"/>
        <v/>
      </c>
      <c r="BJ651" t="str">
        <f t="shared" si="252"/>
        <v/>
      </c>
      <c r="BK651" t="str">
        <f t="shared" si="253"/>
        <v/>
      </c>
      <c r="BL651" t="str">
        <f t="shared" si="254"/>
        <v/>
      </c>
      <c r="BM651" t="str">
        <f t="shared" si="255"/>
        <v/>
      </c>
      <c r="BN651" t="str">
        <f t="shared" si="256"/>
        <v/>
      </c>
      <c r="BO651" t="str">
        <f t="shared" si="257"/>
        <v/>
      </c>
      <c r="BP651" t="str">
        <f t="shared" si="258"/>
        <v/>
      </c>
      <c r="BQ651" t="str">
        <f t="shared" si="259"/>
        <v/>
      </c>
      <c r="BR651" t="str">
        <f t="shared" si="260"/>
        <v/>
      </c>
      <c r="BS651" t="str">
        <f t="shared" si="261"/>
        <v/>
      </c>
      <c r="BT651" t="str">
        <f t="shared" si="262"/>
        <v/>
      </c>
      <c r="BU651" t="str">
        <f t="shared" si="263"/>
        <v/>
      </c>
    </row>
    <row r="652" spans="1:73">
      <c r="A652" s="1">
        <v>78735</v>
      </c>
      <c r="B652" t="str">
        <f>VLOOKUP($A652,[1]Table!$A$2:$N820,B$1,FALSE)</f>
        <v>J01XX01</v>
      </c>
      <c r="C652" t="str">
        <f>VLOOKUP($A652,[1]Table!$A$2:$N820,C$1,FALSE)</f>
        <v>ANTIBACTERIELE MIDDELEN VOOR SYSTEMISCH GEBRUIK</v>
      </c>
      <c r="D652" t="str">
        <f>VLOOKUP($A652,[1]Table!$A$2:$N820,D$1,FALSE)</f>
        <v>OVERIGE ANTIBACTERIELE MIDDELEN</v>
      </c>
      <c r="E652" t="str">
        <f>VLOOKUP($A652,[1]Table!$A$2:$N820,E$1,FALSE)</f>
        <v>FOSFOMYCINE</v>
      </c>
      <c r="F652" t="str">
        <f>VLOOKUP($A652,[1]Table!$A$2:$N820,F$1,FALSE)</f>
        <v>MONURIL 3 G GRANULAAT IN SACHET</v>
      </c>
      <c r="G652" t="str">
        <f>VLOOKUP($A652,[1]Table!$A$2:$N820,G$1,FALSE)</f>
        <v>FOSFOMYCINE 3G GRANULAAT</v>
      </c>
      <c r="H652" t="str">
        <f>VLOOKUP($A652,[1]Table!$A$2:$N820,H$1,FALSE)</f>
        <v>granulaat</v>
      </c>
      <c r="I652" t="str">
        <f>VLOOKUP($A652,[1]Table!$A$2:$N820,I$1,FALSE)</f>
        <v>or</v>
      </c>
      <c r="J652">
        <f>VLOOKUP($A652,[1]Table!$A$2:$N820,J$1,FALSE)</f>
        <v>3</v>
      </c>
      <c r="K652" t="str">
        <f>VLOOKUP($A652,[1]Table!$A$2:$N820,K$1,FALSE)</f>
        <v>gr/stuk</v>
      </c>
      <c r="L652">
        <f>VLOOKUP($A652,[1]Table!$A$2:$N820,L$1,FALSE)</f>
        <v>3</v>
      </c>
      <c r="M652" t="str">
        <f>VLOOKUP($A652,[1]Table!$A$2:$N820,M$1,FALSE)</f>
        <v>gr</v>
      </c>
      <c r="N652" t="str">
        <f>VLOOKUP($A652,[1]Table!$A$2:$N820,N$1,FALSE)</f>
        <v>Behandeling urineweginfectie||Infecties||Bacteriële meningitis</v>
      </c>
      <c r="O652" t="str">
        <f>ConcatenateRange(AZ652:BU652,"||")</f>
        <v/>
      </c>
      <c r="AZ652" t="str">
        <f t="shared" si="242"/>
        <v/>
      </c>
      <c r="BA652" t="str">
        <f t="shared" si="243"/>
        <v/>
      </c>
      <c r="BB652" t="str">
        <f t="shared" si="244"/>
        <v/>
      </c>
      <c r="BC652" t="str">
        <f t="shared" si="245"/>
        <v/>
      </c>
      <c r="BD652" t="str">
        <f t="shared" si="246"/>
        <v/>
      </c>
      <c r="BE652" t="str">
        <f t="shared" si="247"/>
        <v/>
      </c>
      <c r="BF652" t="str">
        <f t="shared" si="248"/>
        <v/>
      </c>
      <c r="BG652" t="str">
        <f t="shared" si="249"/>
        <v/>
      </c>
      <c r="BH652" t="str">
        <f t="shared" si="250"/>
        <v/>
      </c>
      <c r="BI652" t="str">
        <f t="shared" si="251"/>
        <v/>
      </c>
      <c r="BJ652" t="str">
        <f t="shared" si="252"/>
        <v/>
      </c>
      <c r="BK652" t="str">
        <f t="shared" si="253"/>
        <v/>
      </c>
      <c r="BL652" t="str">
        <f t="shared" si="254"/>
        <v/>
      </c>
      <c r="BM652" t="str">
        <f t="shared" si="255"/>
        <v/>
      </c>
      <c r="BN652" t="str">
        <f t="shared" si="256"/>
        <v/>
      </c>
      <c r="BO652" t="str">
        <f t="shared" si="257"/>
        <v/>
      </c>
      <c r="BP652" t="str">
        <f t="shared" si="258"/>
        <v/>
      </c>
      <c r="BQ652" t="str">
        <f t="shared" si="259"/>
        <v/>
      </c>
      <c r="BR652" t="str">
        <f t="shared" si="260"/>
        <v/>
      </c>
      <c r="BS652" t="str">
        <f t="shared" si="261"/>
        <v/>
      </c>
      <c r="BT652" t="str">
        <f t="shared" si="262"/>
        <v/>
      </c>
      <c r="BU652" t="str">
        <f t="shared" si="263"/>
        <v/>
      </c>
    </row>
    <row r="653" spans="1:73">
      <c r="A653" s="1">
        <v>159506</v>
      </c>
      <c r="B653" t="str">
        <f>VLOOKUP($A653,[1]Table!$A$2:$N821,B$1,FALSE)</f>
        <v>J01XX01</v>
      </c>
      <c r="C653" t="str">
        <f>VLOOKUP($A653,[1]Table!$A$2:$N821,C$1,FALSE)</f>
        <v>ANTIBACTERIELE MIDDELEN VOOR SYSTEMISCH GEBRUIK</v>
      </c>
      <c r="D653" t="str">
        <f>VLOOKUP($A653,[1]Table!$A$2:$N821,D$1,FALSE)</f>
        <v>OVERIGE ANTIBACTERIELE MIDDELEN</v>
      </c>
      <c r="E653" t="str">
        <f>VLOOKUP($A653,[1]Table!$A$2:$N821,E$1,FALSE)</f>
        <v>FOSFOMYCINE</v>
      </c>
      <c r="F653" t="str">
        <f>VLOOKUP($A653,[1]Table!$A$2:$N821,F$1,FALSE)</f>
        <v>FOMICYT 4 GRAM INFUSIEPOEDER</v>
      </c>
      <c r="G653" t="str">
        <f>VLOOKUP($A653,[1]Table!$A$2:$N821,G$1,FALSE)</f>
        <v>FOSFOMYCINE 4G INFPDR</v>
      </c>
      <c r="H653" t="str">
        <f>VLOOKUP($A653,[1]Table!$A$2:$N821,H$1,FALSE)</f>
        <v>poeder voor oplossing voor infusie</v>
      </c>
      <c r="I653" t="str">
        <f>VLOOKUP($A653,[1]Table!$A$2:$N821,I$1,FALSE)</f>
        <v>iv</v>
      </c>
      <c r="J653">
        <f>VLOOKUP($A653,[1]Table!$A$2:$N821,J$1,FALSE)</f>
        <v>4</v>
      </c>
      <c r="K653" t="str">
        <f>VLOOKUP($A653,[1]Table!$A$2:$N821,K$1,FALSE)</f>
        <v>gr/stuk</v>
      </c>
      <c r="L653">
        <f>VLOOKUP($A653,[1]Table!$A$2:$N821,L$1,FALSE)</f>
        <v>4</v>
      </c>
      <c r="M653" t="str">
        <f>VLOOKUP($A653,[1]Table!$A$2:$N821,M$1,FALSE)</f>
        <v>gr</v>
      </c>
      <c r="N653" t="str">
        <f>VLOOKUP($A653,[1]Table!$A$2:$N821,N$1,FALSE)</f>
        <v>Behandeling urineweginfectie||Infecties||Bacteriële meningitis</v>
      </c>
      <c r="O653" t="str">
        <f>ConcatenateRange(AZ653:BU653,"||")</f>
        <v/>
      </c>
      <c r="AZ653" t="str">
        <f t="shared" si="242"/>
        <v/>
      </c>
      <c r="BA653" t="str">
        <f t="shared" si="243"/>
        <v/>
      </c>
      <c r="BB653" t="str">
        <f t="shared" si="244"/>
        <v/>
      </c>
      <c r="BC653" t="str">
        <f t="shared" si="245"/>
        <v/>
      </c>
      <c r="BD653" t="str">
        <f t="shared" si="246"/>
        <v/>
      </c>
      <c r="BE653" t="str">
        <f t="shared" si="247"/>
        <v/>
      </c>
      <c r="BF653" t="str">
        <f t="shared" si="248"/>
        <v/>
      </c>
      <c r="BG653" t="str">
        <f t="shared" si="249"/>
        <v/>
      </c>
      <c r="BH653" t="str">
        <f t="shared" si="250"/>
        <v/>
      </c>
      <c r="BI653" t="str">
        <f t="shared" si="251"/>
        <v/>
      </c>
      <c r="BJ653" t="str">
        <f t="shared" si="252"/>
        <v/>
      </c>
      <c r="BK653" t="str">
        <f t="shared" si="253"/>
        <v/>
      </c>
      <c r="BL653" t="str">
        <f t="shared" si="254"/>
        <v/>
      </c>
      <c r="BM653" t="str">
        <f t="shared" si="255"/>
        <v/>
      </c>
      <c r="BN653" t="str">
        <f t="shared" si="256"/>
        <v/>
      </c>
      <c r="BO653" t="str">
        <f t="shared" si="257"/>
        <v/>
      </c>
      <c r="BP653" t="str">
        <f t="shared" si="258"/>
        <v/>
      </c>
      <c r="BQ653" t="str">
        <f t="shared" si="259"/>
        <v/>
      </c>
      <c r="BR653" t="str">
        <f t="shared" si="260"/>
        <v/>
      </c>
      <c r="BS653" t="str">
        <f t="shared" si="261"/>
        <v/>
      </c>
      <c r="BT653" t="str">
        <f t="shared" si="262"/>
        <v/>
      </c>
      <c r="BU653" t="str">
        <f t="shared" si="263"/>
        <v/>
      </c>
    </row>
    <row r="654" spans="1:73">
      <c r="A654" s="1">
        <v>51268</v>
      </c>
      <c r="B654" t="str">
        <f>VLOOKUP($A654,[1]Table!$A$2:$N823,B$1,FALSE)</f>
        <v>C03CA01</v>
      </c>
      <c r="C654" t="str">
        <f>VLOOKUP($A654,[1]Table!$A$2:$N823,C$1,FALSE)</f>
        <v>DIURETICA</v>
      </c>
      <c r="D654" t="str">
        <f>VLOOKUP($A654,[1]Table!$A$2:$N823,D$1,FALSE)</f>
        <v>HIGH-CEILING' DIURETICA</v>
      </c>
      <c r="E654" t="s">
        <v>104</v>
      </c>
      <c r="F654" t="str">
        <f>VLOOKUP($A654,[1]Table!$A$2:$N823,F$1,FALSE)</f>
        <v>LASIX 60 MG CAPSULE MGA (RETARD)</v>
      </c>
      <c r="G654" t="str">
        <f>VLOOKUP($A654,[1]Table!$A$2:$N823,G$1,FALSE)</f>
        <v>FUROSEMIDE 60MG CAPSULE MGA</v>
      </c>
      <c r="H654" t="str">
        <f>VLOOKUP($A654,[1]Table!$A$2:$N823,H$1,FALSE)</f>
        <v>capsule met gereguleerde afgifte</v>
      </c>
      <c r="I654" t="str">
        <f>VLOOKUP($A654,[1]Table!$A$2:$N823,I$1,FALSE)</f>
        <v>or</v>
      </c>
      <c r="J654">
        <f>VLOOKUP($A654,[1]Table!$A$2:$N823,J$1,FALSE)</f>
        <v>60</v>
      </c>
      <c r="K654" t="str">
        <f>VLOOKUP($A654,[1]Table!$A$2:$N823,K$1,FALSE)</f>
        <v>mg/stuk</v>
      </c>
      <c r="L654">
        <f>VLOOKUP($A654,[1]Table!$A$2:$N823,L$1,FALSE)</f>
        <v>60</v>
      </c>
      <c r="M654" t="str">
        <f>VLOOKUP($A654,[1]Table!$A$2:$N823,M$1,FALSE)</f>
        <v>mg</v>
      </c>
      <c r="N654" t="str">
        <f>VLOOKUP($A654,[1]Table!$A$2:$N823,N$1,FALSE)</f>
        <v>Hypertensie||Diurese</v>
      </c>
      <c r="O654" t="str">
        <f>ConcatenateRange(AZ654:BU654,"||")</f>
        <v/>
      </c>
      <c r="AZ654" t="str">
        <f t="shared" si="242"/>
        <v/>
      </c>
      <c r="BA654" t="str">
        <f t="shared" si="243"/>
        <v/>
      </c>
      <c r="BB654" t="str">
        <f t="shared" si="244"/>
        <v/>
      </c>
      <c r="BC654" t="str">
        <f t="shared" si="245"/>
        <v/>
      </c>
      <c r="BD654" t="str">
        <f t="shared" si="246"/>
        <v/>
      </c>
      <c r="BE654" t="str">
        <f t="shared" si="247"/>
        <v/>
      </c>
      <c r="BF654" t="str">
        <f t="shared" si="248"/>
        <v/>
      </c>
      <c r="BG654" t="str">
        <f t="shared" si="249"/>
        <v/>
      </c>
      <c r="BH654" t="str">
        <f t="shared" si="250"/>
        <v/>
      </c>
      <c r="BI654" t="str">
        <f t="shared" si="251"/>
        <v/>
      </c>
      <c r="BJ654" t="str">
        <f t="shared" si="252"/>
        <v/>
      </c>
      <c r="BK654" t="str">
        <f t="shared" si="253"/>
        <v/>
      </c>
      <c r="BL654" t="str">
        <f t="shared" si="254"/>
        <v/>
      </c>
      <c r="BM654" t="str">
        <f t="shared" si="255"/>
        <v/>
      </c>
      <c r="BN654" t="str">
        <f t="shared" si="256"/>
        <v/>
      </c>
      <c r="BO654" t="str">
        <f t="shared" si="257"/>
        <v/>
      </c>
      <c r="BP654" t="str">
        <f t="shared" si="258"/>
        <v/>
      </c>
      <c r="BQ654" t="str">
        <f t="shared" si="259"/>
        <v/>
      </c>
      <c r="BR654" t="str">
        <f t="shared" si="260"/>
        <v/>
      </c>
      <c r="BS654" t="str">
        <f t="shared" si="261"/>
        <v/>
      </c>
      <c r="BT654" t="str">
        <f t="shared" si="262"/>
        <v/>
      </c>
      <c r="BU654" t="str">
        <f t="shared" si="263"/>
        <v/>
      </c>
    </row>
    <row r="655" spans="1:73">
      <c r="A655" s="1">
        <v>16802</v>
      </c>
      <c r="B655" t="str">
        <f>VLOOKUP($A655,[1]Table!$A$2:$N824,B$1,FALSE)</f>
        <v>C03CA01</v>
      </c>
      <c r="C655" t="str">
        <f>VLOOKUP($A655,[1]Table!$A$2:$N824,C$1,FALSE)</f>
        <v>DIURETICA</v>
      </c>
      <c r="D655" t="str">
        <f>VLOOKUP($A655,[1]Table!$A$2:$N824,D$1,FALSE)</f>
        <v>HIGH-CEILING' DIURETICA</v>
      </c>
      <c r="E655" t="str">
        <f>VLOOKUP($A655,[1]Table!$A$2:$N824,E$1,FALSE)</f>
        <v>FUROSEMIDE</v>
      </c>
      <c r="F655" t="str">
        <f>VLOOKUP($A655,[1]Table!$A$2:$N824,F$1,FALSE)</f>
        <v>FUROSEMIDE 10 MG/ML AMPUL 25 ML</v>
      </c>
      <c r="G655" t="str">
        <f>VLOOKUP($A655,[1]Table!$A$2:$N824,G$1,FALSE)</f>
        <v>FUROSEMIDE 10MG/ML INF CONC</v>
      </c>
      <c r="H655" t="str">
        <f>VLOOKUP($A655,[1]Table!$A$2:$N824,H$1,FALSE)</f>
        <v>concentraat voor oplossing voor infusie</v>
      </c>
      <c r="I655" t="str">
        <f>VLOOKUP($A655,[1]Table!$A$2:$N824,I$1,FALSE)</f>
        <v>iv</v>
      </c>
      <c r="J655">
        <f>VLOOKUP($A655,[1]Table!$A$2:$N824,J$1,FALSE)</f>
        <v>10</v>
      </c>
      <c r="K655" t="str">
        <f>VLOOKUP($A655,[1]Table!$A$2:$N824,K$1,FALSE)</f>
        <v>mg/ml</v>
      </c>
      <c r="L655">
        <f>VLOOKUP($A655,[1]Table!$A$2:$N824,L$1,FALSE)</f>
        <v>10</v>
      </c>
      <c r="M655" t="str">
        <f>VLOOKUP($A655,[1]Table!$A$2:$N824,M$1,FALSE)</f>
        <v>mg</v>
      </c>
      <c r="N655" t="str">
        <f>VLOOKUP($A655,[1]Table!$A$2:$N824,N$1,FALSE)</f>
        <v>Hypertensie||Diurese</v>
      </c>
      <c r="O655" t="str">
        <f>ConcatenateRange(AZ655:BU655,"||")</f>
        <v/>
      </c>
      <c r="AZ655" t="str">
        <f t="shared" si="242"/>
        <v/>
      </c>
      <c r="BA655" t="str">
        <f t="shared" si="243"/>
        <v/>
      </c>
      <c r="BB655" t="str">
        <f t="shared" si="244"/>
        <v/>
      </c>
      <c r="BC655" t="str">
        <f t="shared" si="245"/>
        <v/>
      </c>
      <c r="BD655" t="str">
        <f t="shared" si="246"/>
        <v/>
      </c>
      <c r="BE655" t="str">
        <f t="shared" si="247"/>
        <v/>
      </c>
      <c r="BF655" t="str">
        <f t="shared" si="248"/>
        <v/>
      </c>
      <c r="BG655" t="str">
        <f t="shared" si="249"/>
        <v/>
      </c>
      <c r="BH655" t="str">
        <f t="shared" si="250"/>
        <v/>
      </c>
      <c r="BI655" t="str">
        <f t="shared" si="251"/>
        <v/>
      </c>
      <c r="BJ655" t="str">
        <f t="shared" si="252"/>
        <v/>
      </c>
      <c r="BK655" t="str">
        <f t="shared" si="253"/>
        <v/>
      </c>
      <c r="BL655" t="str">
        <f t="shared" si="254"/>
        <v/>
      </c>
      <c r="BM655" t="str">
        <f t="shared" si="255"/>
        <v/>
      </c>
      <c r="BN655" t="str">
        <f t="shared" si="256"/>
        <v/>
      </c>
      <c r="BO655" t="str">
        <f t="shared" si="257"/>
        <v/>
      </c>
      <c r="BP655" t="str">
        <f t="shared" si="258"/>
        <v/>
      </c>
      <c r="BQ655" t="str">
        <f t="shared" si="259"/>
        <v/>
      </c>
      <c r="BR655" t="str">
        <f t="shared" si="260"/>
        <v/>
      </c>
      <c r="BS655" t="str">
        <f t="shared" si="261"/>
        <v/>
      </c>
      <c r="BT655" t="str">
        <f t="shared" si="262"/>
        <v/>
      </c>
      <c r="BU655" t="str">
        <f t="shared" si="263"/>
        <v/>
      </c>
    </row>
    <row r="656" spans="1:73">
      <c r="A656" s="1">
        <v>126128</v>
      </c>
      <c r="B656" t="str">
        <f>VLOOKUP($A656,[1]Table!$A$2:$N825,B$1,FALSE)</f>
        <v>C03CA01</v>
      </c>
      <c r="C656" t="str">
        <f>VLOOKUP($A656,[1]Table!$A$2:$N825,C$1,FALSE)</f>
        <v>DIURETICA</v>
      </c>
      <c r="D656" t="str">
        <f>VLOOKUP($A656,[1]Table!$A$2:$N825,D$1,FALSE)</f>
        <v>HIGH-CEILING' DIURETICA</v>
      </c>
      <c r="E656" t="str">
        <f>VLOOKUP($A656,[1]Table!$A$2:$N825,E$1,FALSE)</f>
        <v>FUROSEMIDE</v>
      </c>
      <c r="F656" t="str">
        <f>VLOOKUP($A656,[1]Table!$A$2:$N825,F$1,FALSE)</f>
        <v>FUROSEMIDE 2 MG/ML DRANK 100 ML</v>
      </c>
      <c r="G656" t="str">
        <f>VLOOKUP($A656,[1]Table!$A$2:$N825,G$1,FALSE)</f>
        <v>FUROSEMIDE 2MG/ML DRANK</v>
      </c>
      <c r="H656" t="str">
        <f>VLOOKUP($A656,[1]Table!$A$2:$N825,H$1,FALSE)</f>
        <v>drank</v>
      </c>
      <c r="I656" t="str">
        <f>VLOOKUP($A656,[1]Table!$A$2:$N825,I$1,FALSE)</f>
        <v>or</v>
      </c>
      <c r="J656">
        <f>VLOOKUP($A656,[1]Table!$A$2:$N825,J$1,FALSE)</f>
        <v>2</v>
      </c>
      <c r="K656" t="str">
        <f>VLOOKUP($A656,[1]Table!$A$2:$N825,K$1,FALSE)</f>
        <v>mg/ml</v>
      </c>
      <c r="L656">
        <f>VLOOKUP($A656,[1]Table!$A$2:$N825,L$1,FALSE)</f>
        <v>2</v>
      </c>
      <c r="M656" t="str">
        <f>VLOOKUP($A656,[1]Table!$A$2:$N825,M$1,FALSE)</f>
        <v>mg</v>
      </c>
      <c r="N656" t="str">
        <f>VLOOKUP($A656,[1]Table!$A$2:$N825,N$1,FALSE)</f>
        <v>Hypertensie||Diurese</v>
      </c>
      <c r="O656" t="str">
        <f>ConcatenateRange(AZ656:BU656,"||")</f>
        <v/>
      </c>
      <c r="AZ656" t="str">
        <f t="shared" si="242"/>
        <v/>
      </c>
      <c r="BA656" t="str">
        <f t="shared" si="243"/>
        <v/>
      </c>
      <c r="BB656" t="str">
        <f t="shared" si="244"/>
        <v/>
      </c>
      <c r="BC656" t="str">
        <f t="shared" si="245"/>
        <v/>
      </c>
      <c r="BD656" t="str">
        <f t="shared" si="246"/>
        <v/>
      </c>
      <c r="BE656" t="str">
        <f t="shared" si="247"/>
        <v/>
      </c>
      <c r="BF656" t="str">
        <f t="shared" si="248"/>
        <v/>
      </c>
      <c r="BG656" t="str">
        <f t="shared" si="249"/>
        <v/>
      </c>
      <c r="BH656" t="str">
        <f t="shared" si="250"/>
        <v/>
      </c>
      <c r="BI656" t="str">
        <f t="shared" si="251"/>
        <v/>
      </c>
      <c r="BJ656" t="str">
        <f t="shared" si="252"/>
        <v/>
      </c>
      <c r="BK656" t="str">
        <f t="shared" si="253"/>
        <v/>
      </c>
      <c r="BL656" t="str">
        <f t="shared" si="254"/>
        <v/>
      </c>
      <c r="BM656" t="str">
        <f t="shared" si="255"/>
        <v/>
      </c>
      <c r="BN656" t="str">
        <f t="shared" si="256"/>
        <v/>
      </c>
      <c r="BO656" t="str">
        <f t="shared" si="257"/>
        <v/>
      </c>
      <c r="BP656" t="str">
        <f t="shared" si="258"/>
        <v/>
      </c>
      <c r="BQ656" t="str">
        <f t="shared" si="259"/>
        <v/>
      </c>
      <c r="BR656" t="str">
        <f t="shared" si="260"/>
        <v/>
      </c>
      <c r="BS656" t="str">
        <f t="shared" si="261"/>
        <v/>
      </c>
      <c r="BT656" t="str">
        <f t="shared" si="262"/>
        <v/>
      </c>
      <c r="BU656" t="str">
        <f t="shared" si="263"/>
        <v/>
      </c>
    </row>
    <row r="657" spans="1:73">
      <c r="A657" s="1">
        <v>144940</v>
      </c>
      <c r="B657" t="str">
        <f>VLOOKUP($A657,[1]Table!$A$2:$N826,B$1,FALSE)</f>
        <v>C03CA01</v>
      </c>
      <c r="C657" t="str">
        <f>VLOOKUP($A657,[1]Table!$A$2:$N826,C$1,FALSE)</f>
        <v>DIURETICA</v>
      </c>
      <c r="D657" t="str">
        <f>VLOOKUP($A657,[1]Table!$A$2:$N826,D$1,FALSE)</f>
        <v>HIGH-CEILING' DIURETICA</v>
      </c>
      <c r="E657" t="str">
        <f>VLOOKUP($A657,[1]Table!$A$2:$N826,E$1,FALSE)</f>
        <v>FUROSEMIDE</v>
      </c>
      <c r="F657" t="str">
        <f>VLOOKUP($A657,[1]Table!$A$2:$N826,F$1,FALSE)</f>
        <v>FUROSEMIDE 5 MG/ML DRANK 100 ML</v>
      </c>
      <c r="G657" t="str">
        <f>VLOOKUP($A657,[1]Table!$A$2:$N826,G$1,FALSE)</f>
        <v>FUROSEMIDE 5MG/ML DRANK</v>
      </c>
      <c r="H657" t="str">
        <f>VLOOKUP($A657,[1]Table!$A$2:$N826,H$1,FALSE)</f>
        <v>drank</v>
      </c>
      <c r="I657" t="str">
        <f>VLOOKUP($A657,[1]Table!$A$2:$N826,I$1,FALSE)</f>
        <v>or</v>
      </c>
      <c r="J657">
        <f>VLOOKUP($A657,[1]Table!$A$2:$N826,J$1,FALSE)</f>
        <v>5</v>
      </c>
      <c r="K657" t="str">
        <f>VLOOKUP($A657,[1]Table!$A$2:$N826,K$1,FALSE)</f>
        <v>mg/ml</v>
      </c>
      <c r="L657">
        <f>VLOOKUP($A657,[1]Table!$A$2:$N826,L$1,FALSE)</f>
        <v>5</v>
      </c>
      <c r="M657" t="str">
        <f>VLOOKUP($A657,[1]Table!$A$2:$N826,M$1,FALSE)</f>
        <v>mg</v>
      </c>
      <c r="N657" t="str">
        <f>VLOOKUP($A657,[1]Table!$A$2:$N826,N$1,FALSE)</f>
        <v>Hypertensie||Diurese</v>
      </c>
      <c r="O657" t="str">
        <f>ConcatenateRange(AZ657:BU657,"||")</f>
        <v/>
      </c>
      <c r="AZ657" t="str">
        <f t="shared" si="242"/>
        <v/>
      </c>
      <c r="BA657" t="str">
        <f t="shared" si="243"/>
        <v/>
      </c>
      <c r="BB657" t="str">
        <f t="shared" si="244"/>
        <v/>
      </c>
      <c r="BC657" t="str">
        <f t="shared" si="245"/>
        <v/>
      </c>
      <c r="BD657" t="str">
        <f t="shared" si="246"/>
        <v/>
      </c>
      <c r="BE657" t="str">
        <f t="shared" si="247"/>
        <v/>
      </c>
      <c r="BF657" t="str">
        <f t="shared" si="248"/>
        <v/>
      </c>
      <c r="BG657" t="str">
        <f t="shared" si="249"/>
        <v/>
      </c>
      <c r="BH657" t="str">
        <f t="shared" si="250"/>
        <v/>
      </c>
      <c r="BI657" t="str">
        <f t="shared" si="251"/>
        <v/>
      </c>
      <c r="BJ657" t="str">
        <f t="shared" si="252"/>
        <v/>
      </c>
      <c r="BK657" t="str">
        <f t="shared" si="253"/>
        <v/>
      </c>
      <c r="BL657" t="str">
        <f t="shared" si="254"/>
        <v/>
      </c>
      <c r="BM657" t="str">
        <f t="shared" si="255"/>
        <v/>
      </c>
      <c r="BN657" t="str">
        <f t="shared" si="256"/>
        <v/>
      </c>
      <c r="BO657" t="str">
        <f t="shared" si="257"/>
        <v/>
      </c>
      <c r="BP657" t="str">
        <f t="shared" si="258"/>
        <v/>
      </c>
      <c r="BQ657" t="str">
        <f t="shared" si="259"/>
        <v/>
      </c>
      <c r="BR657" t="str">
        <f t="shared" si="260"/>
        <v/>
      </c>
      <c r="BS657" t="str">
        <f t="shared" si="261"/>
        <v/>
      </c>
      <c r="BT657" t="str">
        <f t="shared" si="262"/>
        <v/>
      </c>
      <c r="BU657" t="str">
        <f t="shared" si="263"/>
        <v/>
      </c>
    </row>
    <row r="658" spans="1:73">
      <c r="A658" s="1">
        <v>6262</v>
      </c>
      <c r="B658" t="str">
        <f>VLOOKUP($A658,[1]Table!$A$2:$N827,B$1,FALSE)</f>
        <v>C03CA01</v>
      </c>
      <c r="C658" t="str">
        <f>VLOOKUP($A658,[1]Table!$A$2:$N827,C$1,FALSE)</f>
        <v>DIURETICA</v>
      </c>
      <c r="D658" t="str">
        <f>VLOOKUP($A658,[1]Table!$A$2:$N827,D$1,FALSE)</f>
        <v>HIGH-CEILING' DIURETICA</v>
      </c>
      <c r="E658" t="str">
        <f>VLOOKUP($A658,[1]Table!$A$2:$N827,E$1,FALSE)</f>
        <v>FUROSEMIDE</v>
      </c>
      <c r="F658" t="str">
        <f>VLOOKUP($A658,[1]Table!$A$2:$N827,F$1,FALSE)</f>
        <v>FUROSEMIDE 10 MG/ML AMPUL 2 ML</v>
      </c>
      <c r="G658" t="str">
        <f>VLOOKUP($A658,[1]Table!$A$2:$N827,G$1,FALSE)</f>
        <v>FUROSEMIDE 10MG/ML INJVLST</v>
      </c>
      <c r="H658" t="str">
        <f>VLOOKUP($A658,[1]Table!$A$2:$N827,H$1,FALSE)</f>
        <v>injectievloeistof</v>
      </c>
      <c r="I658" t="str">
        <f>VLOOKUP($A658,[1]Table!$A$2:$N827,I$1,FALSE)</f>
        <v>im||iv</v>
      </c>
      <c r="J658">
        <f>VLOOKUP($A658,[1]Table!$A$2:$N827,J$1,FALSE)</f>
        <v>10</v>
      </c>
      <c r="K658" t="str">
        <f>VLOOKUP($A658,[1]Table!$A$2:$N827,K$1,FALSE)</f>
        <v>mg/ml</v>
      </c>
      <c r="L658">
        <f>VLOOKUP($A658,[1]Table!$A$2:$N827,L$1,FALSE)</f>
        <v>10</v>
      </c>
      <c r="M658" t="str">
        <f>VLOOKUP($A658,[1]Table!$A$2:$N827,M$1,FALSE)</f>
        <v>mg</v>
      </c>
      <c r="N658" t="str">
        <f>VLOOKUP($A658,[1]Table!$A$2:$N827,N$1,FALSE)</f>
        <v>Hypertensie||Diurese</v>
      </c>
      <c r="O658" t="str">
        <f>ConcatenateRange(AZ658:BU658,"||")</f>
        <v/>
      </c>
      <c r="AZ658" t="str">
        <f t="shared" si="242"/>
        <v/>
      </c>
      <c r="BA658" t="str">
        <f t="shared" si="243"/>
        <v/>
      </c>
      <c r="BB658" t="str">
        <f t="shared" si="244"/>
        <v/>
      </c>
      <c r="BC658" t="str">
        <f t="shared" si="245"/>
        <v/>
      </c>
      <c r="BD658" t="str">
        <f t="shared" si="246"/>
        <v/>
      </c>
      <c r="BE658" t="str">
        <f t="shared" si="247"/>
        <v/>
      </c>
      <c r="BF658" t="str">
        <f t="shared" si="248"/>
        <v/>
      </c>
      <c r="BG658" t="str">
        <f t="shared" si="249"/>
        <v/>
      </c>
      <c r="BH658" t="str">
        <f t="shared" si="250"/>
        <v/>
      </c>
      <c r="BI658" t="str">
        <f t="shared" si="251"/>
        <v/>
      </c>
      <c r="BJ658" t="str">
        <f t="shared" si="252"/>
        <v/>
      </c>
      <c r="BK658" t="str">
        <f t="shared" si="253"/>
        <v/>
      </c>
      <c r="BL658" t="str">
        <f t="shared" si="254"/>
        <v/>
      </c>
      <c r="BM658" t="str">
        <f t="shared" si="255"/>
        <v/>
      </c>
      <c r="BN658" t="str">
        <f t="shared" si="256"/>
        <v/>
      </c>
      <c r="BO658" t="str">
        <f t="shared" si="257"/>
        <v/>
      </c>
      <c r="BP658" t="str">
        <f t="shared" si="258"/>
        <v/>
      </c>
      <c r="BQ658" t="str">
        <f t="shared" si="259"/>
        <v/>
      </c>
      <c r="BR658" t="str">
        <f t="shared" si="260"/>
        <v/>
      </c>
      <c r="BS658" t="str">
        <f t="shared" si="261"/>
        <v/>
      </c>
      <c r="BT658" t="str">
        <f t="shared" si="262"/>
        <v/>
      </c>
      <c r="BU658" t="str">
        <f t="shared" si="263"/>
        <v/>
      </c>
    </row>
    <row r="659" spans="1:73">
      <c r="A659" s="1">
        <v>10995</v>
      </c>
      <c r="B659" t="str">
        <f>VLOOKUP($A659,[1]Table!$A$2:$N828,B$1,FALSE)</f>
        <v>C03CA01</v>
      </c>
      <c r="C659" t="str">
        <f>VLOOKUP($A659,[1]Table!$A$2:$N828,C$1,FALSE)</f>
        <v>DIURETICA</v>
      </c>
      <c r="D659" t="str">
        <f>VLOOKUP($A659,[1]Table!$A$2:$N828,D$1,FALSE)</f>
        <v>HIGH-CEILING' DIURETICA</v>
      </c>
      <c r="E659" t="str">
        <f>VLOOKUP($A659,[1]Table!$A$2:$N828,E$1,FALSE)</f>
        <v>FUROSEMIDE</v>
      </c>
      <c r="F659" t="str">
        <f>VLOOKUP($A659,[1]Table!$A$2:$N828,F$1,FALSE)</f>
        <v>FUROSEMIDE 20 MG TABLET</v>
      </c>
      <c r="G659" t="str">
        <f>VLOOKUP($A659,[1]Table!$A$2:$N828,G$1,FALSE)</f>
        <v>FUROSEMIDE 20MG TABLET</v>
      </c>
      <c r="H659" t="str">
        <f>VLOOKUP($A659,[1]Table!$A$2:$N828,H$1,FALSE)</f>
        <v>tablet</v>
      </c>
      <c r="I659" t="str">
        <f>VLOOKUP($A659,[1]Table!$A$2:$N828,I$1,FALSE)</f>
        <v>or</v>
      </c>
      <c r="J659">
        <f>VLOOKUP($A659,[1]Table!$A$2:$N828,J$1,FALSE)</f>
        <v>20</v>
      </c>
      <c r="K659" t="str">
        <f>VLOOKUP($A659,[1]Table!$A$2:$N828,K$1,FALSE)</f>
        <v>mg/stuk</v>
      </c>
      <c r="L659">
        <f>VLOOKUP($A659,[1]Table!$A$2:$N828,L$1,FALSE)</f>
        <v>10</v>
      </c>
      <c r="M659" t="str">
        <f>VLOOKUP($A659,[1]Table!$A$2:$N828,M$1,FALSE)</f>
        <v>mg</v>
      </c>
      <c r="N659" t="str">
        <f>VLOOKUP($A659,[1]Table!$A$2:$N828,N$1,FALSE)</f>
        <v>Hypertensie||Diurese</v>
      </c>
      <c r="O659" t="str">
        <f>ConcatenateRange(AZ659:BU659,"||")</f>
        <v/>
      </c>
      <c r="AZ659" t="str">
        <f t="shared" si="242"/>
        <v/>
      </c>
      <c r="BA659" t="str">
        <f t="shared" si="243"/>
        <v/>
      </c>
      <c r="BB659" t="str">
        <f t="shared" si="244"/>
        <v/>
      </c>
      <c r="BC659" t="str">
        <f t="shared" si="245"/>
        <v/>
      </c>
      <c r="BD659" t="str">
        <f t="shared" si="246"/>
        <v/>
      </c>
      <c r="BE659" t="str">
        <f t="shared" si="247"/>
        <v/>
      </c>
      <c r="BF659" t="str">
        <f t="shared" si="248"/>
        <v/>
      </c>
      <c r="BG659" t="str">
        <f t="shared" si="249"/>
        <v/>
      </c>
      <c r="BH659" t="str">
        <f t="shared" si="250"/>
        <v/>
      </c>
      <c r="BI659" t="str">
        <f t="shared" si="251"/>
        <v/>
      </c>
      <c r="BJ659" t="str">
        <f t="shared" si="252"/>
        <v/>
      </c>
      <c r="BK659" t="str">
        <f t="shared" si="253"/>
        <v/>
      </c>
      <c r="BL659" t="str">
        <f t="shared" si="254"/>
        <v/>
      </c>
      <c r="BM659" t="str">
        <f t="shared" si="255"/>
        <v/>
      </c>
      <c r="BN659" t="str">
        <f t="shared" si="256"/>
        <v/>
      </c>
      <c r="BO659" t="str">
        <f t="shared" si="257"/>
        <v/>
      </c>
      <c r="BP659" t="str">
        <f t="shared" si="258"/>
        <v/>
      </c>
      <c r="BQ659" t="str">
        <f t="shared" si="259"/>
        <v/>
      </c>
      <c r="BR659" t="str">
        <f t="shared" si="260"/>
        <v/>
      </c>
      <c r="BS659" t="str">
        <f t="shared" si="261"/>
        <v/>
      </c>
      <c r="BT659" t="str">
        <f t="shared" si="262"/>
        <v/>
      </c>
      <c r="BU659" t="str">
        <f t="shared" si="263"/>
        <v/>
      </c>
    </row>
    <row r="660" spans="1:73">
      <c r="A660" s="1">
        <v>16810</v>
      </c>
      <c r="B660" t="str">
        <f>VLOOKUP($A660,[1]Table!$A$2:$N829,B$1,FALSE)</f>
        <v>C03CA01</v>
      </c>
      <c r="C660" t="str">
        <f>VLOOKUP($A660,[1]Table!$A$2:$N829,C$1,FALSE)</f>
        <v>DIURETICA</v>
      </c>
      <c r="D660" t="str">
        <f>VLOOKUP($A660,[1]Table!$A$2:$N829,D$1,FALSE)</f>
        <v>HIGH-CEILING' DIURETICA</v>
      </c>
      <c r="E660" t="str">
        <f>VLOOKUP($A660,[1]Table!$A$2:$N829,E$1,FALSE)</f>
        <v>FUROSEMIDE</v>
      </c>
      <c r="F660" t="str">
        <f>VLOOKUP($A660,[1]Table!$A$2:$N829,F$1,FALSE)</f>
        <v>FUROSEMIDE 40 MG TABLET</v>
      </c>
      <c r="G660" t="str">
        <f>VLOOKUP($A660,[1]Table!$A$2:$N829,G$1,FALSE)</f>
        <v>FUROSEMIDE 40MG TABLET</v>
      </c>
      <c r="H660" t="str">
        <f>VLOOKUP($A660,[1]Table!$A$2:$N829,H$1,FALSE)</f>
        <v>tablet</v>
      </c>
      <c r="I660" t="str">
        <f>VLOOKUP($A660,[1]Table!$A$2:$N829,I$1,FALSE)</f>
        <v>or</v>
      </c>
      <c r="J660">
        <f>VLOOKUP($A660,[1]Table!$A$2:$N829,J$1,FALSE)</f>
        <v>40</v>
      </c>
      <c r="K660" t="str">
        <f>VLOOKUP($A660,[1]Table!$A$2:$N829,K$1,FALSE)</f>
        <v>mg/stuk</v>
      </c>
      <c r="L660">
        <f>VLOOKUP($A660,[1]Table!$A$2:$N829,L$1,FALSE)</f>
        <v>20</v>
      </c>
      <c r="M660" t="str">
        <f>VLOOKUP($A660,[1]Table!$A$2:$N829,M$1,FALSE)</f>
        <v>mg</v>
      </c>
      <c r="N660" t="str">
        <f>VLOOKUP($A660,[1]Table!$A$2:$N829,N$1,FALSE)</f>
        <v>Hypertensie||Diurese</v>
      </c>
      <c r="O660" t="str">
        <f>ConcatenateRange(AZ660:BU660,"||")</f>
        <v/>
      </c>
      <c r="AZ660" t="str">
        <f t="shared" si="242"/>
        <v/>
      </c>
      <c r="BA660" t="str">
        <f t="shared" si="243"/>
        <v/>
      </c>
      <c r="BB660" t="str">
        <f t="shared" si="244"/>
        <v/>
      </c>
      <c r="BC660" t="str">
        <f t="shared" si="245"/>
        <v/>
      </c>
      <c r="BD660" t="str">
        <f t="shared" si="246"/>
        <v/>
      </c>
      <c r="BE660" t="str">
        <f t="shared" si="247"/>
        <v/>
      </c>
      <c r="BF660" t="str">
        <f t="shared" si="248"/>
        <v/>
      </c>
      <c r="BG660" t="str">
        <f t="shared" si="249"/>
        <v/>
      </c>
      <c r="BH660" t="str">
        <f t="shared" si="250"/>
        <v/>
      </c>
      <c r="BI660" t="str">
        <f t="shared" si="251"/>
        <v/>
      </c>
      <c r="BJ660" t="str">
        <f t="shared" si="252"/>
        <v/>
      </c>
      <c r="BK660" t="str">
        <f t="shared" si="253"/>
        <v/>
      </c>
      <c r="BL660" t="str">
        <f t="shared" si="254"/>
        <v/>
      </c>
      <c r="BM660" t="str">
        <f t="shared" si="255"/>
        <v/>
      </c>
      <c r="BN660" t="str">
        <f t="shared" si="256"/>
        <v/>
      </c>
      <c r="BO660" t="str">
        <f t="shared" si="257"/>
        <v/>
      </c>
      <c r="BP660" t="str">
        <f t="shared" si="258"/>
        <v/>
      </c>
      <c r="BQ660" t="str">
        <f t="shared" si="259"/>
        <v/>
      </c>
      <c r="BR660" t="str">
        <f t="shared" si="260"/>
        <v/>
      </c>
      <c r="BS660" t="str">
        <f t="shared" si="261"/>
        <v/>
      </c>
      <c r="BT660" t="str">
        <f t="shared" si="262"/>
        <v/>
      </c>
      <c r="BU660" t="str">
        <f t="shared" si="263"/>
        <v/>
      </c>
    </row>
    <row r="661" spans="1:73">
      <c r="A661" s="1">
        <v>83631</v>
      </c>
      <c r="B661" t="str">
        <f>VLOOKUP($A661,[1]Table!$A$2:$N830,B$1,FALSE)</f>
        <v>C03CA01</v>
      </c>
      <c r="C661" t="str">
        <f>VLOOKUP($A661,[1]Table!$A$2:$N830,C$1,FALSE)</f>
        <v>DIURETICA</v>
      </c>
      <c r="D661" t="str">
        <f>VLOOKUP($A661,[1]Table!$A$2:$N830,D$1,FALSE)</f>
        <v>HIGH-CEILING' DIURETICA</v>
      </c>
      <c r="E661" t="str">
        <f>VLOOKUP($A661,[1]Table!$A$2:$N830,E$1,FALSE)</f>
        <v>FUROSEMIDE</v>
      </c>
      <c r="F661" t="str">
        <f>VLOOKUP($A661,[1]Table!$A$2:$N830,F$1,FALSE)</f>
        <v>LASIX 500 MG TABLET</v>
      </c>
      <c r="G661" t="str">
        <f>VLOOKUP($A661,[1]Table!$A$2:$N830,G$1,FALSE)</f>
        <v>FUROSEMIDE 500MG TABLET</v>
      </c>
      <c r="H661" t="str">
        <f>VLOOKUP($A661,[1]Table!$A$2:$N830,H$1,FALSE)</f>
        <v>tablet</v>
      </c>
      <c r="I661" t="str">
        <f>VLOOKUP($A661,[1]Table!$A$2:$N830,I$1,FALSE)</f>
        <v>or</v>
      </c>
      <c r="J661">
        <f>VLOOKUP($A661,[1]Table!$A$2:$N830,J$1,FALSE)</f>
        <v>500</v>
      </c>
      <c r="K661" t="str">
        <f>VLOOKUP($A661,[1]Table!$A$2:$N830,K$1,FALSE)</f>
        <v>mg/stuk</v>
      </c>
      <c r="L661">
        <f>VLOOKUP($A661,[1]Table!$A$2:$N830,L$1,FALSE)</f>
        <v>500</v>
      </c>
      <c r="M661" t="str">
        <f>VLOOKUP($A661,[1]Table!$A$2:$N830,M$1,FALSE)</f>
        <v>mg</v>
      </c>
      <c r="N661" t="str">
        <f>VLOOKUP($A661,[1]Table!$A$2:$N830,N$1,FALSE)</f>
        <v>Hypertensie||Diurese</v>
      </c>
      <c r="O661" t="str">
        <f>ConcatenateRange(AZ661:BU661,"||")</f>
        <v/>
      </c>
      <c r="AZ661" t="str">
        <f t="shared" si="242"/>
        <v/>
      </c>
      <c r="BA661" t="str">
        <f t="shared" si="243"/>
        <v/>
      </c>
      <c r="BB661" t="str">
        <f t="shared" si="244"/>
        <v/>
      </c>
      <c r="BC661" t="str">
        <f t="shared" si="245"/>
        <v/>
      </c>
      <c r="BD661" t="str">
        <f t="shared" si="246"/>
        <v/>
      </c>
      <c r="BE661" t="str">
        <f t="shared" si="247"/>
        <v/>
      </c>
      <c r="BF661" t="str">
        <f t="shared" si="248"/>
        <v/>
      </c>
      <c r="BG661" t="str">
        <f t="shared" si="249"/>
        <v/>
      </c>
      <c r="BH661" t="str">
        <f t="shared" si="250"/>
        <v/>
      </c>
      <c r="BI661" t="str">
        <f t="shared" si="251"/>
        <v/>
      </c>
      <c r="BJ661" t="str">
        <f t="shared" si="252"/>
        <v/>
      </c>
      <c r="BK661" t="str">
        <f t="shared" si="253"/>
        <v/>
      </c>
      <c r="BL661" t="str">
        <f t="shared" si="254"/>
        <v/>
      </c>
      <c r="BM661" t="str">
        <f t="shared" si="255"/>
        <v/>
      </c>
      <c r="BN661" t="str">
        <f t="shared" si="256"/>
        <v/>
      </c>
      <c r="BO661" t="str">
        <f t="shared" si="257"/>
        <v/>
      </c>
      <c r="BP661" t="str">
        <f t="shared" si="258"/>
        <v/>
      </c>
      <c r="BQ661" t="str">
        <f t="shared" si="259"/>
        <v/>
      </c>
      <c r="BR661" t="str">
        <f t="shared" si="260"/>
        <v/>
      </c>
      <c r="BS661" t="str">
        <f t="shared" si="261"/>
        <v/>
      </c>
      <c r="BT661" t="str">
        <f t="shared" si="262"/>
        <v/>
      </c>
      <c r="BU661" t="str">
        <f t="shared" si="263"/>
        <v/>
      </c>
    </row>
    <row r="662" spans="1:73">
      <c r="A662" s="1">
        <v>73466</v>
      </c>
      <c r="B662" t="str">
        <f>VLOOKUP($A662,[1]Table!$A$2:$N833,B$1,FALSE)</f>
        <v>D06AX01</v>
      </c>
      <c r="C662" t="str">
        <f>VLOOKUP($A662,[1]Table!$A$2:$N833,C$1,FALSE)</f>
        <v>ANTIMICROBIELE MIDDELEN VOOR DERMATOLOGISCH GEBRUIK</v>
      </c>
      <c r="D662" t="str">
        <f>VLOOKUP($A662,[1]Table!$A$2:$N833,D$1,FALSE)</f>
        <v>ANTIBIOTICA, LOKALE</v>
      </c>
      <c r="E662" t="str">
        <f>VLOOKUP($A662,[1]Table!$A$2:$N833,E$1,FALSE)</f>
        <v>FUSIDINEZUUR</v>
      </c>
      <c r="F662" t="str">
        <f>VLOOKUP($A662,[1]Table!$A$2:$N833,F$1,FALSE)</f>
        <v>FUCIDIN 20 MG/G CREME 15 G</v>
      </c>
      <c r="G662" t="str">
        <f>VLOOKUP($A662,[1]Table!$A$2:$N833,G$1,FALSE)</f>
        <v>FUSIDINEZUUR 20MG/G CREME</v>
      </c>
      <c r="H662" t="str">
        <f>VLOOKUP($A662,[1]Table!$A$2:$N833,H$1,FALSE)</f>
        <v>creme</v>
      </c>
      <c r="I662" t="str">
        <f>VLOOKUP($A662,[1]Table!$A$2:$N833,I$1,FALSE)</f>
        <v>cutaan</v>
      </c>
      <c r="J662">
        <f>VLOOKUP($A662,[1]Table!$A$2:$N833,J$1,FALSE)</f>
        <v>20</v>
      </c>
      <c r="K662" t="str">
        <f>VLOOKUP($A662,[1]Table!$A$2:$N833,K$1,FALSE)</f>
        <v>mg/gr</v>
      </c>
      <c r="L662">
        <f>VLOOKUP($A662,[1]Table!$A$2:$N833,L$1,FALSE)</f>
        <v>20</v>
      </c>
      <c r="M662" t="str">
        <f>VLOOKUP($A662,[1]Table!$A$2:$N833,M$1,FALSE)</f>
        <v>mg</v>
      </c>
      <c r="N662" t="str">
        <f>VLOOKUP($A662,[1]Table!$A$2:$N833,N$1,FALSE)</f>
        <v>Impetigo</v>
      </c>
      <c r="O662" t="str">
        <f>ConcatenateRange(AZ662:BU662,"||")</f>
        <v/>
      </c>
      <c r="AZ662" t="str">
        <f t="shared" si="242"/>
        <v/>
      </c>
      <c r="BA662" t="str">
        <f t="shared" si="243"/>
        <v/>
      </c>
      <c r="BB662" t="str">
        <f t="shared" si="244"/>
        <v/>
      </c>
      <c r="BC662" t="str">
        <f t="shared" si="245"/>
        <v/>
      </c>
      <c r="BD662" t="str">
        <f t="shared" si="246"/>
        <v/>
      </c>
      <c r="BE662" t="str">
        <f t="shared" si="247"/>
        <v/>
      </c>
      <c r="BF662" t="str">
        <f t="shared" si="248"/>
        <v/>
      </c>
      <c r="BG662" t="str">
        <f t="shared" si="249"/>
        <v/>
      </c>
      <c r="BH662" t="str">
        <f t="shared" si="250"/>
        <v/>
      </c>
      <c r="BI662" t="str">
        <f t="shared" si="251"/>
        <v/>
      </c>
      <c r="BJ662" t="str">
        <f t="shared" si="252"/>
        <v/>
      </c>
      <c r="BK662" t="str">
        <f t="shared" si="253"/>
        <v/>
      </c>
      <c r="BL662" t="str">
        <f t="shared" si="254"/>
        <v/>
      </c>
      <c r="BM662" t="str">
        <f t="shared" si="255"/>
        <v/>
      </c>
      <c r="BN662" t="str">
        <f t="shared" si="256"/>
        <v/>
      </c>
      <c r="BO662" t="str">
        <f t="shared" si="257"/>
        <v/>
      </c>
      <c r="BP662" t="str">
        <f t="shared" si="258"/>
        <v/>
      </c>
      <c r="BQ662" t="str">
        <f t="shared" si="259"/>
        <v/>
      </c>
      <c r="BR662" t="str">
        <f t="shared" si="260"/>
        <v/>
      </c>
      <c r="BS662" t="str">
        <f t="shared" si="261"/>
        <v/>
      </c>
      <c r="BT662" t="str">
        <f t="shared" si="262"/>
        <v/>
      </c>
      <c r="BU662" t="str">
        <f t="shared" si="263"/>
        <v/>
      </c>
    </row>
    <row r="663" spans="1:73">
      <c r="A663" s="1">
        <v>113786</v>
      </c>
      <c r="B663" t="str">
        <f>VLOOKUP($A663,[1]Table!$A$2:$N831,B$1,FALSE)</f>
        <v>J01XC01</v>
      </c>
      <c r="C663" t="str">
        <f>VLOOKUP($A663,[1]Table!$A$2:$N831,C$1,FALSE)</f>
        <v>ANTIBACTERIELE MIDDELEN VOOR SYSTEMISCH GEBRUIK</v>
      </c>
      <c r="D663" t="str">
        <f>VLOOKUP($A663,[1]Table!$A$2:$N831,D$1,FALSE)</f>
        <v>OVERIGE ANTIBACTERIELE MIDDELEN</v>
      </c>
      <c r="E663" t="str">
        <f>VLOOKUP($A663,[1]Table!$A$2:$N831,E$1,FALSE)</f>
        <v>FUSIDINEZUUR</v>
      </c>
      <c r="F663" t="str">
        <f>VLOOKUP($A663,[1]Table!$A$2:$N831,F$1,FALSE)</f>
        <v>FUCIDIN 250 MG TABLET OMHULD</v>
      </c>
      <c r="G663" t="str">
        <f>VLOOKUP($A663,[1]Table!$A$2:$N831,G$1,FALSE)</f>
        <v>FUSIDINEZUUR 250MG TAB OMH</v>
      </c>
      <c r="H663" t="str">
        <f>VLOOKUP($A663,[1]Table!$A$2:$N831,H$1,FALSE)</f>
        <v>omhulde tablet</v>
      </c>
      <c r="I663" t="str">
        <f>VLOOKUP($A663,[1]Table!$A$2:$N831,I$1,FALSE)</f>
        <v>or</v>
      </c>
      <c r="J663">
        <f>VLOOKUP($A663,[1]Table!$A$2:$N831,J$1,FALSE)</f>
        <v>250</v>
      </c>
      <c r="K663" t="str">
        <f>VLOOKUP($A663,[1]Table!$A$2:$N831,K$1,FALSE)</f>
        <v>mg/stuk</v>
      </c>
      <c r="L663">
        <f>VLOOKUP($A663,[1]Table!$A$2:$N831,L$1,FALSE)</f>
        <v>250</v>
      </c>
      <c r="M663" t="str">
        <f>VLOOKUP($A663,[1]Table!$A$2:$N831,M$1,FALSE)</f>
        <v>mg</v>
      </c>
      <c r="N663" t="str">
        <f>VLOOKUP($A663,[1]Table!$A$2:$N831,N$1,FALSE)</f>
        <v>Infecties</v>
      </c>
      <c r="O663" t="str">
        <f>ConcatenateRange(AZ663:BU663,"||")</f>
        <v/>
      </c>
      <c r="AZ663" t="str">
        <f t="shared" si="242"/>
        <v/>
      </c>
      <c r="BA663" t="str">
        <f t="shared" si="243"/>
        <v/>
      </c>
      <c r="BB663" t="str">
        <f t="shared" si="244"/>
        <v/>
      </c>
      <c r="BC663" t="str">
        <f t="shared" si="245"/>
        <v/>
      </c>
      <c r="BD663" t="str">
        <f t="shared" si="246"/>
        <v/>
      </c>
      <c r="BE663" t="str">
        <f t="shared" si="247"/>
        <v/>
      </c>
      <c r="BF663" t="str">
        <f t="shared" si="248"/>
        <v/>
      </c>
      <c r="BG663" t="str">
        <f t="shared" si="249"/>
        <v/>
      </c>
      <c r="BH663" t="str">
        <f t="shared" si="250"/>
        <v/>
      </c>
      <c r="BI663" t="str">
        <f t="shared" si="251"/>
        <v/>
      </c>
      <c r="BJ663" t="str">
        <f t="shared" si="252"/>
        <v/>
      </c>
      <c r="BK663" t="str">
        <f t="shared" si="253"/>
        <v/>
      </c>
      <c r="BL663" t="str">
        <f t="shared" si="254"/>
        <v/>
      </c>
      <c r="BM663" t="str">
        <f t="shared" si="255"/>
        <v/>
      </c>
      <c r="BN663" t="str">
        <f t="shared" si="256"/>
        <v/>
      </c>
      <c r="BO663" t="str">
        <f t="shared" si="257"/>
        <v/>
      </c>
      <c r="BP663" t="str">
        <f t="shared" si="258"/>
        <v/>
      </c>
      <c r="BQ663" t="str">
        <f t="shared" si="259"/>
        <v/>
      </c>
      <c r="BR663" t="str">
        <f t="shared" si="260"/>
        <v/>
      </c>
      <c r="BS663" t="str">
        <f t="shared" si="261"/>
        <v/>
      </c>
      <c r="BT663" t="str">
        <f t="shared" si="262"/>
        <v/>
      </c>
      <c r="BU663" t="str">
        <f t="shared" si="263"/>
        <v/>
      </c>
    </row>
    <row r="664" spans="1:73">
      <c r="A664" s="1">
        <v>72265</v>
      </c>
      <c r="B664" t="str">
        <f>VLOOKUP($A664,[1]Table!$A$2:$N834,B$1,FALSE)</f>
        <v>S01AA13</v>
      </c>
      <c r="C664" t="str">
        <f>VLOOKUP($A664,[1]Table!$A$2:$N834,C$1,FALSE)</f>
        <v>MIDDELEN VOOR OOGHEELKUNDIG GEBRUIK</v>
      </c>
      <c r="D664" t="str">
        <f>VLOOKUP($A664,[1]Table!$A$2:$N834,D$1,FALSE)</f>
        <v>ANTIMICROBIELE MIDDELEN</v>
      </c>
      <c r="E664" t="str">
        <f>VLOOKUP($A664,[1]Table!$A$2:$N834,E$1,FALSE)</f>
        <v>FUSIDINEZUUR</v>
      </c>
      <c r="F664" t="str">
        <f>VLOOKUP($A664,[1]Table!$A$2:$N834,F$1,FALSE)</f>
        <v>FUCITHALMIC OOGGEL 5 GRAM</v>
      </c>
      <c r="G664" t="str">
        <f>VLOOKUP($A664,[1]Table!$A$2:$N834,G$1,FALSE)</f>
        <v>FUSIDINEZUUR 10MG/G OOGGEL</v>
      </c>
      <c r="H664" t="str">
        <f>VLOOKUP($A664,[1]Table!$A$2:$N834,H$1,FALSE)</f>
        <v>ooggel</v>
      </c>
      <c r="I664" t="str">
        <f>VLOOKUP($A664,[1]Table!$A$2:$N834,I$1,FALSE)</f>
        <v>oog</v>
      </c>
      <c r="J664">
        <f>VLOOKUP($A664,[1]Table!$A$2:$N834,J$1,FALSE)</f>
        <v>10</v>
      </c>
      <c r="K664" t="str">
        <f>VLOOKUP($A664,[1]Table!$A$2:$N834,K$1,FALSE)</f>
        <v>mg/gr</v>
      </c>
      <c r="L664">
        <f>VLOOKUP($A664,[1]Table!$A$2:$N834,L$1,FALSE)</f>
        <v>10</v>
      </c>
      <c r="M664" t="str">
        <f>VLOOKUP($A664,[1]Table!$A$2:$N834,M$1,FALSE)</f>
        <v>mg</v>
      </c>
      <c r="N664" t="str">
        <f>VLOOKUP($A664,[1]Table!$A$2:$N834,N$1,FALSE)</f>
        <v>Acute bacteriële conjunctivitis</v>
      </c>
      <c r="O664" t="str">
        <f>ConcatenateRange(AZ664:BU664,"||")</f>
        <v/>
      </c>
      <c r="AZ664" t="str">
        <f t="shared" si="242"/>
        <v/>
      </c>
      <c r="BA664" t="str">
        <f t="shared" si="243"/>
        <v/>
      </c>
      <c r="BB664" t="str">
        <f t="shared" si="244"/>
        <v/>
      </c>
      <c r="BC664" t="str">
        <f t="shared" si="245"/>
        <v/>
      </c>
      <c r="BD664" t="str">
        <f t="shared" si="246"/>
        <v/>
      </c>
      <c r="BE664" t="str">
        <f t="shared" si="247"/>
        <v/>
      </c>
      <c r="BF664" t="str">
        <f t="shared" si="248"/>
        <v/>
      </c>
      <c r="BG664" t="str">
        <f t="shared" si="249"/>
        <v/>
      </c>
      <c r="BH664" t="str">
        <f t="shared" si="250"/>
        <v/>
      </c>
      <c r="BI664" t="str">
        <f t="shared" si="251"/>
        <v/>
      </c>
      <c r="BJ664" t="str">
        <f t="shared" si="252"/>
        <v/>
      </c>
      <c r="BK664" t="str">
        <f t="shared" si="253"/>
        <v/>
      </c>
      <c r="BL664" t="str">
        <f t="shared" si="254"/>
        <v/>
      </c>
      <c r="BM664" t="str">
        <f t="shared" si="255"/>
        <v/>
      </c>
      <c r="BN664" t="str">
        <f t="shared" si="256"/>
        <v/>
      </c>
      <c r="BO664" t="str">
        <f t="shared" si="257"/>
        <v/>
      </c>
      <c r="BP664" t="str">
        <f t="shared" si="258"/>
        <v/>
      </c>
      <c r="BQ664" t="str">
        <f t="shared" si="259"/>
        <v/>
      </c>
      <c r="BR664" t="str">
        <f t="shared" si="260"/>
        <v/>
      </c>
      <c r="BS664" t="str">
        <f t="shared" si="261"/>
        <v/>
      </c>
      <c r="BT664" t="str">
        <f t="shared" si="262"/>
        <v/>
      </c>
      <c r="BU664" t="str">
        <f t="shared" si="263"/>
        <v/>
      </c>
    </row>
    <row r="665" spans="1:73">
      <c r="A665" s="1">
        <v>103713</v>
      </c>
      <c r="B665" t="str">
        <f>VLOOKUP($A665,[1]Table!$A$2:$N832,B$1,FALSE)</f>
        <v>D06AX01</v>
      </c>
      <c r="C665" t="str">
        <f>VLOOKUP($A665,[1]Table!$A$2:$N832,C$1,FALSE)</f>
        <v>ANTIMICROBIELE MIDDELEN VOOR DERMATOLOGISCH GEBRUIK</v>
      </c>
      <c r="D665" t="str">
        <f>VLOOKUP($A665,[1]Table!$A$2:$N832,D$1,FALSE)</f>
        <v>ANTIBIOTICA, LOKALE</v>
      </c>
      <c r="E665" t="str">
        <f>VLOOKUP($A665,[1]Table!$A$2:$N832,E$1,FALSE)</f>
        <v>FUSIDINEZUUR</v>
      </c>
      <c r="F665" t="str">
        <f>VLOOKUP($A665,[1]Table!$A$2:$N832,F$1,FALSE)</f>
        <v>FUCIDIN 20 MG/G ZALF 30 G</v>
      </c>
      <c r="G665" t="str">
        <f>VLOOKUP($A665,[1]Table!$A$2:$N832,G$1,FALSE)</f>
        <v>FUSIDINEZUUR 20MG/G ZALF</v>
      </c>
      <c r="H665" t="str">
        <f>VLOOKUP($A665,[1]Table!$A$2:$N832,H$1,FALSE)</f>
        <v>zalf</v>
      </c>
      <c r="I665" t="str">
        <f>VLOOKUP($A665,[1]Table!$A$2:$N832,I$1,FALSE)</f>
        <v>cutaan</v>
      </c>
      <c r="J665">
        <f>VLOOKUP($A665,[1]Table!$A$2:$N832,J$1,FALSE)</f>
        <v>20</v>
      </c>
      <c r="K665" t="str">
        <f>VLOOKUP($A665,[1]Table!$A$2:$N832,K$1,FALSE)</f>
        <v>mg/gr</v>
      </c>
      <c r="L665">
        <f>VLOOKUP($A665,[1]Table!$A$2:$N832,L$1,FALSE)</f>
        <v>20</v>
      </c>
      <c r="M665" t="str">
        <f>VLOOKUP($A665,[1]Table!$A$2:$N832,M$1,FALSE)</f>
        <v>mg</v>
      </c>
      <c r="N665" t="str">
        <f>VLOOKUP($A665,[1]Table!$A$2:$N832,N$1,FALSE)</f>
        <v>Impetigo</v>
      </c>
      <c r="O665" t="str">
        <f>ConcatenateRange(AZ665:BU665,"||")</f>
        <v/>
      </c>
      <c r="AZ665" t="str">
        <f t="shared" si="242"/>
        <v/>
      </c>
      <c r="BA665" t="str">
        <f t="shared" si="243"/>
        <v/>
      </c>
      <c r="BB665" t="str">
        <f t="shared" si="244"/>
        <v/>
      </c>
      <c r="BC665" t="str">
        <f t="shared" si="245"/>
        <v/>
      </c>
      <c r="BD665" t="str">
        <f t="shared" si="246"/>
        <v/>
      </c>
      <c r="BE665" t="str">
        <f t="shared" si="247"/>
        <v/>
      </c>
      <c r="BF665" t="str">
        <f t="shared" si="248"/>
        <v/>
      </c>
      <c r="BG665" t="str">
        <f t="shared" si="249"/>
        <v/>
      </c>
      <c r="BH665" t="str">
        <f t="shared" si="250"/>
        <v/>
      </c>
      <c r="BI665" t="str">
        <f t="shared" si="251"/>
        <v/>
      </c>
      <c r="BJ665" t="str">
        <f t="shared" si="252"/>
        <v/>
      </c>
      <c r="BK665" t="str">
        <f t="shared" si="253"/>
        <v/>
      </c>
      <c r="BL665" t="str">
        <f t="shared" si="254"/>
        <v/>
      </c>
      <c r="BM665" t="str">
        <f t="shared" si="255"/>
        <v/>
      </c>
      <c r="BN665" t="str">
        <f t="shared" si="256"/>
        <v/>
      </c>
      <c r="BO665" t="str">
        <f t="shared" si="257"/>
        <v/>
      </c>
      <c r="BP665" t="str">
        <f t="shared" si="258"/>
        <v/>
      </c>
      <c r="BQ665" t="str">
        <f t="shared" si="259"/>
        <v/>
      </c>
      <c r="BR665" t="str">
        <f t="shared" si="260"/>
        <v/>
      </c>
      <c r="BS665" t="str">
        <f t="shared" si="261"/>
        <v/>
      </c>
      <c r="BT665" t="str">
        <f t="shared" si="262"/>
        <v/>
      </c>
      <c r="BU665" t="str">
        <f t="shared" si="263"/>
        <v/>
      </c>
    </row>
    <row r="666" spans="1:73">
      <c r="A666" s="1">
        <v>121029</v>
      </c>
      <c r="B666" t="str">
        <f>VLOOKUP($A666,[1]Table!$A$2:$N835,B$1,FALSE)</f>
        <v>B02BA01</v>
      </c>
      <c r="C666" t="str">
        <f>VLOOKUP($A666,[1]Table!$A$2:$N835,C$1,FALSE)</f>
        <v>ANTIHAEMORRHAGICA</v>
      </c>
      <c r="D666" t="str">
        <f>VLOOKUP($A666,[1]Table!$A$2:$N835,D$1,FALSE)</f>
        <v>VITAMINE K EN OVERIGE HAEMOSTATICA</v>
      </c>
      <c r="E666" t="str">
        <f>VLOOKUP($A666,[1]Table!$A$2:$N835,E$1,FALSE)</f>
        <v>FYTOMENADION</v>
      </c>
      <c r="F666" t="str">
        <f>VLOOKUP($A666,[1]Table!$A$2:$N835,F$1,FALSE)</f>
        <v>FYTOMENADION 10MG/ML  DRANK</v>
      </c>
      <c r="G666" t="str">
        <f>VLOOKUP($A666,[1]Table!$A$2:$N835,G$1,FALSE)</f>
        <v>FYTOMENADION 10MG/ML DRANK</v>
      </c>
      <c r="H666" t="str">
        <f>VLOOKUP($A666,[1]Table!$A$2:$N835,H$1,FALSE)</f>
        <v>drank</v>
      </c>
      <c r="I666" t="str">
        <f>VLOOKUP($A666,[1]Table!$A$2:$N835,I$1,FALSE)</f>
        <v>or</v>
      </c>
      <c r="J666">
        <f>VLOOKUP($A666,[1]Table!$A$2:$N835,J$1,FALSE)</f>
        <v>10</v>
      </c>
      <c r="K666" t="str">
        <f>VLOOKUP($A666,[1]Table!$A$2:$N835,K$1,FALSE)</f>
        <v>mg/ml</v>
      </c>
      <c r="L666">
        <f>VLOOKUP($A666,[1]Table!$A$2:$N835,L$1,FALSE)</f>
        <v>10</v>
      </c>
      <c r="M666" t="str">
        <f>VLOOKUP($A666,[1]Table!$A$2:$N835,M$1,FALSE)</f>
        <v>mg</v>
      </c>
      <c r="N666" t="str">
        <f>VLOOKUP($A666,[1]Table!$A$2:$N835,N$1,FALSE)</f>
        <v>Profylaxe vitamine K deficientie bloedingen||Galgangatresie||Coumarine intoxicatie||Gastro-intestinale bloedingen||Suppletie bij Cystic Fibrosis||Correctie deficientie</v>
      </c>
      <c r="O666" t="str">
        <f>ConcatenateRange(AZ666:BU666,"||")</f>
        <v/>
      </c>
      <c r="AZ666" t="str">
        <f t="shared" si="242"/>
        <v/>
      </c>
      <c r="BA666" t="str">
        <f t="shared" si="243"/>
        <v/>
      </c>
      <c r="BB666" t="str">
        <f t="shared" si="244"/>
        <v/>
      </c>
      <c r="BC666" t="str">
        <f t="shared" si="245"/>
        <v/>
      </c>
      <c r="BD666" t="str">
        <f t="shared" si="246"/>
        <v/>
      </c>
      <c r="BE666" t="str">
        <f t="shared" si="247"/>
        <v/>
      </c>
      <c r="BF666" t="str">
        <f t="shared" si="248"/>
        <v/>
      </c>
      <c r="BG666" t="str">
        <f t="shared" si="249"/>
        <v/>
      </c>
      <c r="BH666" t="str">
        <f t="shared" si="250"/>
        <v/>
      </c>
      <c r="BI666" t="str">
        <f t="shared" si="251"/>
        <v/>
      </c>
      <c r="BJ666" t="str">
        <f t="shared" si="252"/>
        <v/>
      </c>
      <c r="BK666" t="str">
        <f t="shared" si="253"/>
        <v/>
      </c>
      <c r="BL666" t="str">
        <f t="shared" si="254"/>
        <v/>
      </c>
      <c r="BM666" t="str">
        <f t="shared" si="255"/>
        <v/>
      </c>
      <c r="BN666" t="str">
        <f t="shared" si="256"/>
        <v/>
      </c>
      <c r="BO666" t="str">
        <f t="shared" si="257"/>
        <v/>
      </c>
      <c r="BP666" t="str">
        <f t="shared" si="258"/>
        <v/>
      </c>
      <c r="BQ666" t="str">
        <f t="shared" si="259"/>
        <v/>
      </c>
      <c r="BR666" t="str">
        <f t="shared" si="260"/>
        <v/>
      </c>
      <c r="BS666" t="str">
        <f t="shared" si="261"/>
        <v/>
      </c>
      <c r="BT666" t="str">
        <f t="shared" si="262"/>
        <v/>
      </c>
      <c r="BU666" t="str">
        <f t="shared" si="263"/>
        <v/>
      </c>
    </row>
    <row r="667" spans="1:73">
      <c r="A667" s="20">
        <v>98044052</v>
      </c>
      <c r="B667" t="str">
        <f>VLOOKUP($A667,[1]Table!$A$2:$N1699,B$1,FALSE)</f>
        <v>B02BA01</v>
      </c>
      <c r="C667" t="str">
        <f>VLOOKUP($A667,[1]Table!$A$2:$N1699,C$1,FALSE)</f>
        <v>ANTIHAEMORRHAGICA</v>
      </c>
      <c r="D667" t="str">
        <f>VLOOKUP($A667,[1]Table!$A$2:$N1699,D$1,FALSE)</f>
        <v>VITAMINE K EN OVERIGE HAEMOSTATICA</v>
      </c>
      <c r="E667" t="str">
        <f>VLOOKUP($A667,[1]Table!$A$2:$N1699,E$1,FALSE)</f>
        <v>FYTOMENADION</v>
      </c>
      <c r="F667" t="str">
        <f>VLOOKUP($A667,[1]Table!$A$2:$N1699,F$1,FALSE)</f>
        <v>DAVITAMON K IN OLIE 30 MICROG/DRUPPEL</v>
      </c>
      <c r="G667" t="str">
        <f>VLOOKUP($A667,[1]Table!$A$2:$N1699,G$1,FALSE)</f>
        <v>FYTOMENADION (VITAMINE K) 3</v>
      </c>
      <c r="H667" t="str">
        <f>VLOOKUP($A667,[1]Table!$A$2:$N1699,H$1,FALSE)</f>
        <v>druppels voor oraal gebruik</v>
      </c>
      <c r="I667" t="str">
        <f>VLOOKUP($A667,[1]Table!$A$2:$N1699,I$1,FALSE)</f>
        <v>or</v>
      </c>
      <c r="J667">
        <f>VLOOKUP($A667,[1]Table!$A$2:$N1699,J$1,FALSE)</f>
        <v>30</v>
      </c>
      <c r="K667" t="str">
        <f>VLOOKUP($A667,[1]Table!$A$2:$N1699,K$1,FALSE)</f>
        <v>mcg/druppel</v>
      </c>
      <c r="L667">
        <f>VLOOKUP($A667,[1]Table!$A$2:$N1699,L$1,FALSE)</f>
        <v>30</v>
      </c>
      <c r="M667" t="str">
        <f>VLOOKUP($A667,[1]Table!$A$2:$N1699,M$1,FALSE)</f>
        <v>mcg</v>
      </c>
      <c r="N667" t="str">
        <f>VLOOKUP($A667,[1]Table!$A$2:$N1699,N$1,FALSE)</f>
        <v>Profylaxe vitamine K deficientie bloedingen||Galgangatresie||Coumarine intoxicatie||Gastro-intestinale bloedingen||Suppletie bij Cystic Fibrosis||Correctie deficientie</v>
      </c>
      <c r="AZ667" t="str">
        <f t="shared" si="242"/>
        <v/>
      </c>
      <c r="BA667" t="str">
        <f t="shared" si="243"/>
        <v/>
      </c>
      <c r="BB667" t="str">
        <f t="shared" si="244"/>
        <v/>
      </c>
      <c r="BC667" t="str">
        <f t="shared" si="245"/>
        <v/>
      </c>
      <c r="BD667" t="str">
        <f t="shared" si="246"/>
        <v/>
      </c>
      <c r="BE667" t="str">
        <f t="shared" si="247"/>
        <v/>
      </c>
      <c r="BF667" t="str">
        <f t="shared" si="248"/>
        <v/>
      </c>
      <c r="BG667" t="str">
        <f t="shared" si="249"/>
        <v/>
      </c>
      <c r="BH667" t="str">
        <f t="shared" si="250"/>
        <v/>
      </c>
      <c r="BI667" t="str">
        <f t="shared" si="251"/>
        <v/>
      </c>
      <c r="BJ667" t="str">
        <f t="shared" si="252"/>
        <v/>
      </c>
      <c r="BK667" t="str">
        <f t="shared" si="253"/>
        <v/>
      </c>
      <c r="BL667" t="str">
        <f t="shared" si="254"/>
        <v/>
      </c>
      <c r="BM667" t="str">
        <f t="shared" si="255"/>
        <v/>
      </c>
      <c r="BN667" t="str">
        <f t="shared" si="256"/>
        <v/>
      </c>
      <c r="BO667" t="str">
        <f t="shared" si="257"/>
        <v/>
      </c>
      <c r="BP667" t="str">
        <f t="shared" si="258"/>
        <v/>
      </c>
      <c r="BQ667" t="str">
        <f t="shared" si="259"/>
        <v/>
      </c>
      <c r="BR667" t="str">
        <f t="shared" si="260"/>
        <v/>
      </c>
      <c r="BS667" t="str">
        <f t="shared" si="261"/>
        <v/>
      </c>
      <c r="BT667" t="str">
        <f t="shared" si="262"/>
        <v/>
      </c>
      <c r="BU667" t="str">
        <f t="shared" si="263"/>
        <v/>
      </c>
    </row>
    <row r="668" spans="1:73">
      <c r="A668" s="1">
        <v>133965</v>
      </c>
      <c r="B668" t="str">
        <f>VLOOKUP($A668,[1]Table!$A$2:$N837,B$1,FALSE)</f>
        <v>B02BA01</v>
      </c>
      <c r="C668" t="str">
        <f>VLOOKUP($A668,[1]Table!$A$2:$N837,C$1,FALSE)</f>
        <v>ANTIHAEMORRHAGICA</v>
      </c>
      <c r="D668" t="str">
        <f>VLOOKUP($A668,[1]Table!$A$2:$N837,D$1,FALSE)</f>
        <v>VITAMINE K EN OVERIGE HAEMOSTATICA</v>
      </c>
      <c r="E668" t="str">
        <f>VLOOKUP($A668,[1]Table!$A$2:$N837,E$1,FALSE)</f>
        <v>FYTOMENADION</v>
      </c>
      <c r="F668" t="str">
        <f>VLOOKUP($A668,[1]Table!$A$2:$N837,F$1,FALSE)</f>
        <v>KONAKION MM 10 MG/ML / OOK ORAAL! AMPUL</v>
      </c>
      <c r="G668" t="str">
        <f>VLOOKUP($A668,[1]Table!$A$2:$N837,G$1,FALSE)</f>
        <v>FYTOMENADION 10MG/ML INJVLS</v>
      </c>
      <c r="H668" t="str">
        <f>VLOOKUP($A668,[1]Table!$A$2:$N837,H$1,FALSE)</f>
        <v>injectievloeistof</v>
      </c>
      <c r="I668" t="str">
        <f>VLOOKUP($A668,[1]Table!$A$2:$N837,I$1,FALSE)</f>
        <v>iv||or||im</v>
      </c>
      <c r="J668">
        <f>VLOOKUP($A668,[1]Table!$A$2:$N837,J$1,FALSE)</f>
        <v>10</v>
      </c>
      <c r="K668" t="str">
        <f>VLOOKUP($A668,[1]Table!$A$2:$N837,K$1,FALSE)</f>
        <v>mg/ml</v>
      </c>
      <c r="L668">
        <f>VLOOKUP($A668,[1]Table!$A$2:$N837,L$1,FALSE)</f>
        <v>10</v>
      </c>
      <c r="M668" t="str">
        <f>VLOOKUP($A668,[1]Table!$A$2:$N837,M$1,FALSE)</f>
        <v>mg</v>
      </c>
      <c r="N668" t="str">
        <f>VLOOKUP($A668,[1]Table!$A$2:$N837,N$1,FALSE)</f>
        <v>Profylaxe vitamine K deficientie bloedingen||Galgangatresie||Coumarine intoxicatie||Gastro-intestinale bloedingen||Suppletie bij Cystic Fibrosis||Correctie deficientie</v>
      </c>
      <c r="O668" t="str">
        <f>ConcatenateRange(AZ668:BU668,"||")</f>
        <v/>
      </c>
      <c r="AZ668" t="str">
        <f t="shared" si="242"/>
        <v/>
      </c>
      <c r="BA668" t="str">
        <f t="shared" si="243"/>
        <v/>
      </c>
      <c r="BB668" t="str">
        <f t="shared" si="244"/>
        <v/>
      </c>
      <c r="BC668" t="str">
        <f t="shared" si="245"/>
        <v/>
      </c>
      <c r="BD668" t="str">
        <f t="shared" si="246"/>
        <v/>
      </c>
      <c r="BE668" t="str">
        <f t="shared" si="247"/>
        <v/>
      </c>
      <c r="BF668" t="str">
        <f t="shared" si="248"/>
        <v/>
      </c>
      <c r="BG668" t="str">
        <f t="shared" si="249"/>
        <v/>
      </c>
      <c r="BH668" t="str">
        <f t="shared" si="250"/>
        <v/>
      </c>
      <c r="BI668" t="str">
        <f t="shared" si="251"/>
        <v/>
      </c>
      <c r="BJ668" t="str">
        <f t="shared" si="252"/>
        <v/>
      </c>
      <c r="BK668" t="str">
        <f t="shared" si="253"/>
        <v/>
      </c>
      <c r="BL668" t="str">
        <f t="shared" si="254"/>
        <v/>
      </c>
      <c r="BM668" t="str">
        <f t="shared" si="255"/>
        <v/>
      </c>
      <c r="BN668" t="str">
        <f t="shared" si="256"/>
        <v/>
      </c>
      <c r="BO668" t="str">
        <f t="shared" si="257"/>
        <v/>
      </c>
      <c r="BP668" t="str">
        <f t="shared" si="258"/>
        <v/>
      </c>
      <c r="BQ668" t="str">
        <f t="shared" si="259"/>
        <v/>
      </c>
      <c r="BR668" t="str">
        <f t="shared" si="260"/>
        <v/>
      </c>
      <c r="BS668" t="str">
        <f t="shared" si="261"/>
        <v/>
      </c>
      <c r="BT668" t="str">
        <f t="shared" si="262"/>
        <v/>
      </c>
      <c r="BU668" t="str">
        <f t="shared" si="263"/>
        <v/>
      </c>
    </row>
    <row r="669" spans="1:73">
      <c r="A669" s="1">
        <v>142697</v>
      </c>
      <c r="B669" t="str">
        <f>VLOOKUP($A669,[1]Table!$A$2:$N838,B$1,FALSE)</f>
        <v>B02BA01</v>
      </c>
      <c r="C669" t="str">
        <f>VLOOKUP($A669,[1]Table!$A$2:$N838,C$1,FALSE)</f>
        <v>ANTIHAEMORRHAGICA</v>
      </c>
      <c r="D669" t="str">
        <f>VLOOKUP($A669,[1]Table!$A$2:$N838,D$1,FALSE)</f>
        <v>VITAMINE K EN OVERIGE HAEMOSTATICA</v>
      </c>
      <c r="E669" t="str">
        <f>VLOOKUP($A669,[1]Table!$A$2:$N838,E$1,FALSE)</f>
        <v>FYTOMENADION</v>
      </c>
      <c r="F669" t="str">
        <f>VLOOKUP($A669,[1]Table!$A$2:$N838,F$1,FALSE)</f>
        <v>VITAMINE K 1 MG TABLET</v>
      </c>
      <c r="G669" t="str">
        <f>VLOOKUP($A669,[1]Table!$A$2:$N838,G$1,FALSE)</f>
        <v>FYTOMENADION 1MG TABLET</v>
      </c>
      <c r="H669" t="str">
        <f>VLOOKUP($A669,[1]Table!$A$2:$N838,H$1,FALSE)</f>
        <v>tablet</v>
      </c>
      <c r="I669" t="str">
        <f>VLOOKUP($A669,[1]Table!$A$2:$N838,I$1,FALSE)</f>
        <v>or</v>
      </c>
      <c r="J669">
        <f>VLOOKUP($A669,[1]Table!$A$2:$N838,J$1,FALSE)</f>
        <v>1</v>
      </c>
      <c r="K669" t="str">
        <f>VLOOKUP($A669,[1]Table!$A$2:$N838,K$1,FALSE)</f>
        <v>mg/stuk</v>
      </c>
      <c r="L669">
        <f>VLOOKUP($A669,[1]Table!$A$2:$N838,L$1,FALSE)</f>
        <v>1</v>
      </c>
      <c r="M669" t="str">
        <f>VLOOKUP($A669,[1]Table!$A$2:$N838,M$1,FALSE)</f>
        <v>mg</v>
      </c>
      <c r="N669" t="str">
        <f>VLOOKUP($A669,[1]Table!$A$2:$N838,N$1,FALSE)</f>
        <v>Profylaxe vitamine K deficientie bloedingen||Galgangatresie||Coumarine intoxicatie||Gastro-intestinale bloedingen||Suppletie bij Cystic Fibrosis||Correctie deficientie</v>
      </c>
      <c r="O669" t="str">
        <f>ConcatenateRange(AZ669:BU669,"||")</f>
        <v/>
      </c>
      <c r="AZ669" t="str">
        <f t="shared" si="242"/>
        <v/>
      </c>
      <c r="BA669" t="str">
        <f t="shared" si="243"/>
        <v/>
      </c>
      <c r="BB669" t="str">
        <f t="shared" si="244"/>
        <v/>
      </c>
      <c r="BC669" t="str">
        <f t="shared" si="245"/>
        <v/>
      </c>
      <c r="BD669" t="str">
        <f t="shared" si="246"/>
        <v/>
      </c>
      <c r="BE669" t="str">
        <f t="shared" si="247"/>
        <v/>
      </c>
      <c r="BF669" t="str">
        <f t="shared" si="248"/>
        <v/>
      </c>
      <c r="BG669" t="str">
        <f t="shared" si="249"/>
        <v/>
      </c>
      <c r="BH669" t="str">
        <f t="shared" si="250"/>
        <v/>
      </c>
      <c r="BI669" t="str">
        <f t="shared" si="251"/>
        <v/>
      </c>
      <c r="BJ669" t="str">
        <f t="shared" si="252"/>
        <v/>
      </c>
      <c r="BK669" t="str">
        <f t="shared" si="253"/>
        <v/>
      </c>
      <c r="BL669" t="str">
        <f t="shared" si="254"/>
        <v/>
      </c>
      <c r="BM669" t="str">
        <f t="shared" si="255"/>
        <v/>
      </c>
      <c r="BN669" t="str">
        <f t="shared" si="256"/>
        <v/>
      </c>
      <c r="BO669" t="str">
        <f t="shared" si="257"/>
        <v/>
      </c>
      <c r="BP669" t="str">
        <f t="shared" si="258"/>
        <v/>
      </c>
      <c r="BQ669" t="str">
        <f t="shared" si="259"/>
        <v/>
      </c>
      <c r="BR669" t="str">
        <f t="shared" si="260"/>
        <v/>
      </c>
      <c r="BS669" t="str">
        <f t="shared" si="261"/>
        <v/>
      </c>
      <c r="BT669" t="str">
        <f t="shared" si="262"/>
        <v/>
      </c>
      <c r="BU669" t="str">
        <f t="shared" si="263"/>
        <v/>
      </c>
    </row>
    <row r="670" spans="1:73">
      <c r="A670" s="1">
        <v>142700</v>
      </c>
      <c r="B670" t="str">
        <f>VLOOKUP($A670,[1]Table!$A$2:$N839,B$1,FALSE)</f>
        <v>B02BA01</v>
      </c>
      <c r="C670" t="str">
        <f>VLOOKUP($A670,[1]Table!$A$2:$N839,C$1,FALSE)</f>
        <v>ANTIHAEMORRHAGICA</v>
      </c>
      <c r="D670" t="str">
        <f>VLOOKUP($A670,[1]Table!$A$2:$N839,D$1,FALSE)</f>
        <v>VITAMINE K EN OVERIGE HAEMOSTATICA</v>
      </c>
      <c r="E670" t="str">
        <f>VLOOKUP($A670,[1]Table!$A$2:$N839,E$1,FALSE)</f>
        <v>FYTOMENADION</v>
      </c>
      <c r="F670" t="str">
        <f>VLOOKUP($A670,[1]Table!$A$2:$N839,F$1,FALSE)</f>
        <v>VITAMINE K 10 MG TABLET</v>
      </c>
      <c r="G670" t="str">
        <f>VLOOKUP($A670,[1]Table!$A$2:$N839,G$1,FALSE)</f>
        <v>FYTOMENADION 10MG TABLET</v>
      </c>
      <c r="H670" t="str">
        <f>VLOOKUP($A670,[1]Table!$A$2:$N839,H$1,FALSE)</f>
        <v>tablet</v>
      </c>
      <c r="I670" t="str">
        <f>VLOOKUP($A670,[1]Table!$A$2:$N839,I$1,FALSE)</f>
        <v>or</v>
      </c>
      <c r="J670">
        <f>VLOOKUP($A670,[1]Table!$A$2:$N839,J$1,FALSE)</f>
        <v>10</v>
      </c>
      <c r="K670" t="str">
        <f>VLOOKUP($A670,[1]Table!$A$2:$N839,K$1,FALSE)</f>
        <v>mg/stuk</v>
      </c>
      <c r="L670">
        <f>VLOOKUP($A670,[1]Table!$A$2:$N839,L$1,FALSE)</f>
        <v>10</v>
      </c>
      <c r="M670" t="str">
        <f>VLOOKUP($A670,[1]Table!$A$2:$N839,M$1,FALSE)</f>
        <v>mg</v>
      </c>
      <c r="N670" t="str">
        <f>VLOOKUP($A670,[1]Table!$A$2:$N839,N$1,FALSE)</f>
        <v>Profylaxe vitamine K deficientie bloedingen||Galgangatresie||Coumarine intoxicatie||Gastro-intestinale bloedingen||Suppletie bij Cystic Fibrosis||Correctie deficientie</v>
      </c>
      <c r="O670" t="str">
        <f>ConcatenateRange(AZ670:BU670,"||")</f>
        <v/>
      </c>
      <c r="AZ670" t="str">
        <f t="shared" si="242"/>
        <v/>
      </c>
      <c r="BA670" t="str">
        <f t="shared" si="243"/>
        <v/>
      </c>
      <c r="BB670" t="str">
        <f t="shared" si="244"/>
        <v/>
      </c>
      <c r="BC670" t="str">
        <f t="shared" si="245"/>
        <v/>
      </c>
      <c r="BD670" t="str">
        <f t="shared" si="246"/>
        <v/>
      </c>
      <c r="BE670" t="str">
        <f t="shared" si="247"/>
        <v/>
      </c>
      <c r="BF670" t="str">
        <f t="shared" si="248"/>
        <v/>
      </c>
      <c r="BG670" t="str">
        <f t="shared" si="249"/>
        <v/>
      </c>
      <c r="BH670" t="str">
        <f t="shared" si="250"/>
        <v/>
      </c>
      <c r="BI670" t="str">
        <f t="shared" si="251"/>
        <v/>
      </c>
      <c r="BJ670" t="str">
        <f t="shared" si="252"/>
        <v/>
      </c>
      <c r="BK670" t="str">
        <f t="shared" si="253"/>
        <v/>
      </c>
      <c r="BL670" t="str">
        <f t="shared" si="254"/>
        <v/>
      </c>
      <c r="BM670" t="str">
        <f t="shared" si="255"/>
        <v/>
      </c>
      <c r="BN670" t="str">
        <f t="shared" si="256"/>
        <v/>
      </c>
      <c r="BO670" t="str">
        <f t="shared" si="257"/>
        <v/>
      </c>
      <c r="BP670" t="str">
        <f t="shared" si="258"/>
        <v/>
      </c>
      <c r="BQ670" t="str">
        <f t="shared" si="259"/>
        <v/>
      </c>
      <c r="BR670" t="str">
        <f t="shared" si="260"/>
        <v/>
      </c>
      <c r="BS670" t="str">
        <f t="shared" si="261"/>
        <v/>
      </c>
      <c r="BT670" t="str">
        <f t="shared" si="262"/>
        <v/>
      </c>
      <c r="BU670" t="str">
        <f t="shared" si="263"/>
        <v/>
      </c>
    </row>
    <row r="671" spans="1:73">
      <c r="A671" s="1">
        <v>106887</v>
      </c>
      <c r="B671" t="str">
        <f>VLOOKUP($A671,[1]Table!$A$2:$N840,B$1,FALSE)</f>
        <v>N03AX12</v>
      </c>
      <c r="C671" t="str">
        <f>VLOOKUP($A671,[1]Table!$A$2:$N840,C$1,FALSE)</f>
        <v>ANTI-EPILEPTICA</v>
      </c>
      <c r="D671" t="str">
        <f>VLOOKUP($A671,[1]Table!$A$2:$N840,D$1,FALSE)</f>
        <v>ANTI-EPILEPTICA</v>
      </c>
      <c r="E671" t="str">
        <f>VLOOKUP($A671,[1]Table!$A$2:$N840,E$1,FALSE)</f>
        <v>GABAPENTINE</v>
      </c>
      <c r="F671" t="str">
        <f>VLOOKUP($A671,[1]Table!$A$2:$N840,F$1,FALSE)</f>
        <v>GABAPENTINE 100 MG CAPSULE</v>
      </c>
      <c r="G671" t="str">
        <f>VLOOKUP($A671,[1]Table!$A$2:$N840,G$1,FALSE)</f>
        <v>GABAPENTINE 100MG CAPSULE</v>
      </c>
      <c r="H671" t="str">
        <f>VLOOKUP($A671,[1]Table!$A$2:$N840,H$1,FALSE)</f>
        <v>capsule</v>
      </c>
      <c r="I671" t="str">
        <f>VLOOKUP($A671,[1]Table!$A$2:$N840,I$1,FALSE)</f>
        <v>or</v>
      </c>
      <c r="J671">
        <f>VLOOKUP($A671,[1]Table!$A$2:$N840,J$1,FALSE)</f>
        <v>100</v>
      </c>
      <c r="K671" t="str">
        <f>VLOOKUP($A671,[1]Table!$A$2:$N840,K$1,FALSE)</f>
        <v>mg/stuk</v>
      </c>
      <c r="L671">
        <f>VLOOKUP($A671,[1]Table!$A$2:$N840,L$1,FALSE)</f>
        <v>100</v>
      </c>
      <c r="M671" t="str">
        <f>VLOOKUP($A671,[1]Table!$A$2:$N840,M$1,FALSE)</f>
        <v>mg</v>
      </c>
      <c r="N671" t="str">
        <f>VLOOKUP($A671,[1]Table!$A$2:$N840,N$1,FALSE)</f>
        <v>Neuropathische pijn||Epilepsie</v>
      </c>
      <c r="O671" t="str">
        <f>ConcatenateRange(AZ671:BU671,"||")</f>
        <v/>
      </c>
      <c r="AZ671" t="str">
        <f t="shared" ref="AZ671:AZ732" si="264">IF(AA671&lt;&gt;0,AA$2,"")</f>
        <v/>
      </c>
      <c r="BA671" t="str">
        <f t="shared" ref="BA671:BA732" si="265">IF(AB671&lt;&gt;0,AB$2,"")</f>
        <v/>
      </c>
      <c r="BB671" t="str">
        <f t="shared" ref="BB671:BB732" si="266">IF(AC671&lt;&gt;0,AC$2,"")</f>
        <v/>
      </c>
      <c r="BC671" t="str">
        <f t="shared" ref="BC671:BC732" si="267">IF(AD671&lt;&gt;0,AD$2,"")</f>
        <v/>
      </c>
      <c r="BD671" t="str">
        <f t="shared" ref="BD671:BD732" si="268">IF(AE671&lt;&gt;0,AE$2,"")</f>
        <v/>
      </c>
      <c r="BE671" t="str">
        <f t="shared" ref="BE671:BE732" si="269">IF(AF671&lt;&gt;0,AF$2,"")</f>
        <v/>
      </c>
      <c r="BF671" t="str">
        <f t="shared" ref="BF671:BF732" si="270">IF(AG671&lt;&gt;0,AG$2,"")</f>
        <v/>
      </c>
      <c r="BG671" t="str">
        <f t="shared" ref="BG671:BG732" si="271">IF(AH671&lt;&gt;0,AH$2,"")</f>
        <v/>
      </c>
      <c r="BH671" t="str">
        <f t="shared" ref="BH671:BH732" si="272">IF(AI671&lt;&gt;0,AI$2,"")</f>
        <v/>
      </c>
      <c r="BI671" t="str">
        <f t="shared" ref="BI671:BI732" si="273">IF(AJ671&lt;&gt;0,AJ$2,"")</f>
        <v/>
      </c>
      <c r="BJ671" t="str">
        <f t="shared" ref="BJ671:BJ732" si="274">IF(AK671&lt;&gt;0,AK$2,"")</f>
        <v/>
      </c>
      <c r="BK671" t="str">
        <f t="shared" ref="BK671:BK732" si="275">IF(AL671&lt;&gt;0,AL$2,"")</f>
        <v/>
      </c>
      <c r="BL671" t="str">
        <f t="shared" ref="BL671:BL732" si="276">IF(AM671&lt;&gt;0,AM$2,"")</f>
        <v/>
      </c>
      <c r="BM671" t="str">
        <f t="shared" ref="BM671:BM732" si="277">IF(AN671&lt;&gt;0,AN$2,"")</f>
        <v/>
      </c>
      <c r="BN671" t="str">
        <f t="shared" ref="BN671:BN732" si="278">IF(AO671&lt;&gt;0,AO$2,"")</f>
        <v/>
      </c>
      <c r="BO671" t="str">
        <f t="shared" ref="BO671:BO732" si="279">IF(AP671&lt;&gt;0,AP$2,"")</f>
        <v/>
      </c>
      <c r="BP671" t="str">
        <f t="shared" ref="BP671:BP732" si="280">IF(AQ671&lt;&gt;0,AQ$2,"")</f>
        <v/>
      </c>
      <c r="BQ671" t="str">
        <f t="shared" ref="BQ671:BQ732" si="281">IF(AR671&lt;&gt;0,AR$2,"")</f>
        <v/>
      </c>
      <c r="BR671" t="str">
        <f t="shared" ref="BR671:BR732" si="282">IF(AS671&lt;&gt;0,AS$2,"")</f>
        <v/>
      </c>
      <c r="BS671" t="str">
        <f t="shared" ref="BS671:BS732" si="283">IF(AT671&lt;&gt;0,AT$2,"")</f>
        <v/>
      </c>
      <c r="BT671" t="str">
        <f t="shared" ref="BT671:BT732" si="284">IF(AU671&lt;&gt;0,AU$2,"")</f>
        <v/>
      </c>
      <c r="BU671" t="str">
        <f t="shared" ref="BU671:BU732" si="285">IF(AV671&lt;&gt;0,AV$2,"")</f>
        <v/>
      </c>
    </row>
    <row r="672" spans="1:73">
      <c r="A672" s="1">
        <v>106895</v>
      </c>
      <c r="B672" t="str">
        <f>VLOOKUP($A672,[1]Table!$A$2:$N841,B$1,FALSE)</f>
        <v>N03AX12</v>
      </c>
      <c r="C672" t="str">
        <f>VLOOKUP($A672,[1]Table!$A$2:$N841,C$1,FALSE)</f>
        <v>ANTI-EPILEPTICA</v>
      </c>
      <c r="D672" t="str">
        <f>VLOOKUP($A672,[1]Table!$A$2:$N841,D$1,FALSE)</f>
        <v>ANTI-EPILEPTICA</v>
      </c>
      <c r="E672" t="str">
        <f>VLOOKUP($A672,[1]Table!$A$2:$N841,E$1,FALSE)</f>
        <v>GABAPENTINE</v>
      </c>
      <c r="F672" t="str">
        <f>VLOOKUP($A672,[1]Table!$A$2:$N841,F$1,FALSE)</f>
        <v>GABAPENTINE 300 MG CAPSULE</v>
      </c>
      <c r="G672" t="str">
        <f>VLOOKUP($A672,[1]Table!$A$2:$N841,G$1,FALSE)</f>
        <v>GABAPENTINE 300MG CAPSULE</v>
      </c>
      <c r="H672" t="str">
        <f>VLOOKUP($A672,[1]Table!$A$2:$N841,H$1,FALSE)</f>
        <v>capsule</v>
      </c>
      <c r="I672" t="str">
        <f>VLOOKUP($A672,[1]Table!$A$2:$N841,I$1,FALSE)</f>
        <v>or</v>
      </c>
      <c r="J672">
        <f>VLOOKUP($A672,[1]Table!$A$2:$N841,J$1,FALSE)</f>
        <v>300</v>
      </c>
      <c r="K672" t="str">
        <f>VLOOKUP($A672,[1]Table!$A$2:$N841,K$1,FALSE)</f>
        <v>mg/stuk</v>
      </c>
      <c r="L672">
        <f>VLOOKUP($A672,[1]Table!$A$2:$N841,L$1,FALSE)</f>
        <v>300</v>
      </c>
      <c r="M672" t="str">
        <f>VLOOKUP($A672,[1]Table!$A$2:$N841,M$1,FALSE)</f>
        <v>mg</v>
      </c>
      <c r="N672" t="str">
        <f>VLOOKUP($A672,[1]Table!$A$2:$N841,N$1,FALSE)</f>
        <v>Neuropathische pijn||Epilepsie</v>
      </c>
      <c r="O672" t="str">
        <f>ConcatenateRange(AZ672:BU672,"||")</f>
        <v/>
      </c>
      <c r="AZ672" t="str">
        <f t="shared" si="264"/>
        <v/>
      </c>
      <c r="BA672" t="str">
        <f t="shared" si="265"/>
        <v/>
      </c>
      <c r="BB672" t="str">
        <f t="shared" si="266"/>
        <v/>
      </c>
      <c r="BC672" t="str">
        <f t="shared" si="267"/>
        <v/>
      </c>
      <c r="BD672" t="str">
        <f t="shared" si="268"/>
        <v/>
      </c>
      <c r="BE672" t="str">
        <f t="shared" si="269"/>
        <v/>
      </c>
      <c r="BF672" t="str">
        <f t="shared" si="270"/>
        <v/>
      </c>
      <c r="BG672" t="str">
        <f t="shared" si="271"/>
        <v/>
      </c>
      <c r="BH672" t="str">
        <f t="shared" si="272"/>
        <v/>
      </c>
      <c r="BI672" t="str">
        <f t="shared" si="273"/>
        <v/>
      </c>
      <c r="BJ672" t="str">
        <f t="shared" si="274"/>
        <v/>
      </c>
      <c r="BK672" t="str">
        <f t="shared" si="275"/>
        <v/>
      </c>
      <c r="BL672" t="str">
        <f t="shared" si="276"/>
        <v/>
      </c>
      <c r="BM672" t="str">
        <f t="shared" si="277"/>
        <v/>
      </c>
      <c r="BN672" t="str">
        <f t="shared" si="278"/>
        <v/>
      </c>
      <c r="BO672" t="str">
        <f t="shared" si="279"/>
        <v/>
      </c>
      <c r="BP672" t="str">
        <f t="shared" si="280"/>
        <v/>
      </c>
      <c r="BQ672" t="str">
        <f t="shared" si="281"/>
        <v/>
      </c>
      <c r="BR672" t="str">
        <f t="shared" si="282"/>
        <v/>
      </c>
      <c r="BS672" t="str">
        <f t="shared" si="283"/>
        <v/>
      </c>
      <c r="BT672" t="str">
        <f t="shared" si="284"/>
        <v/>
      </c>
      <c r="BU672" t="str">
        <f t="shared" si="285"/>
        <v/>
      </c>
    </row>
    <row r="673" spans="1:73">
      <c r="A673" s="1">
        <v>106909</v>
      </c>
      <c r="B673" t="str">
        <f>VLOOKUP($A673,[1]Table!$A$2:$N842,B$1,FALSE)</f>
        <v>N03AX12</v>
      </c>
      <c r="C673" t="str">
        <f>VLOOKUP($A673,[1]Table!$A$2:$N842,C$1,FALSE)</f>
        <v>ANTI-EPILEPTICA</v>
      </c>
      <c r="D673" t="str">
        <f>VLOOKUP($A673,[1]Table!$A$2:$N842,D$1,FALSE)</f>
        <v>ANTI-EPILEPTICA</v>
      </c>
      <c r="E673" t="str">
        <f>VLOOKUP($A673,[1]Table!$A$2:$N842,E$1,FALSE)</f>
        <v>GABAPENTINE</v>
      </c>
      <c r="F673" t="str">
        <f>VLOOKUP($A673,[1]Table!$A$2:$N842,F$1,FALSE)</f>
        <v>GABAPENTINE 400 MG CAPSULE</v>
      </c>
      <c r="G673" t="str">
        <f>VLOOKUP($A673,[1]Table!$A$2:$N842,G$1,FALSE)</f>
        <v>GABAPENTINE 400MG CAPSULE</v>
      </c>
      <c r="H673" t="str">
        <f>VLOOKUP($A673,[1]Table!$A$2:$N842,H$1,FALSE)</f>
        <v>capsule</v>
      </c>
      <c r="I673" t="str">
        <f>VLOOKUP($A673,[1]Table!$A$2:$N842,I$1,FALSE)</f>
        <v>or</v>
      </c>
      <c r="J673">
        <f>VLOOKUP($A673,[1]Table!$A$2:$N842,J$1,FALSE)</f>
        <v>400</v>
      </c>
      <c r="K673" t="str">
        <f>VLOOKUP($A673,[1]Table!$A$2:$N842,K$1,FALSE)</f>
        <v>mg/stuk</v>
      </c>
      <c r="L673">
        <f>VLOOKUP($A673,[1]Table!$A$2:$N842,L$1,FALSE)</f>
        <v>400</v>
      </c>
      <c r="M673" t="str">
        <f>VLOOKUP($A673,[1]Table!$A$2:$N842,M$1,FALSE)</f>
        <v>mg</v>
      </c>
      <c r="N673" t="str">
        <f>VLOOKUP($A673,[1]Table!$A$2:$N842,N$1,FALSE)</f>
        <v>Neuropathische pijn||Epilepsie</v>
      </c>
      <c r="O673" t="str">
        <f>ConcatenateRange(AZ673:BU673,"||")</f>
        <v/>
      </c>
      <c r="AZ673" t="str">
        <f t="shared" si="264"/>
        <v/>
      </c>
      <c r="BA673" t="str">
        <f t="shared" si="265"/>
        <v/>
      </c>
      <c r="BB673" t="str">
        <f t="shared" si="266"/>
        <v/>
      </c>
      <c r="BC673" t="str">
        <f t="shared" si="267"/>
        <v/>
      </c>
      <c r="BD673" t="str">
        <f t="shared" si="268"/>
        <v/>
      </c>
      <c r="BE673" t="str">
        <f t="shared" si="269"/>
        <v/>
      </c>
      <c r="BF673" t="str">
        <f t="shared" si="270"/>
        <v/>
      </c>
      <c r="BG673" t="str">
        <f t="shared" si="271"/>
        <v/>
      </c>
      <c r="BH673" t="str">
        <f t="shared" si="272"/>
        <v/>
      </c>
      <c r="BI673" t="str">
        <f t="shared" si="273"/>
        <v/>
      </c>
      <c r="BJ673" t="str">
        <f t="shared" si="274"/>
        <v/>
      </c>
      <c r="BK673" t="str">
        <f t="shared" si="275"/>
        <v/>
      </c>
      <c r="BL673" t="str">
        <f t="shared" si="276"/>
        <v/>
      </c>
      <c r="BM673" t="str">
        <f t="shared" si="277"/>
        <v/>
      </c>
      <c r="BN673" t="str">
        <f t="shared" si="278"/>
        <v/>
      </c>
      <c r="BO673" t="str">
        <f t="shared" si="279"/>
        <v/>
      </c>
      <c r="BP673" t="str">
        <f t="shared" si="280"/>
        <v/>
      </c>
      <c r="BQ673" t="str">
        <f t="shared" si="281"/>
        <v/>
      </c>
      <c r="BR673" t="str">
        <f t="shared" si="282"/>
        <v/>
      </c>
      <c r="BS673" t="str">
        <f t="shared" si="283"/>
        <v/>
      </c>
      <c r="BT673" t="str">
        <f t="shared" si="284"/>
        <v/>
      </c>
      <c r="BU673" t="str">
        <f t="shared" si="285"/>
        <v/>
      </c>
    </row>
    <row r="674" spans="1:73">
      <c r="A674" s="1">
        <v>111120</v>
      </c>
      <c r="B674" t="str">
        <f>VLOOKUP($A674,[1]Table!$A$2:$N843,B$1,FALSE)</f>
        <v>N03AX12</v>
      </c>
      <c r="C674" t="str">
        <f>VLOOKUP($A674,[1]Table!$A$2:$N843,C$1,FALSE)</f>
        <v>ANTI-EPILEPTICA</v>
      </c>
      <c r="D674" t="str">
        <f>VLOOKUP($A674,[1]Table!$A$2:$N843,D$1,FALSE)</f>
        <v>ANTI-EPILEPTICA</v>
      </c>
      <c r="E674" t="str">
        <f>VLOOKUP($A674,[1]Table!$A$2:$N843,E$1,FALSE)</f>
        <v>GABAPENTINE</v>
      </c>
      <c r="F674" t="str">
        <f>VLOOKUP($A674,[1]Table!$A$2:$N843,F$1,FALSE)</f>
        <v>GABAPENTINE 600 MG TABLET FILMOMHULD</v>
      </c>
      <c r="G674" t="str">
        <f>VLOOKUP($A674,[1]Table!$A$2:$N843,G$1,FALSE)</f>
        <v>GABAPENTINE 600MG TABLET</v>
      </c>
      <c r="H674" t="str">
        <f>VLOOKUP($A674,[1]Table!$A$2:$N843,H$1,FALSE)</f>
        <v>tablet</v>
      </c>
      <c r="I674" t="str">
        <f>VLOOKUP($A674,[1]Table!$A$2:$N843,I$1,FALSE)</f>
        <v>or</v>
      </c>
      <c r="J674">
        <f>VLOOKUP($A674,[1]Table!$A$2:$N843,J$1,FALSE)</f>
        <v>600</v>
      </c>
      <c r="K674" t="str">
        <f>VLOOKUP($A674,[1]Table!$A$2:$N843,K$1,FALSE)</f>
        <v>mg/stuk</v>
      </c>
      <c r="L674">
        <f>VLOOKUP($A674,[1]Table!$A$2:$N843,L$1,FALSE)</f>
        <v>600</v>
      </c>
      <c r="M674" t="str">
        <f>VLOOKUP($A674,[1]Table!$A$2:$N843,M$1,FALSE)</f>
        <v>mg</v>
      </c>
      <c r="N674" t="str">
        <f>VLOOKUP($A674,[1]Table!$A$2:$N843,N$1,FALSE)</f>
        <v>Neuropathische pijn||Epilepsie</v>
      </c>
      <c r="O674" t="str">
        <f>ConcatenateRange(AZ674:BU674,"||")</f>
        <v/>
      </c>
      <c r="Q674" s="11"/>
      <c r="R674" s="11"/>
      <c r="S674" s="11"/>
      <c r="T674" s="11"/>
      <c r="U674" s="11"/>
      <c r="V674" s="11"/>
      <c r="W674" s="11"/>
      <c r="X674" s="11"/>
      <c r="Y674" s="11"/>
      <c r="AZ674" t="str">
        <f t="shared" si="264"/>
        <v/>
      </c>
      <c r="BA674" t="str">
        <f t="shared" si="265"/>
        <v/>
      </c>
      <c r="BB674" t="str">
        <f t="shared" si="266"/>
        <v/>
      </c>
      <c r="BC674" t="str">
        <f t="shared" si="267"/>
        <v/>
      </c>
      <c r="BD674" t="str">
        <f t="shared" si="268"/>
        <v/>
      </c>
      <c r="BE674" t="str">
        <f t="shared" si="269"/>
        <v/>
      </c>
      <c r="BF674" t="str">
        <f t="shared" si="270"/>
        <v/>
      </c>
      <c r="BG674" t="str">
        <f t="shared" si="271"/>
        <v/>
      </c>
      <c r="BH674" t="str">
        <f t="shared" si="272"/>
        <v/>
      </c>
      <c r="BI674" t="str">
        <f t="shared" si="273"/>
        <v/>
      </c>
      <c r="BJ674" t="str">
        <f t="shared" si="274"/>
        <v/>
      </c>
      <c r="BK674" t="str">
        <f t="shared" si="275"/>
        <v/>
      </c>
      <c r="BL674" t="str">
        <f t="shared" si="276"/>
        <v/>
      </c>
      <c r="BM674" t="str">
        <f t="shared" si="277"/>
        <v/>
      </c>
      <c r="BN674" t="str">
        <f t="shared" si="278"/>
        <v/>
      </c>
      <c r="BO674" t="str">
        <f t="shared" si="279"/>
        <v/>
      </c>
      <c r="BP674" t="str">
        <f t="shared" si="280"/>
        <v/>
      </c>
      <c r="BQ674" t="str">
        <f t="shared" si="281"/>
        <v/>
      </c>
      <c r="BR674" t="str">
        <f t="shared" si="282"/>
        <v/>
      </c>
      <c r="BS674" t="str">
        <f t="shared" si="283"/>
        <v/>
      </c>
      <c r="BT674" t="str">
        <f t="shared" si="284"/>
        <v/>
      </c>
      <c r="BU674" t="str">
        <f t="shared" si="285"/>
        <v/>
      </c>
    </row>
    <row r="675" spans="1:73">
      <c r="A675" s="1">
        <v>72532</v>
      </c>
      <c r="B675" t="str">
        <f>VLOOKUP($A675,[1]Table!$A$2:$N844,B$1,FALSE)</f>
        <v>J05AB06</v>
      </c>
      <c r="C675" t="str">
        <f>VLOOKUP($A675,[1]Table!$A$2:$N844,C$1,FALSE)</f>
        <v>ANTIVIRALE MIDDELEN VOOR SYSTEMISCH GEBRUIK</v>
      </c>
      <c r="D675" t="str">
        <f>VLOOKUP($A675,[1]Table!$A$2:$N844,D$1,FALSE)</f>
        <v>DIRECT WERKENDE ANTIVIRALE MIDDELEN</v>
      </c>
      <c r="E675" t="str">
        <f>VLOOKUP($A675,[1]Table!$A$2:$N844,E$1,FALSE)</f>
        <v>GANCICLOVIR</v>
      </c>
      <c r="F675" t="str">
        <f>VLOOKUP($A675,[1]Table!$A$2:$N844,F$1,FALSE)</f>
        <v>GANCICLOVIR 500 MG INFPDR FLACON</v>
      </c>
      <c r="G675" t="str">
        <f>VLOOKUP($A675,[1]Table!$A$2:$N844,G$1,FALSE)</f>
        <v>GANCICLOVIR 500MG PDR V INF</v>
      </c>
      <c r="H675" t="str">
        <f>VLOOKUP($A675,[1]Table!$A$2:$N844,H$1,FALSE)</f>
        <v>poeder voor oplossing voor infusie</v>
      </c>
      <c r="I675" t="str">
        <f>VLOOKUP($A675,[1]Table!$A$2:$N844,I$1,FALSE)</f>
        <v>iv</v>
      </c>
      <c r="J675">
        <f>VLOOKUP($A675,[1]Table!$A$2:$N844,J$1,FALSE)</f>
        <v>500</v>
      </c>
      <c r="K675" t="str">
        <f>VLOOKUP($A675,[1]Table!$A$2:$N844,K$1,FALSE)</f>
        <v>mg/stuk</v>
      </c>
      <c r="L675">
        <f>VLOOKUP($A675,[1]Table!$A$2:$N844,L$1,FALSE)</f>
        <v>500</v>
      </c>
      <c r="M675" t="str">
        <f>VLOOKUP($A675,[1]Table!$A$2:$N844,M$1,FALSE)</f>
        <v>mg</v>
      </c>
      <c r="N675" t="str">
        <f>VLOOKUP($A675,[1]Table!$A$2:$N844,N$1,FALSE)</f>
        <v>Levens-of orgaanbedreigende infecties cytomegalovirus (CMV)||Behandeling aangeboren symptomatische CMV infectie||Profylaxe CMV bij orgaantransplantaties</v>
      </c>
      <c r="O675" t="str">
        <f>ConcatenateRange(AZ675:BU675,"||")</f>
        <v/>
      </c>
      <c r="Q675" s="13"/>
      <c r="R675" s="13"/>
      <c r="S675" s="13"/>
      <c r="T675" s="13"/>
      <c r="U675" s="13"/>
      <c r="V675" s="13"/>
      <c r="W675" s="13"/>
      <c r="X675" s="13"/>
      <c r="Y675" s="13"/>
      <c r="AZ675" t="str">
        <f t="shared" si="264"/>
        <v/>
      </c>
      <c r="BA675" t="str">
        <f t="shared" si="265"/>
        <v/>
      </c>
      <c r="BB675" t="str">
        <f t="shared" si="266"/>
        <v/>
      </c>
      <c r="BC675" t="str">
        <f t="shared" si="267"/>
        <v/>
      </c>
      <c r="BD675" t="str">
        <f t="shared" si="268"/>
        <v/>
      </c>
      <c r="BE675" t="str">
        <f t="shared" si="269"/>
        <v/>
      </c>
      <c r="BF675" t="str">
        <f t="shared" si="270"/>
        <v/>
      </c>
      <c r="BG675" t="str">
        <f t="shared" si="271"/>
        <v/>
      </c>
      <c r="BH675" t="str">
        <f t="shared" si="272"/>
        <v/>
      </c>
      <c r="BI675" t="str">
        <f t="shared" si="273"/>
        <v/>
      </c>
      <c r="BJ675" t="str">
        <f t="shared" si="274"/>
        <v/>
      </c>
      <c r="BK675" t="str">
        <f t="shared" si="275"/>
        <v/>
      </c>
      <c r="BL675" t="str">
        <f t="shared" si="276"/>
        <v/>
      </c>
      <c r="BM675" t="str">
        <f t="shared" si="277"/>
        <v/>
      </c>
      <c r="BN675" t="str">
        <f t="shared" si="278"/>
        <v/>
      </c>
      <c r="BO675" t="str">
        <f t="shared" si="279"/>
        <v/>
      </c>
      <c r="BP675" t="str">
        <f t="shared" si="280"/>
        <v/>
      </c>
      <c r="BQ675" t="str">
        <f t="shared" si="281"/>
        <v/>
      </c>
      <c r="BR675" t="str">
        <f t="shared" si="282"/>
        <v/>
      </c>
      <c r="BS675" t="str">
        <f t="shared" si="283"/>
        <v/>
      </c>
      <c r="BT675" t="str">
        <f t="shared" si="284"/>
        <v/>
      </c>
      <c r="BU675" t="str">
        <f t="shared" si="285"/>
        <v/>
      </c>
    </row>
    <row r="676" spans="1:73">
      <c r="A676" s="1">
        <v>91189</v>
      </c>
      <c r="B676" t="str">
        <f>VLOOKUP($A676,[1]Table!$A$2:$N845,B$1,FALSE)</f>
        <v>B05AA06</v>
      </c>
      <c r="C676" t="str">
        <f>VLOOKUP($A676,[1]Table!$A$2:$N845,C$1,FALSE)</f>
        <v>BLOEDVERVANGINGSMIDDELEN EN PERFUSIEVLOEISTOFFEN</v>
      </c>
      <c r="D676" t="str">
        <f>VLOOKUP($A676,[1]Table!$A$2:$N845,D$1,FALSE)</f>
        <v>BLOEDPRODUCTEN EN VERWANTE MIDDELEN</v>
      </c>
      <c r="E676" t="str">
        <f>VLOOKUP($A676,[1]Table!$A$2:$N845,E$1,FALSE)</f>
        <v>GELATINE, GEMODIFICEERD</v>
      </c>
      <c r="F676" t="str">
        <f>VLOOKUP($A676,[1]Table!$A$2:$N845,F$1,FALSE)</f>
        <v>GELOFUSINE INFVLST 20G/0,5L (FV18513)</v>
      </c>
      <c r="G676" t="str">
        <f>VLOOKUP($A676,[1]Table!$A$2:$N845,G$1,FALSE)</f>
        <v>GELATINE 40MG/ML INFVLST</v>
      </c>
      <c r="H676" t="str">
        <f>VLOOKUP($A676,[1]Table!$A$2:$N845,H$1,FALSE)</f>
        <v>infusievloeistof</v>
      </c>
      <c r="I676" t="str">
        <f>VLOOKUP($A676,[1]Table!$A$2:$N845,I$1,FALSE)</f>
        <v>iv</v>
      </c>
      <c r="J676">
        <f>VLOOKUP($A676,[1]Table!$A$2:$N845,J$1,FALSE)</f>
        <v>40</v>
      </c>
      <c r="K676" t="str">
        <f>VLOOKUP($A676,[1]Table!$A$2:$N845,K$1,FALSE)</f>
        <v>mg/ml</v>
      </c>
      <c r="L676">
        <f>VLOOKUP($A676,[1]Table!$A$2:$N845,L$1,FALSE)</f>
        <v>40</v>
      </c>
      <c r="M676" t="str">
        <f>VLOOKUP($A676,[1]Table!$A$2:$N845,M$1,FALSE)</f>
        <v>mg</v>
      </c>
      <c r="N676" t="str">
        <f>VLOOKUP($A676,[1]Table!$A$2:$N845,N$1,FALSE)</f>
        <v>Plasmavervanging</v>
      </c>
      <c r="O676" t="str">
        <f>ConcatenateRange(AZ676:BU676,"||")</f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64"/>
        <v/>
      </c>
      <c r="BA676" t="str">
        <f t="shared" si="265"/>
        <v/>
      </c>
      <c r="BB676" t="str">
        <f t="shared" si="266"/>
        <v/>
      </c>
      <c r="BC676" t="str">
        <f t="shared" si="267"/>
        <v/>
      </c>
      <c r="BD676" t="str">
        <f t="shared" si="268"/>
        <v/>
      </c>
      <c r="BE676" t="str">
        <f t="shared" si="269"/>
        <v/>
      </c>
      <c r="BF676" t="str">
        <f t="shared" si="270"/>
        <v/>
      </c>
      <c r="BG676" t="str">
        <f t="shared" si="271"/>
        <v/>
      </c>
      <c r="BH676" t="str">
        <f t="shared" si="272"/>
        <v/>
      </c>
      <c r="BI676" t="str">
        <f t="shared" si="273"/>
        <v/>
      </c>
      <c r="BJ676" t="str">
        <f t="shared" si="274"/>
        <v/>
      </c>
      <c r="BK676" t="str">
        <f t="shared" si="275"/>
        <v/>
      </c>
      <c r="BL676" t="str">
        <f t="shared" si="276"/>
        <v/>
      </c>
      <c r="BM676" t="str">
        <f t="shared" si="277"/>
        <v/>
      </c>
      <c r="BN676" t="str">
        <f t="shared" si="278"/>
        <v/>
      </c>
      <c r="BO676" t="str">
        <f t="shared" si="279"/>
        <v/>
      </c>
      <c r="BP676" t="str">
        <f t="shared" si="280"/>
        <v/>
      </c>
      <c r="BQ676" t="str">
        <f t="shared" si="281"/>
        <v/>
      </c>
      <c r="BR676" t="str">
        <f t="shared" si="282"/>
        <v/>
      </c>
      <c r="BS676" t="str">
        <f t="shared" si="283"/>
        <v/>
      </c>
      <c r="BT676" t="str">
        <f t="shared" si="284"/>
        <v/>
      </c>
      <c r="BU676" t="str">
        <f t="shared" si="285"/>
        <v/>
      </c>
    </row>
    <row r="677" spans="1:73">
      <c r="A677" s="1">
        <v>161616</v>
      </c>
      <c r="B677" t="str">
        <f>VLOOKUP($A677,[1]Table!$A$2:$N846,B$1,FALSE)</f>
        <v>J07BL01</v>
      </c>
      <c r="C677" t="str">
        <f>VLOOKUP($A677,[1]Table!$A$2:$N846,C$1,FALSE)</f>
        <v>VACCINS</v>
      </c>
      <c r="D677" t="str">
        <f>VLOOKUP($A677,[1]Table!$A$2:$N846,D$1,FALSE)</f>
        <v>VIRALE VACCINS</v>
      </c>
      <c r="E677" t="str">
        <f>VLOOKUP($A677,[1]Table!$A$2:$N846,E$1,FALSE)</f>
        <v>GELEKOORTSVACCIN</v>
      </c>
      <c r="F677" t="str">
        <f>VLOOKUP($A677,[1]Table!$A$2:$N846,F$1,FALSE)</f>
        <v>STAMARIL  1000E/ 0.5ML INJPDR FLACON + SOLV</v>
      </c>
      <c r="G677" t="str">
        <f>VLOOKUP($A677,[1]Table!$A$2:$N846,G$1,FALSE)</f>
        <v>GELEKOORTSVACCIN INJPDR</v>
      </c>
      <c r="H677" t="str">
        <f>VLOOKUP($A677,[1]Table!$A$2:$N846,H$1,FALSE)</f>
        <v>poeder voor injectievloeistof</v>
      </c>
      <c r="I677" t="str">
        <f>VLOOKUP($A677,[1]Table!$A$2:$N846,I$1,FALSE)</f>
        <v>im||sc||intracut</v>
      </c>
      <c r="J677">
        <f>VLOOKUP($A677,[1]Table!$A$2:$N846,J$1,FALSE)</f>
        <v>1000</v>
      </c>
      <c r="K677" t="str">
        <f>VLOOKUP($A677,[1]Table!$A$2:$N846,K$1,FALSE)</f>
        <v>IE/stuk</v>
      </c>
      <c r="L677">
        <f>VLOOKUP($A677,[1]Table!$A$2:$N846,L$1,FALSE)</f>
        <v>1000</v>
      </c>
      <c r="M677" t="str">
        <f>VLOOKUP($A677,[1]Table!$A$2:$N846,M$1,FALSE)</f>
        <v>IE</v>
      </c>
      <c r="N677" t="str">
        <f>VLOOKUP($A677,[1]Table!$A$2:$N846,N$1,FALSE)</f>
        <v>Immunisatie tegen gele koorts</v>
      </c>
      <c r="O677" t="str">
        <f>ConcatenateRange(AZ677:BU677,"||")</f>
        <v/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64"/>
        <v/>
      </c>
      <c r="BA677" t="str">
        <f t="shared" si="265"/>
        <v/>
      </c>
      <c r="BB677" t="str">
        <f t="shared" si="266"/>
        <v/>
      </c>
      <c r="BC677" t="str">
        <f t="shared" si="267"/>
        <v/>
      </c>
      <c r="BD677" t="str">
        <f t="shared" si="268"/>
        <v/>
      </c>
      <c r="BE677" t="str">
        <f t="shared" si="269"/>
        <v/>
      </c>
      <c r="BF677" t="str">
        <f t="shared" si="270"/>
        <v/>
      </c>
      <c r="BG677" t="str">
        <f t="shared" si="271"/>
        <v/>
      </c>
      <c r="BH677" t="str">
        <f t="shared" si="272"/>
        <v/>
      </c>
      <c r="BI677" t="str">
        <f t="shared" si="273"/>
        <v/>
      </c>
      <c r="BJ677" t="str">
        <f t="shared" si="274"/>
        <v/>
      </c>
      <c r="BK677" t="str">
        <f t="shared" si="275"/>
        <v/>
      </c>
      <c r="BL677" t="str">
        <f t="shared" si="276"/>
        <v/>
      </c>
      <c r="BM677" t="str">
        <f t="shared" si="277"/>
        <v/>
      </c>
      <c r="BN677" t="str">
        <f t="shared" si="278"/>
        <v/>
      </c>
      <c r="BO677" t="str">
        <f t="shared" si="279"/>
        <v/>
      </c>
      <c r="BP677" t="str">
        <f t="shared" si="280"/>
        <v/>
      </c>
      <c r="BQ677" t="str">
        <f t="shared" si="281"/>
        <v/>
      </c>
      <c r="BR677" t="str">
        <f t="shared" si="282"/>
        <v/>
      </c>
      <c r="BS677" t="str">
        <f t="shared" si="283"/>
        <v/>
      </c>
      <c r="BT677" t="str">
        <f t="shared" si="284"/>
        <v/>
      </c>
      <c r="BU677" t="str">
        <f t="shared" si="285"/>
        <v/>
      </c>
    </row>
    <row r="678" spans="1:73">
      <c r="A678" s="1">
        <v>135046</v>
      </c>
      <c r="B678" t="str">
        <f>VLOOKUP($A678,[1]Table!$A$2:$N847,B$1,FALSE)</f>
        <v>L01BC05</v>
      </c>
      <c r="C678" t="str">
        <f>VLOOKUP($A678,[1]Table!$A$2:$N847,C$1,FALSE)</f>
        <v>ONCOLYTICA</v>
      </c>
      <c r="D678" t="str">
        <f>VLOOKUP($A678,[1]Table!$A$2:$N847,D$1,FALSE)</f>
        <v>ANTIMETABOLIETEN</v>
      </c>
      <c r="E678" t="str">
        <f>VLOOKUP($A678,[1]Table!$A$2:$N847,E$1,FALSE)</f>
        <v>GEMCITABINE</v>
      </c>
      <c r="F678" t="str">
        <f>VLOOKUP($A678,[1]Table!$A$2:$N847,F$1,FALSE)</f>
        <v>GEMCITABINE 1000 MG = 25 ML FLACON</v>
      </c>
      <c r="G678" t="str">
        <f>VLOOKUP($A678,[1]Table!$A$2:$N847,G$1,FALSE)</f>
        <v>GEMCITABINE 40MG/ML INFOPL</v>
      </c>
      <c r="H678" t="str">
        <f>VLOOKUP($A678,[1]Table!$A$2:$N847,H$1,FALSE)</f>
        <v>concentraat voor oplossing voor infusie</v>
      </c>
      <c r="I678" t="str">
        <f>VLOOKUP($A678,[1]Table!$A$2:$N847,I$1,FALSE)</f>
        <v>iv</v>
      </c>
      <c r="J678">
        <f>VLOOKUP($A678,[1]Table!$A$2:$N847,J$1,FALSE)</f>
        <v>40</v>
      </c>
      <c r="K678" t="str">
        <f>VLOOKUP($A678,[1]Table!$A$2:$N847,K$1,FALSE)</f>
        <v>mg/ml</v>
      </c>
      <c r="L678">
        <f>VLOOKUP($A678,[1]Table!$A$2:$N847,L$1,FALSE)</f>
        <v>40</v>
      </c>
      <c r="M678" t="str">
        <f>VLOOKUP($A678,[1]Table!$A$2:$N847,M$1,FALSE)</f>
        <v>mg</v>
      </c>
      <c r="N678" t="str">
        <f>VLOOKUP($A678,[1]Table!$A$2:$N847,N$1,FALSE)</f>
        <v>Recidiverende of refractaire solide tumoren en hersentumoren||Recidiverende of refractaire sarcomen||Recidiverend of refractair Hodgkin lymfoom</v>
      </c>
      <c r="O678" t="str">
        <f>ConcatenateRange(AZ678:BU678,"||")</f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64"/>
        <v/>
      </c>
      <c r="BA678" t="str">
        <f t="shared" si="265"/>
        <v/>
      </c>
      <c r="BB678" t="str">
        <f t="shared" si="266"/>
        <v/>
      </c>
      <c r="BC678" t="str">
        <f t="shared" si="267"/>
        <v/>
      </c>
      <c r="BD678" t="str">
        <f t="shared" si="268"/>
        <v/>
      </c>
      <c r="BE678" t="str">
        <f t="shared" si="269"/>
        <v/>
      </c>
      <c r="BF678" t="str">
        <f t="shared" si="270"/>
        <v/>
      </c>
      <c r="BG678" t="str">
        <f t="shared" si="271"/>
        <v/>
      </c>
      <c r="BH678" t="str">
        <f t="shared" si="272"/>
        <v/>
      </c>
      <c r="BI678" t="str">
        <f t="shared" si="273"/>
        <v/>
      </c>
      <c r="BJ678" t="str">
        <f t="shared" si="274"/>
        <v/>
      </c>
      <c r="BK678" t="str">
        <f t="shared" si="275"/>
        <v/>
      </c>
      <c r="BL678" t="str">
        <f t="shared" si="276"/>
        <v/>
      </c>
      <c r="BM678" t="str">
        <f t="shared" si="277"/>
        <v/>
      </c>
      <c r="BN678" t="str">
        <f t="shared" si="278"/>
        <v/>
      </c>
      <c r="BO678" t="str">
        <f t="shared" si="279"/>
        <v/>
      </c>
      <c r="BP678" t="str">
        <f t="shared" si="280"/>
        <v/>
      </c>
      <c r="BQ678" t="str">
        <f t="shared" si="281"/>
        <v/>
      </c>
      <c r="BR678" t="str">
        <f t="shared" si="282"/>
        <v/>
      </c>
      <c r="BS678" t="str">
        <f t="shared" si="283"/>
        <v/>
      </c>
      <c r="BT678" t="str">
        <f t="shared" si="284"/>
        <v/>
      </c>
      <c r="BU678" t="str">
        <f t="shared" si="285"/>
        <v/>
      </c>
    </row>
    <row r="679" spans="1:73">
      <c r="A679" s="1">
        <v>70432</v>
      </c>
      <c r="B679" t="str">
        <f>VLOOKUP($A679,[1]Table!$A$2:$N848,B$1,FALSE)</f>
        <v>J01GB03</v>
      </c>
      <c r="C679" t="str">
        <f>VLOOKUP($A679,[1]Table!$A$2:$N848,C$1,FALSE)</f>
        <v>ANTIBACTERIELE MIDDELEN VOOR SYSTEMISCH GEBRUIK</v>
      </c>
      <c r="D679" t="str">
        <f>VLOOKUP($A679,[1]Table!$A$2:$N848,D$1,FALSE)</f>
        <v>AMINOGLYCOSIDEN</v>
      </c>
      <c r="E679" t="str">
        <f>VLOOKUP($A679,[1]Table!$A$2:$N848,E$1,FALSE)</f>
        <v>GENTAMICINE</v>
      </c>
      <c r="F679" t="str">
        <f>VLOOKUP($A679,[1]Table!$A$2:$N848,F$1,FALSE)</f>
        <v>SEPTOPAL 2.8 MG/ST 10 KRALEN</v>
      </c>
      <c r="G679" t="str">
        <f>VLOOKUP($A679,[1]Table!$A$2:$N848,G$1,FALSE)</f>
        <v>GENTAMICINE 2,8MG IMPLKRAAL</v>
      </c>
      <c r="H679" t="str">
        <f>VLOOKUP($A679,[1]Table!$A$2:$N848,H$1,FALSE)</f>
        <v>implantatiekraal</v>
      </c>
      <c r="I679" t="str">
        <f>VLOOKUP($A679,[1]Table!$A$2:$N848,I$1,FALSE)</f>
        <v>implant</v>
      </c>
      <c r="J679">
        <f>VLOOKUP($A679,[1]Table!$A$2:$N848,J$1,FALSE)</f>
        <v>2.8</v>
      </c>
      <c r="K679" t="str">
        <f>VLOOKUP($A679,[1]Table!$A$2:$N848,K$1,FALSE)</f>
        <v>mg/stuk</v>
      </c>
      <c r="L679">
        <f>VLOOKUP($A679,[1]Table!$A$2:$N848,L$1,FALSE)</f>
        <v>2.8</v>
      </c>
      <c r="M679" t="str">
        <f>VLOOKUP($A679,[1]Table!$A$2:$N848,M$1,FALSE)</f>
        <v>mg</v>
      </c>
      <c r="N679" t="str">
        <f>VLOOKUP($A679,[1]Table!$A$2:$N848,N$1,FALSE)</f>
        <v>Ernstige infectie, gram negatieve microorganismen||Infectie bij Hypoxic ischemic encephalopathy (HIE) behandeld met hypothermie||Pest||Tularemie</v>
      </c>
      <c r="O679" t="str">
        <f>ConcatenateRange(AZ679:BU679,"||")</f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64"/>
        <v/>
      </c>
      <c r="BA679" t="str">
        <f t="shared" si="265"/>
        <v/>
      </c>
      <c r="BB679" t="str">
        <f t="shared" si="266"/>
        <v/>
      </c>
      <c r="BC679" t="str">
        <f t="shared" si="267"/>
        <v/>
      </c>
      <c r="BD679" t="str">
        <f t="shared" si="268"/>
        <v/>
      </c>
      <c r="BE679" t="str">
        <f t="shared" si="269"/>
        <v/>
      </c>
      <c r="BF679" t="str">
        <f t="shared" si="270"/>
        <v/>
      </c>
      <c r="BG679" t="str">
        <f t="shared" si="271"/>
        <v/>
      </c>
      <c r="BH679" t="str">
        <f t="shared" si="272"/>
        <v/>
      </c>
      <c r="BI679" t="str">
        <f t="shared" si="273"/>
        <v/>
      </c>
      <c r="BJ679" t="str">
        <f t="shared" si="274"/>
        <v/>
      </c>
      <c r="BK679" t="str">
        <f t="shared" si="275"/>
        <v/>
      </c>
      <c r="BL679" t="str">
        <f t="shared" si="276"/>
        <v/>
      </c>
      <c r="BM679" t="str">
        <f t="shared" si="277"/>
        <v/>
      </c>
      <c r="BN679" t="str">
        <f t="shared" si="278"/>
        <v/>
      </c>
      <c r="BO679" t="str">
        <f t="shared" si="279"/>
        <v/>
      </c>
      <c r="BP679" t="str">
        <f t="shared" si="280"/>
        <v/>
      </c>
      <c r="BQ679" t="str">
        <f t="shared" si="281"/>
        <v/>
      </c>
      <c r="BR679" t="str">
        <f t="shared" si="282"/>
        <v/>
      </c>
      <c r="BS679" t="str">
        <f t="shared" si="283"/>
        <v/>
      </c>
      <c r="BT679" t="str">
        <f t="shared" si="284"/>
        <v/>
      </c>
      <c r="BU679" t="str">
        <f t="shared" si="285"/>
        <v/>
      </c>
    </row>
    <row r="680" spans="1:73">
      <c r="A680" s="1">
        <v>69426</v>
      </c>
      <c r="B680" t="str">
        <f>VLOOKUP($A680,[1]Table!$A$2:$N849,B$1,FALSE)</f>
        <v>J01GB03</v>
      </c>
      <c r="C680" t="str">
        <f>VLOOKUP($A680,[1]Table!$A$2:$N849,C$1,FALSE)</f>
        <v>ANTIBACTERIELE MIDDELEN VOOR SYSTEMISCH GEBRUIK</v>
      </c>
      <c r="D680" t="str">
        <f>VLOOKUP($A680,[1]Table!$A$2:$N849,D$1,FALSE)</f>
        <v>AMINOGLYCOSIDEN</v>
      </c>
      <c r="E680" t="str">
        <f>VLOOKUP($A680,[1]Table!$A$2:$N849,E$1,FALSE)</f>
        <v>GENTAMICINE</v>
      </c>
      <c r="F680" t="str">
        <f>VLOOKUP($A680,[1]Table!$A$2:$N849,F$1,FALSE)</f>
        <v>SEPTOPAL 7.5 MG/ST 30 KRALEN</v>
      </c>
      <c r="G680" t="str">
        <f>VLOOKUP($A680,[1]Table!$A$2:$N849,G$1,FALSE)</f>
        <v>GENTAMICINE 7,5MG IMPLKRAAL</v>
      </c>
      <c r="H680" t="str">
        <f>VLOOKUP($A680,[1]Table!$A$2:$N849,H$1,FALSE)</f>
        <v>implantatiekraal</v>
      </c>
      <c r="I680" t="str">
        <f>VLOOKUP($A680,[1]Table!$A$2:$N849,I$1,FALSE)</f>
        <v>implant</v>
      </c>
      <c r="J680">
        <f>VLOOKUP($A680,[1]Table!$A$2:$N849,J$1,FALSE)</f>
        <v>7.5</v>
      </c>
      <c r="K680" t="str">
        <f>VLOOKUP($A680,[1]Table!$A$2:$N849,K$1,FALSE)</f>
        <v>mg/stuk</v>
      </c>
      <c r="L680">
        <f>VLOOKUP($A680,[1]Table!$A$2:$N849,L$1,FALSE)</f>
        <v>7.5</v>
      </c>
      <c r="M680" t="str">
        <f>VLOOKUP($A680,[1]Table!$A$2:$N849,M$1,FALSE)</f>
        <v>mg</v>
      </c>
      <c r="N680" t="str">
        <f>VLOOKUP($A680,[1]Table!$A$2:$N849,N$1,FALSE)</f>
        <v>Ernstige infectie, gram negatieve microorganismen||Infectie bij Hypoxic ischemic encephalopathy (HIE) behandeld met hypothermie||Pest||Tularemie</v>
      </c>
      <c r="O680" t="str">
        <f>ConcatenateRange(AZ680:BU680,"||")</f>
        <v/>
      </c>
      <c r="Q680" s="20"/>
      <c r="R680" s="20"/>
      <c r="S680" s="20"/>
      <c r="T680" s="20"/>
      <c r="U680" s="20"/>
      <c r="V680" s="20"/>
      <c r="W680" s="20"/>
      <c r="X680" s="20"/>
      <c r="Y680" s="20"/>
      <c r="AZ680" t="str">
        <f t="shared" si="264"/>
        <v/>
      </c>
      <c r="BA680" t="str">
        <f t="shared" si="265"/>
        <v/>
      </c>
      <c r="BB680" t="str">
        <f t="shared" si="266"/>
        <v/>
      </c>
      <c r="BC680" t="str">
        <f t="shared" si="267"/>
        <v/>
      </c>
      <c r="BD680" t="str">
        <f t="shared" si="268"/>
        <v/>
      </c>
      <c r="BE680" t="str">
        <f t="shared" si="269"/>
        <v/>
      </c>
      <c r="BF680" t="str">
        <f t="shared" si="270"/>
        <v/>
      </c>
      <c r="BG680" t="str">
        <f t="shared" si="271"/>
        <v/>
      </c>
      <c r="BH680" t="str">
        <f t="shared" si="272"/>
        <v/>
      </c>
      <c r="BI680" t="str">
        <f t="shared" si="273"/>
        <v/>
      </c>
      <c r="BJ680" t="str">
        <f t="shared" si="274"/>
        <v/>
      </c>
      <c r="BK680" t="str">
        <f t="shared" si="275"/>
        <v/>
      </c>
      <c r="BL680" t="str">
        <f t="shared" si="276"/>
        <v/>
      </c>
      <c r="BM680" t="str">
        <f t="shared" si="277"/>
        <v/>
      </c>
      <c r="BN680" t="str">
        <f t="shared" si="278"/>
        <v/>
      </c>
      <c r="BO680" t="str">
        <f t="shared" si="279"/>
        <v/>
      </c>
      <c r="BP680" t="str">
        <f t="shared" si="280"/>
        <v/>
      </c>
      <c r="BQ680" t="str">
        <f t="shared" si="281"/>
        <v/>
      </c>
      <c r="BR680" t="str">
        <f t="shared" si="282"/>
        <v/>
      </c>
      <c r="BS680" t="str">
        <f t="shared" si="283"/>
        <v/>
      </c>
      <c r="BT680" t="str">
        <f t="shared" si="284"/>
        <v/>
      </c>
      <c r="BU680" t="str">
        <f t="shared" si="285"/>
        <v/>
      </c>
    </row>
    <row r="681" spans="1:73">
      <c r="A681" s="1">
        <v>96008</v>
      </c>
      <c r="B681" t="str">
        <f>VLOOKUP($A681,[1]Table!$A$2:$N850,B$1,FALSE)</f>
        <v>J01GB03</v>
      </c>
      <c r="C681" t="str">
        <f>VLOOKUP($A681,[1]Table!$A$2:$N850,C$1,FALSE)</f>
        <v>ANTIBACTERIELE MIDDELEN VOOR SYSTEMISCH GEBRUIK</v>
      </c>
      <c r="D681" t="str">
        <f>VLOOKUP($A681,[1]Table!$A$2:$N850,D$1,FALSE)</f>
        <v>AMINOGLYCOSIDEN</v>
      </c>
      <c r="E681" t="str">
        <f>VLOOKUP($A681,[1]Table!$A$2:$N850,E$1,FALSE)</f>
        <v>GENTAMICINE</v>
      </c>
      <c r="F681" t="str">
        <f>VLOOKUP($A681,[1]Table!$A$2:$N850,F$1,FALSE)</f>
        <v>GARACOL IMPL.SPONS 10X10CM 130MG GENTAM</v>
      </c>
      <c r="G681" t="str">
        <f>VLOOKUP($A681,[1]Table!$A$2:$N850,G$1,FALSE)</f>
        <v>GENTAMICINE 130MG IMPLSPONS</v>
      </c>
      <c r="H681" t="str">
        <f>VLOOKUP($A681,[1]Table!$A$2:$N850,H$1,FALSE)</f>
        <v>implantatiespons</v>
      </c>
      <c r="I681" t="str">
        <f>VLOOKUP($A681,[1]Table!$A$2:$N850,I$1,FALSE)</f>
        <v>implant</v>
      </c>
      <c r="J681">
        <f>VLOOKUP($A681,[1]Table!$A$2:$N850,J$1,FALSE)</f>
        <v>130</v>
      </c>
      <c r="K681" t="str">
        <f>VLOOKUP($A681,[1]Table!$A$2:$N850,K$1,FALSE)</f>
        <v>mg/stuk</v>
      </c>
      <c r="L681">
        <f>VLOOKUP($A681,[1]Table!$A$2:$N850,L$1,FALSE)</f>
        <v>130</v>
      </c>
      <c r="M681" t="str">
        <f>VLOOKUP($A681,[1]Table!$A$2:$N850,M$1,FALSE)</f>
        <v>mg</v>
      </c>
      <c r="N681" t="str">
        <f>VLOOKUP($A681,[1]Table!$A$2:$N850,N$1,FALSE)</f>
        <v>Ernstige infectie, gram negatieve microorganismen||Infectie bij Hypoxic ischemic encephalopathy (HIE) behandeld met hypothermie||Pest||Tularemie</v>
      </c>
      <c r="O681" t="str">
        <f>ConcatenateRange(AZ681:BU681,"||")</f>
        <v/>
      </c>
      <c r="Q681" s="20"/>
      <c r="R681" s="20"/>
      <c r="S681" s="20"/>
      <c r="T681" s="20"/>
      <c r="U681" s="20"/>
      <c r="V681" s="20"/>
      <c r="W681" s="20"/>
      <c r="X681" s="20"/>
      <c r="Y681" s="20"/>
      <c r="AZ681" t="str">
        <f t="shared" si="264"/>
        <v/>
      </c>
      <c r="BA681" t="str">
        <f t="shared" si="265"/>
        <v/>
      </c>
      <c r="BB681" t="str">
        <f t="shared" si="266"/>
        <v/>
      </c>
      <c r="BC681" t="str">
        <f t="shared" si="267"/>
        <v/>
      </c>
      <c r="BD681" t="str">
        <f t="shared" si="268"/>
        <v/>
      </c>
      <c r="BE681" t="str">
        <f t="shared" si="269"/>
        <v/>
      </c>
      <c r="BF681" t="str">
        <f t="shared" si="270"/>
        <v/>
      </c>
      <c r="BG681" t="str">
        <f t="shared" si="271"/>
        <v/>
      </c>
      <c r="BH681" t="str">
        <f t="shared" si="272"/>
        <v/>
      </c>
      <c r="BI681" t="str">
        <f t="shared" si="273"/>
        <v/>
      </c>
      <c r="BJ681" t="str">
        <f t="shared" si="274"/>
        <v/>
      </c>
      <c r="BK681" t="str">
        <f t="shared" si="275"/>
        <v/>
      </c>
      <c r="BL681" t="str">
        <f t="shared" si="276"/>
        <v/>
      </c>
      <c r="BM681" t="str">
        <f t="shared" si="277"/>
        <v/>
      </c>
      <c r="BN681" t="str">
        <f t="shared" si="278"/>
        <v/>
      </c>
      <c r="BO681" t="str">
        <f t="shared" si="279"/>
        <v/>
      </c>
      <c r="BP681" t="str">
        <f t="shared" si="280"/>
        <v/>
      </c>
      <c r="BQ681" t="str">
        <f t="shared" si="281"/>
        <v/>
      </c>
      <c r="BR681" t="str">
        <f t="shared" si="282"/>
        <v/>
      </c>
      <c r="BS681" t="str">
        <f t="shared" si="283"/>
        <v/>
      </c>
      <c r="BT681" t="str">
        <f t="shared" si="284"/>
        <v/>
      </c>
      <c r="BU681" t="str">
        <f t="shared" si="285"/>
        <v/>
      </c>
    </row>
    <row r="682" spans="1:73">
      <c r="A682" s="1">
        <v>3689</v>
      </c>
      <c r="B682" t="str">
        <f>VLOOKUP($A682,[1]Table!$A$2:$N851,B$1,FALSE)</f>
        <v>J01GB03</v>
      </c>
      <c r="C682" t="str">
        <f>VLOOKUP($A682,[1]Table!$A$2:$N851,C$1,FALSE)</f>
        <v>ANTIBACTERIELE MIDDELEN VOOR SYSTEMISCH GEBRUIK</v>
      </c>
      <c r="D682" t="str">
        <f>VLOOKUP($A682,[1]Table!$A$2:$N851,D$1,FALSE)</f>
        <v>AMINOGLYCOSIDEN</v>
      </c>
      <c r="E682" t="str">
        <f>VLOOKUP($A682,[1]Table!$A$2:$N851,E$1,FALSE)</f>
        <v>GENTAMICINE</v>
      </c>
      <c r="F682" t="str">
        <f>VLOOKUP($A682,[1]Table!$A$2:$N851,F$1,FALSE)</f>
        <v>GENTAMICINE 10 MG/ML AMPUL 2ML</v>
      </c>
      <c r="G682" t="str">
        <f>VLOOKUP($A682,[1]Table!$A$2:$N851,G$1,FALSE)</f>
        <v>GENTAMICINE 10MG/ML INJVLST</v>
      </c>
      <c r="H682" t="str">
        <f>VLOOKUP($A682,[1]Table!$A$2:$N851,H$1,FALSE)</f>
        <v>injectievloeistof</v>
      </c>
      <c r="I682" t="str">
        <f>VLOOKUP($A682,[1]Table!$A$2:$N851,I$1,FALSE)</f>
        <v>im||iv</v>
      </c>
      <c r="J682">
        <f>VLOOKUP($A682,[1]Table!$A$2:$N851,J$1,FALSE)</f>
        <v>10</v>
      </c>
      <c r="K682" t="str">
        <f>VLOOKUP($A682,[1]Table!$A$2:$N851,K$1,FALSE)</f>
        <v>mg/ml</v>
      </c>
      <c r="L682">
        <f>VLOOKUP($A682,[1]Table!$A$2:$N851,L$1,FALSE)</f>
        <v>10</v>
      </c>
      <c r="M682" t="str">
        <f>VLOOKUP($A682,[1]Table!$A$2:$N851,M$1,FALSE)</f>
        <v>mg</v>
      </c>
      <c r="N682" t="str">
        <f>VLOOKUP($A682,[1]Table!$A$2:$N851,N$1,FALSE)</f>
        <v>Ernstige infectie, gram negatieve microorganismen||Infectie bij Hypoxic ischemic encephalopathy (HIE) behandeld met hypothermie||Pest||Tularemie</v>
      </c>
      <c r="O682" t="str">
        <f>ConcatenateRange(AZ682:BU682,"||")</f>
        <v>1 x / dag||3 x / dag||1 x / 2 dagen||1 x / 36 uur</v>
      </c>
      <c r="Q682" s="4">
        <v>5</v>
      </c>
      <c r="R682" s="4">
        <v>7</v>
      </c>
      <c r="S682" s="4"/>
      <c r="T682" s="4">
        <v>2</v>
      </c>
      <c r="U682" s="4">
        <v>5</v>
      </c>
      <c r="V682" s="4"/>
      <c r="W682" s="4"/>
      <c r="X682" s="4"/>
      <c r="Y682" s="4"/>
      <c r="AA682" t="s">
        <v>49</v>
      </c>
      <c r="AC682" t="s">
        <v>49</v>
      </c>
      <c r="AN682" t="s">
        <v>49</v>
      </c>
      <c r="AP682" t="s">
        <v>49</v>
      </c>
      <c r="AZ682" t="str">
        <f t="shared" si="264"/>
        <v>1 x / dag</v>
      </c>
      <c r="BA682" t="str">
        <f t="shared" si="265"/>
        <v/>
      </c>
      <c r="BB682" t="str">
        <f t="shared" si="266"/>
        <v>3 x / dag</v>
      </c>
      <c r="BC682" t="str">
        <f t="shared" si="267"/>
        <v/>
      </c>
      <c r="BD682" t="str">
        <f t="shared" si="268"/>
        <v/>
      </c>
      <c r="BE682" t="str">
        <f t="shared" si="269"/>
        <v/>
      </c>
      <c r="BF682" t="str">
        <f t="shared" si="270"/>
        <v/>
      </c>
      <c r="BG682" t="str">
        <f t="shared" si="271"/>
        <v/>
      </c>
      <c r="BH682" t="str">
        <f t="shared" si="272"/>
        <v/>
      </c>
      <c r="BI682" t="str">
        <f t="shared" si="273"/>
        <v/>
      </c>
      <c r="BJ682" t="str">
        <f t="shared" si="274"/>
        <v/>
      </c>
      <c r="BK682" t="str">
        <f t="shared" si="275"/>
        <v/>
      </c>
      <c r="BL682" t="str">
        <f t="shared" si="276"/>
        <v/>
      </c>
      <c r="BM682" t="str">
        <f t="shared" si="277"/>
        <v>1 x / 2 dagen</v>
      </c>
      <c r="BN682" t="str">
        <f t="shared" si="278"/>
        <v/>
      </c>
      <c r="BO682" t="str">
        <f t="shared" si="279"/>
        <v>1 x / 36 uur</v>
      </c>
      <c r="BP682" t="str">
        <f t="shared" si="280"/>
        <v/>
      </c>
      <c r="BQ682" t="str">
        <f t="shared" si="281"/>
        <v/>
      </c>
      <c r="BR682" t="str">
        <f t="shared" si="282"/>
        <v/>
      </c>
      <c r="BS682" t="str">
        <f t="shared" si="283"/>
        <v/>
      </c>
      <c r="BT682" t="str">
        <f t="shared" si="284"/>
        <v/>
      </c>
      <c r="BU682" t="str">
        <f t="shared" si="285"/>
        <v/>
      </c>
    </row>
    <row r="683" spans="1:73">
      <c r="A683" s="1">
        <v>15741</v>
      </c>
      <c r="B683" t="str">
        <f>VLOOKUP($A683,[1]Table!$A$2:$N852,B$1,FALSE)</f>
        <v>J01GB03</v>
      </c>
      <c r="C683" t="str">
        <f>VLOOKUP($A683,[1]Table!$A$2:$N852,C$1,FALSE)</f>
        <v>ANTIBACTERIELE MIDDELEN VOOR SYSTEMISCH GEBRUIK</v>
      </c>
      <c r="D683" t="str">
        <f>VLOOKUP($A683,[1]Table!$A$2:$N852,D$1,FALSE)</f>
        <v>AMINOGLYCOSIDEN</v>
      </c>
      <c r="E683" t="str">
        <f>VLOOKUP($A683,[1]Table!$A$2:$N852,E$1,FALSE)</f>
        <v>GENTAMICINE</v>
      </c>
      <c r="F683" t="str">
        <f>VLOOKUP($A683,[1]Table!$A$2:$N852,F$1,FALSE)</f>
        <v>GENTAMICINE 40 MG/ML AMPUL 10 ML</v>
      </c>
      <c r="G683" t="str">
        <f>VLOOKUP($A683,[1]Table!$A$2:$N852,G$1,FALSE)</f>
        <v>GENTAMICINE 40MG/ML INJVLST</v>
      </c>
      <c r="H683" t="str">
        <f>VLOOKUP($A683,[1]Table!$A$2:$N852,H$1,FALSE)</f>
        <v>injectievloeistof</v>
      </c>
      <c r="I683" t="str">
        <f>VLOOKUP($A683,[1]Table!$A$2:$N852,I$1,FALSE)</f>
        <v>im||iv</v>
      </c>
      <c r="J683">
        <f>VLOOKUP($A683,[1]Table!$A$2:$N852,J$1,FALSE)</f>
        <v>40</v>
      </c>
      <c r="K683" t="str">
        <f>VLOOKUP($A683,[1]Table!$A$2:$N852,K$1,FALSE)</f>
        <v>mg/ml</v>
      </c>
      <c r="L683">
        <f>VLOOKUP($A683,[1]Table!$A$2:$N852,L$1,FALSE)</f>
        <v>40</v>
      </c>
      <c r="M683" t="str">
        <f>VLOOKUP($A683,[1]Table!$A$2:$N852,M$1,FALSE)</f>
        <v>mg</v>
      </c>
      <c r="N683" t="str">
        <f>VLOOKUP($A683,[1]Table!$A$2:$N852,N$1,FALSE)</f>
        <v>Ernstige infectie, gram negatieve microorganismen||Infectie bij Hypoxic ischemic encephalopathy (HIE) behandeld met hypothermie||Pest||Tularemie</v>
      </c>
      <c r="O683" t="str">
        <f>ConcatenateRange(AZ683:BU683,"||")</f>
        <v>1 x / dag||3 x / dag||1 x / 2 dagen||1 x / 36 uur</v>
      </c>
      <c r="Q683" s="4">
        <v>5</v>
      </c>
      <c r="R683" s="4">
        <v>7</v>
      </c>
      <c r="S683" s="4"/>
      <c r="T683" s="4">
        <v>2</v>
      </c>
      <c r="U683" s="4">
        <v>5</v>
      </c>
      <c r="V683" s="4"/>
      <c r="W683" s="4"/>
      <c r="X683" s="4"/>
      <c r="Y683" s="4"/>
      <c r="AA683" t="s">
        <v>49</v>
      </c>
      <c r="AC683" t="s">
        <v>49</v>
      </c>
      <c r="AN683" t="s">
        <v>49</v>
      </c>
      <c r="AP683" t="s">
        <v>49</v>
      </c>
      <c r="AZ683" t="str">
        <f t="shared" si="264"/>
        <v>1 x / dag</v>
      </c>
      <c r="BA683" t="str">
        <f t="shared" si="265"/>
        <v/>
      </c>
      <c r="BB683" t="str">
        <f t="shared" si="266"/>
        <v>3 x / dag</v>
      </c>
      <c r="BC683" t="str">
        <f t="shared" si="267"/>
        <v/>
      </c>
      <c r="BD683" t="str">
        <f t="shared" si="268"/>
        <v/>
      </c>
      <c r="BE683" t="str">
        <f t="shared" si="269"/>
        <v/>
      </c>
      <c r="BF683" t="str">
        <f t="shared" si="270"/>
        <v/>
      </c>
      <c r="BG683" t="str">
        <f t="shared" si="271"/>
        <v/>
      </c>
      <c r="BH683" t="str">
        <f t="shared" si="272"/>
        <v/>
      </c>
      <c r="BI683" t="str">
        <f t="shared" si="273"/>
        <v/>
      </c>
      <c r="BJ683" t="str">
        <f t="shared" si="274"/>
        <v/>
      </c>
      <c r="BK683" t="str">
        <f t="shared" si="275"/>
        <v/>
      </c>
      <c r="BL683" t="str">
        <f t="shared" si="276"/>
        <v/>
      </c>
      <c r="BM683" t="str">
        <f t="shared" si="277"/>
        <v>1 x / 2 dagen</v>
      </c>
      <c r="BN683" t="str">
        <f t="shared" si="278"/>
        <v/>
      </c>
      <c r="BO683" t="str">
        <f t="shared" si="279"/>
        <v>1 x / 36 uur</v>
      </c>
      <c r="BP683" t="str">
        <f t="shared" si="280"/>
        <v/>
      </c>
      <c r="BQ683" t="str">
        <f t="shared" si="281"/>
        <v/>
      </c>
      <c r="BR683" t="str">
        <f t="shared" si="282"/>
        <v/>
      </c>
      <c r="BS683" t="str">
        <f t="shared" si="283"/>
        <v/>
      </c>
      <c r="BT683" t="str">
        <f t="shared" si="284"/>
        <v/>
      </c>
      <c r="BU683" t="str">
        <f t="shared" si="285"/>
        <v/>
      </c>
    </row>
    <row r="684" spans="1:73">
      <c r="A684" s="1">
        <v>51306</v>
      </c>
      <c r="B684" t="str">
        <f>VLOOKUP($A684,[1]Table!$A$2:$N853,B$1,FALSE)</f>
        <v>S01AA11</v>
      </c>
      <c r="C684" t="str">
        <f>VLOOKUP($A684,[1]Table!$A$2:$N853,C$1,FALSE)</f>
        <v>MIDDELEN VOOR OOGHEELKUNDIG GEBRUIK</v>
      </c>
      <c r="D684" t="str">
        <f>VLOOKUP($A684,[1]Table!$A$2:$N853,D$1,FALSE)</f>
        <v>ANTIMICROBIELE MIDDELEN</v>
      </c>
      <c r="E684" t="str">
        <f>VLOOKUP($A684,[1]Table!$A$2:$N853,E$1,FALSE)</f>
        <v>GENTAMICINE</v>
      </c>
      <c r="F684" t="str">
        <f>VLOOKUP($A684,[1]Table!$A$2:$N853,F$1,FALSE)</f>
        <v>GENTAMICINE POS 3 MG/ML OOGDRUPPELS 5 ML</v>
      </c>
      <c r="G684" t="str">
        <f>VLOOKUP($A684,[1]Table!$A$2:$N853,G$1,FALSE)</f>
        <v>GENTAMICINE 3MG/ML OOGDRUPP</v>
      </c>
      <c r="H684" t="str">
        <f>VLOOKUP($A684,[1]Table!$A$2:$N853,H$1,FALSE)</f>
        <v>oogdruppels</v>
      </c>
      <c r="I684" t="str">
        <f>VLOOKUP($A684,[1]Table!$A$2:$N853,I$1,FALSE)</f>
        <v>oog</v>
      </c>
      <c r="J684">
        <f>VLOOKUP($A684,[1]Table!$A$2:$N853,J$1,FALSE)</f>
        <v>3</v>
      </c>
      <c r="K684" t="str">
        <f>VLOOKUP($A684,[1]Table!$A$2:$N853,K$1,FALSE)</f>
        <v>mg/ml</v>
      </c>
      <c r="L684">
        <f>VLOOKUP($A684,[1]Table!$A$2:$N853,L$1,FALSE)</f>
        <v>3</v>
      </c>
      <c r="M684" t="str">
        <f>VLOOKUP($A684,[1]Table!$A$2:$N853,M$1,FALSE)</f>
        <v>mg</v>
      </c>
      <c r="N684" t="str">
        <f>VLOOKUP($A684,[1]Table!$A$2:$N853,N$1,FALSE)</f>
        <v>Ooginfecties</v>
      </c>
      <c r="O684" t="str">
        <f>ConcatenateRange(AZ684:BU684,"||")</f>
        <v/>
      </c>
      <c r="AZ684" t="str">
        <f t="shared" si="264"/>
        <v/>
      </c>
      <c r="BA684" t="str">
        <f t="shared" si="265"/>
        <v/>
      </c>
      <c r="BB684" t="str">
        <f t="shared" si="266"/>
        <v/>
      </c>
      <c r="BC684" t="str">
        <f t="shared" si="267"/>
        <v/>
      </c>
      <c r="BD684" t="str">
        <f t="shared" si="268"/>
        <v/>
      </c>
      <c r="BE684" t="str">
        <f t="shared" si="269"/>
        <v/>
      </c>
      <c r="BF684" t="str">
        <f t="shared" si="270"/>
        <v/>
      </c>
      <c r="BG684" t="str">
        <f t="shared" si="271"/>
        <v/>
      </c>
      <c r="BH684" t="str">
        <f t="shared" si="272"/>
        <v/>
      </c>
      <c r="BI684" t="str">
        <f t="shared" si="273"/>
        <v/>
      </c>
      <c r="BJ684" t="str">
        <f t="shared" si="274"/>
        <v/>
      </c>
      <c r="BK684" t="str">
        <f t="shared" si="275"/>
        <v/>
      </c>
      <c r="BL684" t="str">
        <f t="shared" si="276"/>
        <v/>
      </c>
      <c r="BM684" t="str">
        <f t="shared" si="277"/>
        <v/>
      </c>
      <c r="BN684" t="str">
        <f t="shared" si="278"/>
        <v/>
      </c>
      <c r="BO684" t="str">
        <f t="shared" si="279"/>
        <v/>
      </c>
      <c r="BP684" t="str">
        <f t="shared" si="280"/>
        <v/>
      </c>
      <c r="BQ684" t="str">
        <f t="shared" si="281"/>
        <v/>
      </c>
      <c r="BR684" t="str">
        <f t="shared" si="282"/>
        <v/>
      </c>
      <c r="BS684" t="str">
        <f t="shared" si="283"/>
        <v/>
      </c>
      <c r="BT684" t="str">
        <f t="shared" si="284"/>
        <v/>
      </c>
      <c r="BU684" t="str">
        <f t="shared" si="285"/>
        <v/>
      </c>
    </row>
    <row r="685" spans="1:73">
      <c r="A685" s="1">
        <v>138797</v>
      </c>
      <c r="B685" t="str">
        <f>VLOOKUP($A685,[1]Table!$A$2:$N854,B$1,FALSE)</f>
        <v>J01GB03</v>
      </c>
      <c r="C685" t="str">
        <f>VLOOKUP($A685,[1]Table!$A$2:$N854,C$1,FALSE)</f>
        <v>ANTIBACTERIELE MIDDELEN VOOR SYSTEMISCH GEBRUIK</v>
      </c>
      <c r="D685" t="str">
        <f>VLOOKUP($A685,[1]Table!$A$2:$N854,D$1,FALSE)</f>
        <v>AMINOGLYCOSIDEN</v>
      </c>
      <c r="E685" t="str">
        <f>VLOOKUP($A685,[1]Table!$A$2:$N854,E$1,FALSE)</f>
        <v>GENTAMICINE</v>
      </c>
      <c r="F685" t="str">
        <f>VLOOKUP($A685,[1]Table!$A$2:$N854,F$1,FALSE)</f>
        <v>OPTIPAC REFOBACIN HIP SET R40+R80 POEDER VOOR CEMENT</v>
      </c>
      <c r="G685" t="str">
        <f>VLOOKUP($A685,[1]Table!$A$2:$N854,G$1,FALSE)</f>
        <v>GENTAMICINE PDR CEM HIP SET</v>
      </c>
      <c r="H685" t="str">
        <f>VLOOKUP($A685,[1]Table!$A$2:$N854,H$1,FALSE)</f>
        <v>poeder voor cement</v>
      </c>
      <c r="I685" t="str">
        <f>VLOOKUP($A685,[1]Table!$A$2:$N854,I$1,FALSE)</f>
        <v>implant</v>
      </c>
      <c r="J685">
        <f>VLOOKUP($A685,[1]Table!$A$2:$N854,J$1,FALSE)</f>
        <v>0</v>
      </c>
      <c r="K685" t="str">
        <f>VLOOKUP($A685,[1]Table!$A$2:$N854,K$1,FALSE)</f>
        <v>/gr</v>
      </c>
      <c r="L685">
        <f>VLOOKUP($A685,[1]Table!$A$2:$N854,L$1,FALSE)</f>
        <v>0</v>
      </c>
      <c r="M685">
        <f>VLOOKUP($A685,[1]Table!$A$2:$N854,M$1,FALSE)</f>
        <v>0</v>
      </c>
      <c r="N685" t="str">
        <f>VLOOKUP($A685,[1]Table!$A$2:$N854,N$1,FALSE)</f>
        <v>Ernstige infectie, gram negatieve microorganismen||Infectie bij Hypoxic ischemic encephalopathy (HIE) behandeld met hypothermie||Pest||Tularemie</v>
      </c>
      <c r="O685" t="str">
        <f>ConcatenateRange(AZ685:BU685,"||")</f>
        <v/>
      </c>
      <c r="AZ685" t="str">
        <f t="shared" si="264"/>
        <v/>
      </c>
      <c r="BA685" t="str">
        <f t="shared" si="265"/>
        <v/>
      </c>
      <c r="BB685" t="str">
        <f t="shared" si="266"/>
        <v/>
      </c>
      <c r="BC685" t="str">
        <f t="shared" si="267"/>
        <v/>
      </c>
      <c r="BD685" t="str">
        <f t="shared" si="268"/>
        <v/>
      </c>
      <c r="BE685" t="str">
        <f t="shared" si="269"/>
        <v/>
      </c>
      <c r="BF685" t="str">
        <f t="shared" si="270"/>
        <v/>
      </c>
      <c r="BG685" t="str">
        <f t="shared" si="271"/>
        <v/>
      </c>
      <c r="BH685" t="str">
        <f t="shared" si="272"/>
        <v/>
      </c>
      <c r="BI685" t="str">
        <f t="shared" si="273"/>
        <v/>
      </c>
      <c r="BJ685" t="str">
        <f t="shared" si="274"/>
        <v/>
      </c>
      <c r="BK685" t="str">
        <f t="shared" si="275"/>
        <v/>
      </c>
      <c r="BL685" t="str">
        <f t="shared" si="276"/>
        <v/>
      </c>
      <c r="BM685" t="str">
        <f t="shared" si="277"/>
        <v/>
      </c>
      <c r="BN685" t="str">
        <f t="shared" si="278"/>
        <v/>
      </c>
      <c r="BO685" t="str">
        <f t="shared" si="279"/>
        <v/>
      </c>
      <c r="BP685" t="str">
        <f t="shared" si="280"/>
        <v/>
      </c>
      <c r="BQ685" t="str">
        <f t="shared" si="281"/>
        <v/>
      </c>
      <c r="BR685" t="str">
        <f t="shared" si="282"/>
        <v/>
      </c>
      <c r="BS685" t="str">
        <f t="shared" si="283"/>
        <v/>
      </c>
      <c r="BT685" t="str">
        <f t="shared" si="284"/>
        <v/>
      </c>
      <c r="BU685" t="str">
        <f t="shared" si="285"/>
        <v/>
      </c>
    </row>
    <row r="686" spans="1:73">
      <c r="A686" s="1">
        <v>75000</v>
      </c>
      <c r="B686" t="str">
        <f>VLOOKUP($A686,[1]Table!$A$2:$N855,B$1,FALSE)</f>
        <v>J01GB03</v>
      </c>
      <c r="C686" t="str">
        <f>VLOOKUP($A686,[1]Table!$A$2:$N855,C$1,FALSE)</f>
        <v>ANTIBACTERIELE MIDDELEN VOOR SYSTEMISCH GEBRUIK</v>
      </c>
      <c r="D686" t="str">
        <f>VLOOKUP($A686,[1]Table!$A$2:$N855,D$1,FALSE)</f>
        <v>AMINOGLYCOSIDEN</v>
      </c>
      <c r="E686" t="str">
        <f>VLOOKUP($A686,[1]Table!$A$2:$N855,E$1,FALSE)</f>
        <v>GENTAMICINE</v>
      </c>
      <c r="F686" t="str">
        <f>VLOOKUP($A686,[1]Table!$A$2:$N855,F$1,FALSE)</f>
        <v>OPTIPAC REFOBACIN R40 POEDER VOOR CEMENT 40 GRAM</v>
      </c>
      <c r="G686" t="str">
        <f>VLOOKUP($A686,[1]Table!$A$2:$N855,G$1,FALSE)</f>
        <v>GENTAMICINE 12,5MG/G POEDER</v>
      </c>
      <c r="H686" t="str">
        <f>VLOOKUP($A686,[1]Table!$A$2:$N855,H$1,FALSE)</f>
        <v>poeder voor cement</v>
      </c>
      <c r="I686" t="str">
        <f>VLOOKUP($A686,[1]Table!$A$2:$N855,I$1,FALSE)</f>
        <v>implant</v>
      </c>
      <c r="J686">
        <f>VLOOKUP($A686,[1]Table!$A$2:$N855,J$1,FALSE)</f>
        <v>12.5</v>
      </c>
      <c r="K686" t="str">
        <f>VLOOKUP($A686,[1]Table!$A$2:$N855,K$1,FALSE)</f>
        <v>mg/gr</v>
      </c>
      <c r="L686">
        <f>VLOOKUP($A686,[1]Table!$A$2:$N855,L$1,FALSE)</f>
        <v>12.5</v>
      </c>
      <c r="M686" t="str">
        <f>VLOOKUP($A686,[1]Table!$A$2:$N855,M$1,FALSE)</f>
        <v>mg</v>
      </c>
      <c r="N686" t="str">
        <f>VLOOKUP($A686,[1]Table!$A$2:$N855,N$1,FALSE)</f>
        <v>Ernstige infectie, gram negatieve microorganismen||Infectie bij Hypoxic ischemic encephalopathy (HIE) behandeld met hypothermie||Pest||Tularemie</v>
      </c>
      <c r="O686" t="str">
        <f>ConcatenateRange(AZ686:BU686,"||")</f>
        <v/>
      </c>
      <c r="AZ686" t="str">
        <f t="shared" si="264"/>
        <v/>
      </c>
      <c r="BA686" t="str">
        <f t="shared" si="265"/>
        <v/>
      </c>
      <c r="BB686" t="str">
        <f t="shared" si="266"/>
        <v/>
      </c>
      <c r="BC686" t="str">
        <f t="shared" si="267"/>
        <v/>
      </c>
      <c r="BD686" t="str">
        <f t="shared" si="268"/>
        <v/>
      </c>
      <c r="BE686" t="str">
        <f t="shared" si="269"/>
        <v/>
      </c>
      <c r="BF686" t="str">
        <f t="shared" si="270"/>
        <v/>
      </c>
      <c r="BG686" t="str">
        <f t="shared" si="271"/>
        <v/>
      </c>
      <c r="BH686" t="str">
        <f t="shared" si="272"/>
        <v/>
      </c>
      <c r="BI686" t="str">
        <f t="shared" si="273"/>
        <v/>
      </c>
      <c r="BJ686" t="str">
        <f t="shared" si="274"/>
        <v/>
      </c>
      <c r="BK686" t="str">
        <f t="shared" si="275"/>
        <v/>
      </c>
      <c r="BL686" t="str">
        <f t="shared" si="276"/>
        <v/>
      </c>
      <c r="BM686" t="str">
        <f t="shared" si="277"/>
        <v/>
      </c>
      <c r="BN686" t="str">
        <f t="shared" si="278"/>
        <v/>
      </c>
      <c r="BO686" t="str">
        <f t="shared" si="279"/>
        <v/>
      </c>
      <c r="BP686" t="str">
        <f t="shared" si="280"/>
        <v/>
      </c>
      <c r="BQ686" t="str">
        <f t="shared" si="281"/>
        <v/>
      </c>
      <c r="BR686" t="str">
        <f t="shared" si="282"/>
        <v/>
      </c>
      <c r="BS686" t="str">
        <f t="shared" si="283"/>
        <v/>
      </c>
      <c r="BT686" t="str">
        <f t="shared" si="284"/>
        <v/>
      </c>
      <c r="BU686" t="str">
        <f t="shared" si="285"/>
        <v/>
      </c>
    </row>
    <row r="687" spans="1:73">
      <c r="A687" s="1">
        <v>160237</v>
      </c>
      <c r="B687" t="str">
        <f>VLOOKUP($A687,[1]Table!$A$2:$N644,B$1,FALSE)</f>
        <v>J05AR18</v>
      </c>
      <c r="C687" t="str">
        <f>VLOOKUP($A687,[1]Table!$A$2:$N644,C$1,FALSE)</f>
        <v>ANTIVIRALE MIDDELEN VOOR SYSTEMISCH GEBRUIK</v>
      </c>
      <c r="D687" t="str">
        <f>VLOOKUP($A687,[1]Table!$A$2:$N644,D$1,FALSE)</f>
        <v>DIRECT WERKENDE ANTIVIRALE MIDDELEN</v>
      </c>
      <c r="E687" t="str">
        <f>VLOOKUP($A687,[1]Table!$A$2:$N644,E$1,FALSE)</f>
        <v>GENVOYA</v>
      </c>
      <c r="F687" t="str">
        <f>VLOOKUP($A687,[1]Table!$A$2:$N644,F$1,FALSE)</f>
        <v>GENVOYA TABLET FILMOMHULD</v>
      </c>
      <c r="G687" t="str">
        <f>VLOOKUP($A687,[1]Table!$A$2:$N644,G$1,FALSE)</f>
        <v>GENVOYA TABLET</v>
      </c>
      <c r="H687" t="str">
        <f>VLOOKUP($A687,[1]Table!$A$2:$N644,H$1,FALSE)</f>
        <v>tablet</v>
      </c>
      <c r="I687" t="str">
        <f>VLOOKUP($A687,[1]Table!$A$2:$N644,I$1,FALSE)</f>
        <v>or</v>
      </c>
      <c r="J687">
        <f>VLOOKUP($A687,[1]Table!$A$2:$N644,J$1,FALSE)</f>
        <v>200</v>
      </c>
      <c r="K687" t="str">
        <f>VLOOKUP($A687,[1]Table!$A$2:$N644,K$1,FALSE)</f>
        <v>mg/stuk</v>
      </c>
      <c r="L687">
        <f>VLOOKUP($A687,[1]Table!$A$2:$N644,L$1,FALSE)</f>
        <v>200</v>
      </c>
      <c r="M687" t="str">
        <f>VLOOKUP($A687,[1]Table!$A$2:$N644,M$1,FALSE)</f>
        <v>mg</v>
      </c>
      <c r="N687" t="str">
        <f>VLOOKUP($A687,[1]Table!$A$2:$N644,N$1,FALSE)</f>
        <v>HIV</v>
      </c>
      <c r="O687" t="str">
        <f>ConcatenateRange(AZ687:BU687,"||")</f>
        <v/>
      </c>
      <c r="AZ687" t="str">
        <f t="shared" si="264"/>
        <v/>
      </c>
      <c r="BA687" t="str">
        <f t="shared" si="265"/>
        <v/>
      </c>
      <c r="BB687" t="str">
        <f t="shared" si="266"/>
        <v/>
      </c>
      <c r="BC687" t="str">
        <f t="shared" si="267"/>
        <v/>
      </c>
      <c r="BD687" t="str">
        <f t="shared" si="268"/>
        <v/>
      </c>
      <c r="BE687" t="str">
        <f t="shared" si="269"/>
        <v/>
      </c>
      <c r="BF687" t="str">
        <f t="shared" si="270"/>
        <v/>
      </c>
      <c r="BG687" t="str">
        <f t="shared" si="271"/>
        <v/>
      </c>
      <c r="BH687" t="str">
        <f t="shared" si="272"/>
        <v/>
      </c>
      <c r="BI687" t="str">
        <f t="shared" si="273"/>
        <v/>
      </c>
      <c r="BJ687" t="str">
        <f t="shared" si="274"/>
        <v/>
      </c>
      <c r="BK687" t="str">
        <f t="shared" si="275"/>
        <v/>
      </c>
      <c r="BL687" t="str">
        <f t="shared" si="276"/>
        <v/>
      </c>
      <c r="BM687" t="str">
        <f t="shared" si="277"/>
        <v/>
      </c>
      <c r="BN687" t="str">
        <f t="shared" si="278"/>
        <v/>
      </c>
      <c r="BO687" t="str">
        <f t="shared" si="279"/>
        <v/>
      </c>
      <c r="BP687" t="str">
        <f t="shared" si="280"/>
        <v/>
      </c>
      <c r="BQ687" t="str">
        <f t="shared" si="281"/>
        <v/>
      </c>
      <c r="BR687" t="str">
        <f t="shared" si="282"/>
        <v/>
      </c>
      <c r="BS687" t="str">
        <f t="shared" si="283"/>
        <v/>
      </c>
      <c r="BT687" t="str">
        <f t="shared" si="284"/>
        <v/>
      </c>
      <c r="BU687" t="str">
        <f t="shared" si="285"/>
        <v/>
      </c>
    </row>
    <row r="688" spans="1:73">
      <c r="A688" s="1">
        <v>15849</v>
      </c>
      <c r="B688" t="str">
        <f>VLOOKUP($A688,[1]Table!$A$2:$N857,B$1,FALSE)</f>
        <v>H04AA01</v>
      </c>
      <c r="C688" t="str">
        <f>VLOOKUP($A688,[1]Table!$A$2:$N857,C$1,FALSE)</f>
        <v>PANCREASHORMONEN</v>
      </c>
      <c r="D688" t="str">
        <f>VLOOKUP($A688,[1]Table!$A$2:$N857,D$1,FALSE)</f>
        <v>GLYCOGENOLYTISCHE HORMONEN</v>
      </c>
      <c r="E688" t="str">
        <f>VLOOKUP($A688,[1]Table!$A$2:$N857,E$1,FALSE)</f>
        <v>GLUCAGON</v>
      </c>
      <c r="F688" t="str">
        <f>VLOOKUP($A688,[1]Table!$A$2:$N857,F$1,FALSE)</f>
        <v>GLUCAGEN 1MG PDR+SOLVENS</v>
      </c>
      <c r="G688" t="str">
        <f>VLOOKUP($A688,[1]Table!$A$2:$N857,G$1,FALSE)</f>
        <v>GLUCAGON 1MG PDR V INJVLST</v>
      </c>
      <c r="H688" t="str">
        <f>VLOOKUP($A688,[1]Table!$A$2:$N857,H$1,FALSE)</f>
        <v>poeder voor injectievloeistof</v>
      </c>
      <c r="I688" t="str">
        <f>VLOOKUP($A688,[1]Table!$A$2:$N857,I$1,FALSE)</f>
        <v>im||iv||sc</v>
      </c>
      <c r="J688">
        <f>VLOOKUP($A688,[1]Table!$A$2:$N857,J$1,FALSE)</f>
        <v>1</v>
      </c>
      <c r="K688" t="str">
        <f>VLOOKUP($A688,[1]Table!$A$2:$N857,K$1,FALSE)</f>
        <v>mg/stuk</v>
      </c>
      <c r="L688">
        <f>VLOOKUP($A688,[1]Table!$A$2:$N857,L$1,FALSE)</f>
        <v>1</v>
      </c>
      <c r="M688" t="str">
        <f>VLOOKUP($A688,[1]Table!$A$2:$N857,M$1,FALSE)</f>
        <v>mg</v>
      </c>
      <c r="N688" t="str">
        <f>VLOOKUP($A688,[1]Table!$A$2:$N857,N$1,FALSE)</f>
        <v>Diabetes, ernstige hypoglykemie||Diagnosticum: bepaling van C-peptide (insuline reserve): ||Diagnosticum: bepaling van Hyperinsulinisme||Diagnosticum: bepaling van GH/ACTH reserve</v>
      </c>
      <c r="O688" t="str">
        <f>ConcatenateRange(AZ688:BU688,"||")</f>
        <v/>
      </c>
      <c r="AZ688" t="str">
        <f t="shared" si="264"/>
        <v/>
      </c>
      <c r="BA688" t="str">
        <f t="shared" si="265"/>
        <v/>
      </c>
      <c r="BB688" t="str">
        <f t="shared" si="266"/>
        <v/>
      </c>
      <c r="BC688" t="str">
        <f t="shared" si="267"/>
        <v/>
      </c>
      <c r="BD688" t="str">
        <f t="shared" si="268"/>
        <v/>
      </c>
      <c r="BE688" t="str">
        <f t="shared" si="269"/>
        <v/>
      </c>
      <c r="BF688" t="str">
        <f t="shared" si="270"/>
        <v/>
      </c>
      <c r="BG688" t="str">
        <f t="shared" si="271"/>
        <v/>
      </c>
      <c r="BH688" t="str">
        <f t="shared" si="272"/>
        <v/>
      </c>
      <c r="BI688" t="str">
        <f t="shared" si="273"/>
        <v/>
      </c>
      <c r="BJ688" t="str">
        <f t="shared" si="274"/>
        <v/>
      </c>
      <c r="BK688" t="str">
        <f t="shared" si="275"/>
        <v/>
      </c>
      <c r="BL688" t="str">
        <f t="shared" si="276"/>
        <v/>
      </c>
      <c r="BM688" t="str">
        <f t="shared" si="277"/>
        <v/>
      </c>
      <c r="BN688" t="str">
        <f t="shared" si="278"/>
        <v/>
      </c>
      <c r="BO688" t="str">
        <f t="shared" si="279"/>
        <v/>
      </c>
      <c r="BP688" t="str">
        <f t="shared" si="280"/>
        <v/>
      </c>
      <c r="BQ688" t="str">
        <f t="shared" si="281"/>
        <v/>
      </c>
      <c r="BR688" t="str">
        <f t="shared" si="282"/>
        <v/>
      </c>
      <c r="BS688" t="str">
        <f t="shared" si="283"/>
        <v/>
      </c>
      <c r="BT688" t="str">
        <f t="shared" si="284"/>
        <v/>
      </c>
      <c r="BU688" t="str">
        <f t="shared" si="285"/>
        <v/>
      </c>
    </row>
    <row r="689" spans="1:73">
      <c r="A689" s="1">
        <v>92703</v>
      </c>
      <c r="B689" t="str">
        <f>VLOOKUP($A689,[1]Table!$A$2:$N858,B$1,FALSE)</f>
        <v>B05CX03</v>
      </c>
      <c r="C689" t="str">
        <f>VLOOKUP($A689,[1]Table!$A$2:$N858,C$1,FALSE)</f>
        <v>BLOEDVERVANGINGSMIDDELEN EN PERFUSIEVLOEISTOFFEN</v>
      </c>
      <c r="D689" t="str">
        <f>VLOOKUP($A689,[1]Table!$A$2:$N858,D$1,FALSE)</f>
        <v>IRRIGATIEVLOEISTOFFEN</v>
      </c>
      <c r="E689" t="str">
        <f>VLOOKUP($A689,[1]Table!$A$2:$N858,E$1,FALSE)</f>
        <v>GLYCINE</v>
      </c>
      <c r="F689" t="str">
        <f>VLOOKUP($A689,[1]Table!$A$2:$N858,F$1,FALSE)</f>
        <v>GLYCINE UROMATIC  21MG/ML B6372</v>
      </c>
      <c r="G689" t="str">
        <f>VLOOKUP($A689,[1]Table!$A$2:$N858,G$1,FALSE)</f>
        <v>GLYCINE 21MG/ML SPOELING UR</v>
      </c>
      <c r="H689" t="str">
        <f>VLOOKUP($A689,[1]Table!$A$2:$N858,H$1,FALSE)</f>
        <v>spoeling voor urethraal gebruik</v>
      </c>
      <c r="I689" t="str">
        <f>VLOOKUP($A689,[1]Table!$A$2:$N858,I$1,FALSE)</f>
        <v>urethr</v>
      </c>
      <c r="J689">
        <f>VLOOKUP($A689,[1]Table!$A$2:$N858,J$1,FALSE)</f>
        <v>21</v>
      </c>
      <c r="K689" t="str">
        <f>VLOOKUP($A689,[1]Table!$A$2:$N858,K$1,FALSE)</f>
        <v>mg/ml</v>
      </c>
      <c r="L689">
        <f>VLOOKUP($A689,[1]Table!$A$2:$N858,L$1,FALSE)</f>
        <v>21</v>
      </c>
      <c r="M689" t="str">
        <f>VLOOKUP($A689,[1]Table!$A$2:$N858,M$1,FALSE)</f>
        <v>mg</v>
      </c>
      <c r="N689" t="str">
        <f>VLOOKUP($A689,[1]Table!$A$2:$N858,N$1,FALSE)</f>
        <v>3-fosfoglyceraat dehydrogenase deficientie||Isovaleriaan acidemie||Endoresectie</v>
      </c>
      <c r="O689" t="str">
        <f>ConcatenateRange(AZ689:BU689,"||")</f>
        <v/>
      </c>
      <c r="AZ689" t="str">
        <f t="shared" si="264"/>
        <v/>
      </c>
      <c r="BA689" t="str">
        <f t="shared" si="265"/>
        <v/>
      </c>
      <c r="BB689" t="str">
        <f t="shared" si="266"/>
        <v/>
      </c>
      <c r="BC689" t="str">
        <f t="shared" si="267"/>
        <v/>
      </c>
      <c r="BD689" t="str">
        <f t="shared" si="268"/>
        <v/>
      </c>
      <c r="BE689" t="str">
        <f t="shared" si="269"/>
        <v/>
      </c>
      <c r="BF689" t="str">
        <f t="shared" si="270"/>
        <v/>
      </c>
      <c r="BG689" t="str">
        <f t="shared" si="271"/>
        <v/>
      </c>
      <c r="BH689" t="str">
        <f t="shared" si="272"/>
        <v/>
      </c>
      <c r="BI689" t="str">
        <f t="shared" si="273"/>
        <v/>
      </c>
      <c r="BJ689" t="str">
        <f t="shared" si="274"/>
        <v/>
      </c>
      <c r="BK689" t="str">
        <f t="shared" si="275"/>
        <v/>
      </c>
      <c r="BL689" t="str">
        <f t="shared" si="276"/>
        <v/>
      </c>
      <c r="BM689" t="str">
        <f t="shared" si="277"/>
        <v/>
      </c>
      <c r="BN689" t="str">
        <f t="shared" si="278"/>
        <v/>
      </c>
      <c r="BO689" t="str">
        <f t="shared" si="279"/>
        <v/>
      </c>
      <c r="BP689" t="str">
        <f t="shared" si="280"/>
        <v/>
      </c>
      <c r="BQ689" t="str">
        <f t="shared" si="281"/>
        <v/>
      </c>
      <c r="BR689" t="str">
        <f t="shared" si="282"/>
        <v/>
      </c>
      <c r="BS689" t="str">
        <f t="shared" si="283"/>
        <v/>
      </c>
      <c r="BT689" t="str">
        <f t="shared" si="284"/>
        <v/>
      </c>
      <c r="BU689" t="str">
        <f t="shared" si="285"/>
        <v/>
      </c>
    </row>
    <row r="690" spans="1:73">
      <c r="A690" s="1">
        <v>136298</v>
      </c>
      <c r="B690" t="str">
        <f>VLOOKUP($A690,[1]Table!$A$2:$N859,B$1,FALSE)</f>
        <v>A03AB02</v>
      </c>
      <c r="C690" t="str">
        <f>VLOOKUP($A690,[1]Table!$A$2:$N859,C$1,FALSE)</f>
        <v>MIDDELEN BIJ FUNCTIONELE MAAGDARMSTOORNISSEN</v>
      </c>
      <c r="D690" t="str">
        <f>VLOOKUP($A690,[1]Table!$A$2:$N859,D$1,FALSE)</f>
        <v>MIDDELEN BIJ FUNCTIONELE MAAGDARMSTOORNISSEN</v>
      </c>
      <c r="E690" t="str">
        <f>VLOOKUP($A690,[1]Table!$A$2:$N859,E$1,FALSE)</f>
        <v>GLYCOPYRRONIUM</v>
      </c>
      <c r="F690" t="str">
        <f>VLOOKUP($A690,[1]Table!$A$2:$N859,F$1,FALSE)</f>
        <v>GLYCOPYRRONIUMBROMIDE 0,2 MG/ML DRANK 300 ML</v>
      </c>
      <c r="G690" t="str">
        <f>VLOOKUP($A690,[1]Table!$A$2:$N859,G$1,FALSE)</f>
        <v>GLYCOPYRRONIUM 0,2MG/ML DRA</v>
      </c>
      <c r="H690" t="str">
        <f>VLOOKUP($A690,[1]Table!$A$2:$N859,H$1,FALSE)</f>
        <v>drank</v>
      </c>
      <c r="I690" t="str">
        <f>VLOOKUP($A690,[1]Table!$A$2:$N859,I$1,FALSE)</f>
        <v>or</v>
      </c>
      <c r="J690">
        <f>VLOOKUP($A690,[1]Table!$A$2:$N859,J$1,FALSE)</f>
        <v>0.2</v>
      </c>
      <c r="K690" t="str">
        <f>VLOOKUP($A690,[1]Table!$A$2:$N859,K$1,FALSE)</f>
        <v>mg/ml</v>
      </c>
      <c r="L690">
        <f>VLOOKUP($A690,[1]Table!$A$2:$N859,L$1,FALSE)</f>
        <v>0.2</v>
      </c>
      <c r="M690" t="str">
        <f>VLOOKUP($A690,[1]Table!$A$2:$N859,M$1,FALSE)</f>
        <v>mg</v>
      </c>
      <c r="N690" t="str">
        <f>VLOOKUP($A690,[1]Table!$A$2:$N859,N$1,FALSE)</f>
        <v>Speekselvloed||Speekselvloed: pre-operatief, intra-operatief</v>
      </c>
      <c r="O690" t="str">
        <f>ConcatenateRange(AZ690:BU690,"||")</f>
        <v/>
      </c>
      <c r="AZ690" t="str">
        <f t="shared" si="264"/>
        <v/>
      </c>
      <c r="BA690" t="str">
        <f t="shared" si="265"/>
        <v/>
      </c>
      <c r="BB690" t="str">
        <f t="shared" si="266"/>
        <v/>
      </c>
      <c r="BC690" t="str">
        <f t="shared" si="267"/>
        <v/>
      </c>
      <c r="BD690" t="str">
        <f t="shared" si="268"/>
        <v/>
      </c>
      <c r="BE690" t="str">
        <f t="shared" si="269"/>
        <v/>
      </c>
      <c r="BF690" t="str">
        <f t="shared" si="270"/>
        <v/>
      </c>
      <c r="BG690" t="str">
        <f t="shared" si="271"/>
        <v/>
      </c>
      <c r="BH690" t="str">
        <f t="shared" si="272"/>
        <v/>
      </c>
      <c r="BI690" t="str">
        <f t="shared" si="273"/>
        <v/>
      </c>
      <c r="BJ690" t="str">
        <f t="shared" si="274"/>
        <v/>
      </c>
      <c r="BK690" t="str">
        <f t="shared" si="275"/>
        <v/>
      </c>
      <c r="BL690" t="str">
        <f t="shared" si="276"/>
        <v/>
      </c>
      <c r="BM690" t="str">
        <f t="shared" si="277"/>
        <v/>
      </c>
      <c r="BN690" t="str">
        <f t="shared" si="278"/>
        <v/>
      </c>
      <c r="BO690" t="str">
        <f t="shared" si="279"/>
        <v/>
      </c>
      <c r="BP690" t="str">
        <f t="shared" si="280"/>
        <v/>
      </c>
      <c r="BQ690" t="str">
        <f t="shared" si="281"/>
        <v/>
      </c>
      <c r="BR690" t="str">
        <f t="shared" si="282"/>
        <v/>
      </c>
      <c r="BS690" t="str">
        <f t="shared" si="283"/>
        <v/>
      </c>
      <c r="BT690" t="str">
        <f t="shared" si="284"/>
        <v/>
      </c>
      <c r="BU690" t="str">
        <f t="shared" si="285"/>
        <v/>
      </c>
    </row>
    <row r="691" spans="1:73">
      <c r="A691" s="1">
        <v>104973</v>
      </c>
      <c r="B691" t="str">
        <f>VLOOKUP($A691,[1]Table!$A$2:$N860,B$1,FALSE)</f>
        <v>H01CA01</v>
      </c>
      <c r="C691" t="str">
        <f>VLOOKUP($A691,[1]Table!$A$2:$N860,C$1,FALSE)</f>
        <v>HYPOFYSE- EN HYPOTHALAMUSHORMONEN EN VERWANTE VERBINDINGEN</v>
      </c>
      <c r="D691" t="str">
        <f>VLOOKUP($A691,[1]Table!$A$2:$N860,D$1,FALSE)</f>
        <v>HYPOTHALAMUSHORMONEN</v>
      </c>
      <c r="E691" t="str">
        <f>VLOOKUP($A691,[1]Table!$A$2:$N860,E$1,FALSE)</f>
        <v>GONADORELINE</v>
      </c>
      <c r="F691" t="str">
        <f>VLOOKUP($A691,[1]Table!$A$2:$N860,F$1,FALSE)</f>
        <v>LUTRELEF INJECTIEVLOEISTOF 0,1MG/ML AMPUL 1 ML</v>
      </c>
      <c r="G691" t="str">
        <f>VLOOKUP($A691,[1]Table!$A$2:$N860,G$1,FALSE)</f>
        <v>GONADORELINE DIAC 0,1MG/ML</v>
      </c>
      <c r="H691" t="str">
        <f>VLOOKUP($A691,[1]Table!$A$2:$N860,H$1,FALSE)</f>
        <v>injectievloeistof</v>
      </c>
      <c r="I691" t="str">
        <f>VLOOKUP($A691,[1]Table!$A$2:$N860,I$1,FALSE)</f>
        <v>iv</v>
      </c>
      <c r="J691">
        <f>VLOOKUP($A691,[1]Table!$A$2:$N860,J$1,FALSE)</f>
        <v>0.1</v>
      </c>
      <c r="K691" t="str">
        <f>VLOOKUP($A691,[1]Table!$A$2:$N860,K$1,FALSE)</f>
        <v>mg/ml</v>
      </c>
      <c r="L691">
        <f>VLOOKUP($A691,[1]Table!$A$2:$N860,L$1,FALSE)</f>
        <v>0.1</v>
      </c>
      <c r="M691" t="str">
        <f>VLOOKUP($A691,[1]Table!$A$2:$N860,M$1,FALSE)</f>
        <v>mg</v>
      </c>
      <c r="N691" t="str">
        <f>VLOOKUP($A691,[1]Table!$A$2:$N860,N$1,FALSE)</f>
        <v>Diagnosticum: adenohypofysefunctiestoornissen</v>
      </c>
      <c r="O691" t="str">
        <f>ConcatenateRange(AZ691:BU691,"||")</f>
        <v/>
      </c>
      <c r="AZ691" t="str">
        <f t="shared" si="264"/>
        <v/>
      </c>
      <c r="BA691" t="str">
        <f t="shared" si="265"/>
        <v/>
      </c>
      <c r="BB691" t="str">
        <f t="shared" si="266"/>
        <v/>
      </c>
      <c r="BC691" t="str">
        <f t="shared" si="267"/>
        <v/>
      </c>
      <c r="BD691" t="str">
        <f t="shared" si="268"/>
        <v/>
      </c>
      <c r="BE691" t="str">
        <f t="shared" si="269"/>
        <v/>
      </c>
      <c r="BF691" t="str">
        <f t="shared" si="270"/>
        <v/>
      </c>
      <c r="BG691" t="str">
        <f t="shared" si="271"/>
        <v/>
      </c>
      <c r="BH691" t="str">
        <f t="shared" si="272"/>
        <v/>
      </c>
      <c r="BI691" t="str">
        <f t="shared" si="273"/>
        <v/>
      </c>
      <c r="BJ691" t="str">
        <f t="shared" si="274"/>
        <v/>
      </c>
      <c r="BK691" t="str">
        <f t="shared" si="275"/>
        <v/>
      </c>
      <c r="BL691" t="str">
        <f t="shared" si="276"/>
        <v/>
      </c>
      <c r="BM691" t="str">
        <f t="shared" si="277"/>
        <v/>
      </c>
      <c r="BN691" t="str">
        <f t="shared" si="278"/>
        <v/>
      </c>
      <c r="BO691" t="str">
        <f t="shared" si="279"/>
        <v/>
      </c>
      <c r="BP691" t="str">
        <f t="shared" si="280"/>
        <v/>
      </c>
      <c r="BQ691" t="str">
        <f t="shared" si="281"/>
        <v/>
      </c>
      <c r="BR691" t="str">
        <f t="shared" si="282"/>
        <v/>
      </c>
      <c r="BS691" t="str">
        <f t="shared" si="283"/>
        <v/>
      </c>
      <c r="BT691" t="str">
        <f t="shared" si="284"/>
        <v/>
      </c>
      <c r="BU691" t="str">
        <f t="shared" si="285"/>
        <v/>
      </c>
    </row>
    <row r="692" spans="1:73">
      <c r="A692" s="1">
        <v>134570</v>
      </c>
      <c r="B692" t="str">
        <f>VLOOKUP($A692,[1]Table!$A$2:$N861,B$1,FALSE)</f>
        <v>H01CA01</v>
      </c>
      <c r="C692" t="str">
        <f>VLOOKUP($A692,[1]Table!$A$2:$N861,C$1,FALSE)</f>
        <v>HYPOFYSE- EN HYPOTHALAMUSHORMONEN EN VERWANTE VERBINDINGEN</v>
      </c>
      <c r="D692" t="str">
        <f>VLOOKUP($A692,[1]Table!$A$2:$N861,D$1,FALSE)</f>
        <v>HYPOTHALAMUSHORMONEN</v>
      </c>
      <c r="E692" t="str">
        <f>VLOOKUP($A692,[1]Table!$A$2:$N861,E$1,FALSE)</f>
        <v>GONADORELINE</v>
      </c>
      <c r="F692" t="str">
        <f>VLOOKUP($A692,[1]Table!$A$2:$N861,F$1,FALSE)</f>
        <v>LUTRELEF 3,2MG INJPDR FLACON +SOLVENS 10 ML</v>
      </c>
      <c r="G692" t="str">
        <f>VLOOKUP($A692,[1]Table!$A$2:$N861,G$1,FALSE)</f>
        <v>GONADORELINE 3,2MG INJPDR</v>
      </c>
      <c r="H692" t="str">
        <f>VLOOKUP($A692,[1]Table!$A$2:$N861,H$1,FALSE)</f>
        <v>poeder voor injectievloeistof</v>
      </c>
      <c r="I692" t="str">
        <f>VLOOKUP($A692,[1]Table!$A$2:$N861,I$1,FALSE)</f>
        <v>sc</v>
      </c>
      <c r="J692">
        <f>VLOOKUP($A692,[1]Table!$A$2:$N861,J$1,FALSE)</f>
        <v>3.2</v>
      </c>
      <c r="K692" t="str">
        <f>VLOOKUP($A692,[1]Table!$A$2:$N861,K$1,FALSE)</f>
        <v>mg/stuk</v>
      </c>
      <c r="L692">
        <f>VLOOKUP($A692,[1]Table!$A$2:$N861,L$1,FALSE)</f>
        <v>3.2</v>
      </c>
      <c r="M692" t="str">
        <f>VLOOKUP($A692,[1]Table!$A$2:$N861,M$1,FALSE)</f>
        <v>mg</v>
      </c>
      <c r="N692" t="str">
        <f>VLOOKUP($A692,[1]Table!$A$2:$N861,N$1,FALSE)</f>
        <v>Diagnosticum: adenohypofysefunctiestoornissen</v>
      </c>
      <c r="O692" t="str">
        <f>ConcatenateRange(AZ692:BU692,"||")</f>
        <v/>
      </c>
      <c r="AZ692" t="str">
        <f t="shared" si="264"/>
        <v/>
      </c>
      <c r="BA692" t="str">
        <f t="shared" si="265"/>
        <v/>
      </c>
      <c r="BB692" t="str">
        <f t="shared" si="266"/>
        <v/>
      </c>
      <c r="BC692" t="str">
        <f t="shared" si="267"/>
        <v/>
      </c>
      <c r="BD692" t="str">
        <f t="shared" si="268"/>
        <v/>
      </c>
      <c r="BE692" t="str">
        <f t="shared" si="269"/>
        <v/>
      </c>
      <c r="BF692" t="str">
        <f t="shared" si="270"/>
        <v/>
      </c>
      <c r="BG692" t="str">
        <f t="shared" si="271"/>
        <v/>
      </c>
      <c r="BH692" t="str">
        <f t="shared" si="272"/>
        <v/>
      </c>
      <c r="BI692" t="str">
        <f t="shared" si="273"/>
        <v/>
      </c>
      <c r="BJ692" t="str">
        <f t="shared" si="274"/>
        <v/>
      </c>
      <c r="BK692" t="str">
        <f t="shared" si="275"/>
        <v/>
      </c>
      <c r="BL692" t="str">
        <f t="shared" si="276"/>
        <v/>
      </c>
      <c r="BM692" t="str">
        <f t="shared" si="277"/>
        <v/>
      </c>
      <c r="BN692" t="str">
        <f t="shared" si="278"/>
        <v/>
      </c>
      <c r="BO692" t="str">
        <f t="shared" si="279"/>
        <v/>
      </c>
      <c r="BP692" t="str">
        <f t="shared" si="280"/>
        <v/>
      </c>
      <c r="BQ692" t="str">
        <f t="shared" si="281"/>
        <v/>
      </c>
      <c r="BR692" t="str">
        <f t="shared" si="282"/>
        <v/>
      </c>
      <c r="BS692" t="str">
        <f t="shared" si="283"/>
        <v/>
      </c>
      <c r="BT692" t="str">
        <f t="shared" si="284"/>
        <v/>
      </c>
      <c r="BU692" t="str">
        <f t="shared" si="285"/>
        <v/>
      </c>
    </row>
    <row r="693" spans="1:73">
      <c r="A693" s="1">
        <v>112968</v>
      </c>
      <c r="B693" t="str">
        <f>VLOOKUP($A693,[1]Table!$A$2:$N862,B$1,FALSE)</f>
        <v>A04AA02</v>
      </c>
      <c r="C693" t="str">
        <f>VLOOKUP($A693,[1]Table!$A$2:$N862,C$1,FALSE)</f>
        <v>ANTI-EMETICA</v>
      </c>
      <c r="D693" t="str">
        <f>VLOOKUP($A693,[1]Table!$A$2:$N862,D$1,FALSE)</f>
        <v>ANTI-EMETICA</v>
      </c>
      <c r="E693" t="str">
        <f>VLOOKUP($A693,[1]Table!$A$2:$N862,E$1,FALSE)</f>
        <v>GRANISETRON</v>
      </c>
      <c r="F693" t="str">
        <f>VLOOKUP($A693,[1]Table!$A$2:$N862,F$1,FALSE)</f>
        <v>GRANISETRON 1 MG/ML AMPUL 3 ML</v>
      </c>
      <c r="G693" t="str">
        <f>VLOOKUP($A693,[1]Table!$A$2:$N862,G$1,FALSE)</f>
        <v>GRANISETRON 1MG/ML INF CONC</v>
      </c>
      <c r="H693" t="str">
        <f>VLOOKUP($A693,[1]Table!$A$2:$N862,H$1,FALSE)</f>
        <v>concentraat voor oplossing voor infusie</v>
      </c>
      <c r="I693" t="str">
        <f>VLOOKUP($A693,[1]Table!$A$2:$N862,I$1,FALSE)</f>
        <v>iv</v>
      </c>
      <c r="J693">
        <f>VLOOKUP($A693,[1]Table!$A$2:$N862,J$1,FALSE)</f>
        <v>1</v>
      </c>
      <c r="K693" t="str">
        <f>VLOOKUP($A693,[1]Table!$A$2:$N862,K$1,FALSE)</f>
        <v>mg/ml</v>
      </c>
      <c r="L693">
        <f>VLOOKUP($A693,[1]Table!$A$2:$N862,L$1,FALSE)</f>
        <v>1</v>
      </c>
      <c r="M693" t="str">
        <f>VLOOKUP($A693,[1]Table!$A$2:$N862,M$1,FALSE)</f>
        <v>mg</v>
      </c>
      <c r="N693" t="str">
        <f>VLOOKUP($A693,[1]Table!$A$2:$N862,N$1,FALSE)</f>
        <v>Postoperatieve misselijkheid en braken en misselijkheid en braken bij chemotherapie</v>
      </c>
      <c r="O693" t="str">
        <f>ConcatenateRange(AZ693:BU693,"||")</f>
        <v/>
      </c>
      <c r="AZ693" t="str">
        <f t="shared" si="264"/>
        <v/>
      </c>
      <c r="BA693" t="str">
        <f t="shared" si="265"/>
        <v/>
      </c>
      <c r="BB693" t="str">
        <f t="shared" si="266"/>
        <v/>
      </c>
      <c r="BC693" t="str">
        <f t="shared" si="267"/>
        <v/>
      </c>
      <c r="BD693" t="str">
        <f t="shared" si="268"/>
        <v/>
      </c>
      <c r="BE693" t="str">
        <f t="shared" si="269"/>
        <v/>
      </c>
      <c r="BF693" t="str">
        <f t="shared" si="270"/>
        <v/>
      </c>
      <c r="BG693" t="str">
        <f t="shared" si="271"/>
        <v/>
      </c>
      <c r="BH693" t="str">
        <f t="shared" si="272"/>
        <v/>
      </c>
      <c r="BI693" t="str">
        <f t="shared" si="273"/>
        <v/>
      </c>
      <c r="BJ693" t="str">
        <f t="shared" si="274"/>
        <v/>
      </c>
      <c r="BK693" t="str">
        <f t="shared" si="275"/>
        <v/>
      </c>
      <c r="BL693" t="str">
        <f t="shared" si="276"/>
        <v/>
      </c>
      <c r="BM693" t="str">
        <f t="shared" si="277"/>
        <v/>
      </c>
      <c r="BN693" t="str">
        <f t="shared" si="278"/>
        <v/>
      </c>
      <c r="BO693" t="str">
        <f t="shared" si="279"/>
        <v/>
      </c>
      <c r="BP693" t="str">
        <f t="shared" si="280"/>
        <v/>
      </c>
      <c r="BQ693" t="str">
        <f t="shared" si="281"/>
        <v/>
      </c>
      <c r="BR693" t="str">
        <f t="shared" si="282"/>
        <v/>
      </c>
      <c r="BS693" t="str">
        <f t="shared" si="283"/>
        <v/>
      </c>
      <c r="BT693" t="str">
        <f t="shared" si="284"/>
        <v/>
      </c>
      <c r="BU693" t="str">
        <f t="shared" si="285"/>
        <v/>
      </c>
    </row>
    <row r="694" spans="1:73">
      <c r="A694" s="1">
        <v>92215</v>
      </c>
      <c r="B694" t="str">
        <f>VLOOKUP($A694,[1]Table!$A$2:$N863,B$1,FALSE)</f>
        <v>A04AA02</v>
      </c>
      <c r="C694" t="str">
        <f>VLOOKUP($A694,[1]Table!$A$2:$N863,C$1,FALSE)</f>
        <v>ANTI-EMETICA</v>
      </c>
      <c r="D694" t="str">
        <f>VLOOKUP($A694,[1]Table!$A$2:$N863,D$1,FALSE)</f>
        <v>ANTI-EMETICA</v>
      </c>
      <c r="E694" t="str">
        <f>VLOOKUP($A694,[1]Table!$A$2:$N863,E$1,FALSE)</f>
        <v>GRANISETRON</v>
      </c>
      <c r="F694" t="str">
        <f>VLOOKUP($A694,[1]Table!$A$2:$N863,F$1,FALSE)</f>
        <v>KYTRIL 1 MG TABLET</v>
      </c>
      <c r="G694" t="str">
        <f>VLOOKUP($A694,[1]Table!$A$2:$N863,G$1,FALSE)</f>
        <v>GRANISETRON 1MG TABLET</v>
      </c>
      <c r="H694" t="str">
        <f>VLOOKUP($A694,[1]Table!$A$2:$N863,H$1,FALSE)</f>
        <v>tablet</v>
      </c>
      <c r="I694" t="str">
        <f>VLOOKUP($A694,[1]Table!$A$2:$N863,I$1,FALSE)</f>
        <v>or</v>
      </c>
      <c r="J694">
        <f>VLOOKUP($A694,[1]Table!$A$2:$N863,J$1,FALSE)</f>
        <v>1</v>
      </c>
      <c r="K694" t="str">
        <f>VLOOKUP($A694,[1]Table!$A$2:$N863,K$1,FALSE)</f>
        <v>mg/stuk</v>
      </c>
      <c r="L694">
        <f>VLOOKUP($A694,[1]Table!$A$2:$N863,L$1,FALSE)</f>
        <v>1</v>
      </c>
      <c r="M694" t="str">
        <f>VLOOKUP($A694,[1]Table!$A$2:$N863,M$1,FALSE)</f>
        <v>mg</v>
      </c>
      <c r="N694" t="str">
        <f>VLOOKUP($A694,[1]Table!$A$2:$N863,N$1,FALSE)</f>
        <v>Postoperatieve misselijkheid en braken en misselijkheid en braken bij chemotherapie</v>
      </c>
      <c r="O694" t="str">
        <f>ConcatenateRange(AZ694:BU694,"||")</f>
        <v/>
      </c>
      <c r="AZ694" t="str">
        <f t="shared" si="264"/>
        <v/>
      </c>
      <c r="BA694" t="str">
        <f t="shared" si="265"/>
        <v/>
      </c>
      <c r="BB694" t="str">
        <f t="shared" si="266"/>
        <v/>
      </c>
      <c r="BC694" t="str">
        <f t="shared" si="267"/>
        <v/>
      </c>
      <c r="BD694" t="str">
        <f t="shared" si="268"/>
        <v/>
      </c>
      <c r="BE694" t="str">
        <f t="shared" si="269"/>
        <v/>
      </c>
      <c r="BF694" t="str">
        <f t="shared" si="270"/>
        <v/>
      </c>
      <c r="BG694" t="str">
        <f t="shared" si="271"/>
        <v/>
      </c>
      <c r="BH694" t="str">
        <f t="shared" si="272"/>
        <v/>
      </c>
      <c r="BI694" t="str">
        <f t="shared" si="273"/>
        <v/>
      </c>
      <c r="BJ694" t="str">
        <f t="shared" si="274"/>
        <v/>
      </c>
      <c r="BK694" t="str">
        <f t="shared" si="275"/>
        <v/>
      </c>
      <c r="BL694" t="str">
        <f t="shared" si="276"/>
        <v/>
      </c>
      <c r="BM694" t="str">
        <f t="shared" si="277"/>
        <v/>
      </c>
      <c r="BN694" t="str">
        <f t="shared" si="278"/>
        <v/>
      </c>
      <c r="BO694" t="str">
        <f t="shared" si="279"/>
        <v/>
      </c>
      <c r="BP694" t="str">
        <f t="shared" si="280"/>
        <v/>
      </c>
      <c r="BQ694" t="str">
        <f t="shared" si="281"/>
        <v/>
      </c>
      <c r="BR694" t="str">
        <f t="shared" si="282"/>
        <v/>
      </c>
      <c r="BS694" t="str">
        <f t="shared" si="283"/>
        <v/>
      </c>
      <c r="BT694" t="str">
        <f t="shared" si="284"/>
        <v/>
      </c>
      <c r="BU694" t="str">
        <f t="shared" si="285"/>
        <v/>
      </c>
    </row>
    <row r="695" spans="1:73">
      <c r="A695" s="1">
        <v>89494</v>
      </c>
      <c r="B695" t="str">
        <f>VLOOKUP($A695,[1]Table!$A$2:$N864,B$1,FALSE)</f>
        <v>J07AG01</v>
      </c>
      <c r="C695" t="str">
        <f>VLOOKUP($A695,[1]Table!$A$2:$N864,C$1,FALSE)</f>
        <v>VACCINS</v>
      </c>
      <c r="D695" t="str">
        <f>VLOOKUP($A695,[1]Table!$A$2:$N864,D$1,FALSE)</f>
        <v>BACTERIELE VACCINS</v>
      </c>
      <c r="E695" t="str">
        <f>VLOOKUP($A695,[1]Table!$A$2:$N864,E$1,FALSE)</f>
        <v>HAEMOPHILUS-INFLUENZAE-B-VACCIN</v>
      </c>
      <c r="F695" t="str">
        <f>VLOOKUP($A695,[1]Table!$A$2:$N864,F$1,FALSE)</f>
        <v>ACT HIB 10 MICROG INJPDR + SOLV WWS</v>
      </c>
      <c r="G695" t="str">
        <f>VLOOKUP($A695,[1]Table!$A$2:$N864,G$1,FALSE)</f>
        <v>HAEMOPHILUS-INFL-B 10UG</v>
      </c>
      <c r="H695" t="str">
        <f>VLOOKUP($A695,[1]Table!$A$2:$N864,H$1,FALSE)</f>
        <v>poeder voor injectievloeistof</v>
      </c>
      <c r="I695" t="str">
        <f>VLOOKUP($A695,[1]Table!$A$2:$N864,I$1,FALSE)</f>
        <v>im||sc</v>
      </c>
      <c r="J695">
        <f>VLOOKUP($A695,[1]Table!$A$2:$N864,J$1,FALSE)</f>
        <v>10</v>
      </c>
      <c r="K695" t="str">
        <f>VLOOKUP($A695,[1]Table!$A$2:$N864,K$1,FALSE)</f>
        <v>mcg/stuk</v>
      </c>
      <c r="L695">
        <f>VLOOKUP($A695,[1]Table!$A$2:$N864,L$1,FALSE)</f>
        <v>10</v>
      </c>
      <c r="M695" t="str">
        <f>VLOOKUP($A695,[1]Table!$A$2:$N864,M$1,FALSE)</f>
        <v>mcg</v>
      </c>
      <c r="N695" t="str">
        <f>VLOOKUP($A695,[1]Table!$A$2:$N864,N$1,FALSE)</f>
        <v>RIJKSVACCINATIE PROGRAMMA HiB (haemofilus influenzae B)||Vaccinatie haemofilus influenzae B: alternatief schema</v>
      </c>
      <c r="O695" t="str">
        <f>ConcatenateRange(AZ695:BU695,"||")</f>
        <v/>
      </c>
      <c r="AZ695" t="str">
        <f t="shared" si="264"/>
        <v/>
      </c>
      <c r="BA695" t="str">
        <f t="shared" si="265"/>
        <v/>
      </c>
      <c r="BB695" t="str">
        <f t="shared" si="266"/>
        <v/>
      </c>
      <c r="BC695" t="str">
        <f t="shared" si="267"/>
        <v/>
      </c>
      <c r="BD695" t="str">
        <f t="shared" si="268"/>
        <v/>
      </c>
      <c r="BE695" t="str">
        <f t="shared" si="269"/>
        <v/>
      </c>
      <c r="BF695" t="str">
        <f t="shared" si="270"/>
        <v/>
      </c>
      <c r="BG695" t="str">
        <f t="shared" si="271"/>
        <v/>
      </c>
      <c r="BH695" t="str">
        <f t="shared" si="272"/>
        <v/>
      </c>
      <c r="BI695" t="str">
        <f t="shared" si="273"/>
        <v/>
      </c>
      <c r="BJ695" t="str">
        <f t="shared" si="274"/>
        <v/>
      </c>
      <c r="BK695" t="str">
        <f t="shared" si="275"/>
        <v/>
      </c>
      <c r="BL695" t="str">
        <f t="shared" si="276"/>
        <v/>
      </c>
      <c r="BM695" t="str">
        <f t="shared" si="277"/>
        <v/>
      </c>
      <c r="BN695" t="str">
        <f t="shared" si="278"/>
        <v/>
      </c>
      <c r="BO695" t="str">
        <f t="shared" si="279"/>
        <v/>
      </c>
      <c r="BP695" t="str">
        <f t="shared" si="280"/>
        <v/>
      </c>
      <c r="BQ695" t="str">
        <f t="shared" si="281"/>
        <v/>
      </c>
      <c r="BR695" t="str">
        <f t="shared" si="282"/>
        <v/>
      </c>
      <c r="BS695" t="str">
        <f t="shared" si="283"/>
        <v/>
      </c>
      <c r="BT695" t="str">
        <f t="shared" si="284"/>
        <v/>
      </c>
      <c r="BU695" t="str">
        <f t="shared" si="285"/>
        <v/>
      </c>
    </row>
    <row r="696" spans="1:73">
      <c r="A696" s="1">
        <v>16004</v>
      </c>
      <c r="B696" t="str">
        <f>VLOOKUP($A696,[1]Table!$A$2:$N865,B$1,FALSE)</f>
        <v>N05AD01</v>
      </c>
      <c r="C696" t="str">
        <f>VLOOKUP($A696,[1]Table!$A$2:$N865,C$1,FALSE)</f>
        <v>PSYCHOLEPTICA</v>
      </c>
      <c r="D696" t="str">
        <f>VLOOKUP($A696,[1]Table!$A$2:$N865,D$1,FALSE)</f>
        <v>ANTIPSYCHOTICA</v>
      </c>
      <c r="E696" t="str">
        <f>VLOOKUP($A696,[1]Table!$A$2:$N865,E$1,FALSE)</f>
        <v>HALOPERIDOL</v>
      </c>
      <c r="F696" t="str">
        <f>VLOOKUP($A696,[1]Table!$A$2:$N865,F$1,FALSE)</f>
        <v>HALDOL 2 MG/ML DRUPPELS 30 ML</v>
      </c>
      <c r="G696" t="str">
        <f>VLOOKUP($A696,[1]Table!$A$2:$N865,G$1,FALSE)</f>
        <v>HALOPERIDOL 2MG/ML DRUPPELS</v>
      </c>
      <c r="H696" t="str">
        <f>VLOOKUP($A696,[1]Table!$A$2:$N865,H$1,FALSE)</f>
        <v>druppels voor oraal gebruik</v>
      </c>
      <c r="I696" t="str">
        <f>VLOOKUP($A696,[1]Table!$A$2:$N865,I$1,FALSE)</f>
        <v>or</v>
      </c>
      <c r="J696">
        <f>VLOOKUP($A696,[1]Table!$A$2:$N865,J$1,FALSE)</f>
        <v>2</v>
      </c>
      <c r="K696" t="str">
        <f>VLOOKUP($A696,[1]Table!$A$2:$N865,K$1,FALSE)</f>
        <v>mg/ml</v>
      </c>
      <c r="L696">
        <f>VLOOKUP($A696,[1]Table!$A$2:$N865,L$1,FALSE)</f>
        <v>2</v>
      </c>
      <c r="M696" t="str">
        <f>VLOOKUP($A696,[1]Table!$A$2:$N865,M$1,FALSE)</f>
        <v>mg</v>
      </c>
      <c r="N696" t="str">
        <f>VLOOKUP($A696,[1]Table!$A$2:$N865,N$1,FALSE)</f>
        <v>Psychosen, ernstige opwinding en onrust, autisme, tics en choreatische bewegingen||Pediatrisch delier bij kritisch zieke kinderen</v>
      </c>
      <c r="O696" t="str">
        <f>ConcatenateRange(AZ696:BU696,"||")</f>
        <v/>
      </c>
      <c r="AZ696" t="str">
        <f t="shared" si="264"/>
        <v/>
      </c>
      <c r="BA696" t="str">
        <f t="shared" si="265"/>
        <v/>
      </c>
      <c r="BB696" t="str">
        <f t="shared" si="266"/>
        <v/>
      </c>
      <c r="BC696" t="str">
        <f t="shared" si="267"/>
        <v/>
      </c>
      <c r="BD696" t="str">
        <f t="shared" si="268"/>
        <v/>
      </c>
      <c r="BE696" t="str">
        <f t="shared" si="269"/>
        <v/>
      </c>
      <c r="BF696" t="str">
        <f t="shared" si="270"/>
        <v/>
      </c>
      <c r="BG696" t="str">
        <f t="shared" si="271"/>
        <v/>
      </c>
      <c r="BH696" t="str">
        <f t="shared" si="272"/>
        <v/>
      </c>
      <c r="BI696" t="str">
        <f t="shared" si="273"/>
        <v/>
      </c>
      <c r="BJ696" t="str">
        <f t="shared" si="274"/>
        <v/>
      </c>
      <c r="BK696" t="str">
        <f t="shared" si="275"/>
        <v/>
      </c>
      <c r="BL696" t="str">
        <f t="shared" si="276"/>
        <v/>
      </c>
      <c r="BM696" t="str">
        <f t="shared" si="277"/>
        <v/>
      </c>
      <c r="BN696" t="str">
        <f t="shared" si="278"/>
        <v/>
      </c>
      <c r="BO696" t="str">
        <f t="shared" si="279"/>
        <v/>
      </c>
      <c r="BP696" t="str">
        <f t="shared" si="280"/>
        <v/>
      </c>
      <c r="BQ696" t="str">
        <f t="shared" si="281"/>
        <v/>
      </c>
      <c r="BR696" t="str">
        <f t="shared" si="282"/>
        <v/>
      </c>
      <c r="BS696" t="str">
        <f t="shared" si="283"/>
        <v/>
      </c>
      <c r="BT696" t="str">
        <f t="shared" si="284"/>
        <v/>
      </c>
      <c r="BU696" t="str">
        <f t="shared" si="285"/>
        <v/>
      </c>
    </row>
    <row r="697" spans="1:73">
      <c r="A697" s="1">
        <v>3921</v>
      </c>
      <c r="B697" t="str">
        <f>VLOOKUP($A697,[1]Table!$A$2:$N868,B$1,FALSE)</f>
        <v>N05AD01</v>
      </c>
      <c r="C697" t="str">
        <f>VLOOKUP($A697,[1]Table!$A$2:$N868,C$1,FALSE)</f>
        <v>PSYCHOLEPTICA</v>
      </c>
      <c r="D697" t="str">
        <f>VLOOKUP($A697,[1]Table!$A$2:$N868,D$1,FALSE)</f>
        <v>ANTIPSYCHOTICA</v>
      </c>
      <c r="E697" t="str">
        <f>VLOOKUP($A697,[1]Table!$A$2:$N868,E$1,FALSE)</f>
        <v>HALOPERIDOL</v>
      </c>
      <c r="F697" t="str">
        <f>VLOOKUP($A697,[1]Table!$A$2:$N868,F$1,FALSE)</f>
        <v>HALDOL 5 MG/ML AMPUL 1ML</v>
      </c>
      <c r="G697" t="str">
        <f>VLOOKUP($A697,[1]Table!$A$2:$N868,G$1,FALSE)</f>
        <v>HALOPERIDOL 5MG/ML INJVLST</v>
      </c>
      <c r="H697" t="str">
        <f>VLOOKUP($A697,[1]Table!$A$2:$N868,H$1,FALSE)</f>
        <v>injectievloeistof</v>
      </c>
      <c r="I697" t="str">
        <f>VLOOKUP($A697,[1]Table!$A$2:$N868,I$1,FALSE)</f>
        <v>im||iv||sc</v>
      </c>
      <c r="J697">
        <f>VLOOKUP($A697,[1]Table!$A$2:$N868,J$1,FALSE)</f>
        <v>5</v>
      </c>
      <c r="K697" t="str">
        <f>VLOOKUP($A697,[1]Table!$A$2:$N868,K$1,FALSE)</f>
        <v>mg/ml</v>
      </c>
      <c r="L697">
        <f>VLOOKUP($A697,[1]Table!$A$2:$N868,L$1,FALSE)</f>
        <v>5</v>
      </c>
      <c r="M697" t="str">
        <f>VLOOKUP($A697,[1]Table!$A$2:$N868,M$1,FALSE)</f>
        <v>mg</v>
      </c>
      <c r="N697" t="str">
        <f>VLOOKUP($A697,[1]Table!$A$2:$N868,N$1,FALSE)</f>
        <v>Psychosen, ernstige opwinding en onrust, autisme, tics en choreatische bewegingen||Pediatrisch delier bij kritisch zieke kinderen</v>
      </c>
      <c r="O697" t="str">
        <f>ConcatenateRange(AZ697:BU697,"||")</f>
        <v/>
      </c>
      <c r="AZ697" t="str">
        <f t="shared" si="264"/>
        <v/>
      </c>
      <c r="BA697" t="str">
        <f t="shared" si="265"/>
        <v/>
      </c>
      <c r="BB697" t="str">
        <f t="shared" si="266"/>
        <v/>
      </c>
      <c r="BC697" t="str">
        <f t="shared" si="267"/>
        <v/>
      </c>
      <c r="BD697" t="str">
        <f t="shared" si="268"/>
        <v/>
      </c>
      <c r="BE697" t="str">
        <f t="shared" si="269"/>
        <v/>
      </c>
      <c r="BF697" t="str">
        <f t="shared" si="270"/>
        <v/>
      </c>
      <c r="BG697" t="str">
        <f t="shared" si="271"/>
        <v/>
      </c>
      <c r="BH697" t="str">
        <f t="shared" si="272"/>
        <v/>
      </c>
      <c r="BI697" t="str">
        <f t="shared" si="273"/>
        <v/>
      </c>
      <c r="BJ697" t="str">
        <f t="shared" si="274"/>
        <v/>
      </c>
      <c r="BK697" t="str">
        <f t="shared" si="275"/>
        <v/>
      </c>
      <c r="BL697" t="str">
        <f t="shared" si="276"/>
        <v/>
      </c>
      <c r="BM697" t="str">
        <f t="shared" si="277"/>
        <v/>
      </c>
      <c r="BN697" t="str">
        <f t="shared" si="278"/>
        <v/>
      </c>
      <c r="BO697" t="str">
        <f t="shared" si="279"/>
        <v/>
      </c>
      <c r="BP697" t="str">
        <f t="shared" si="280"/>
        <v/>
      </c>
      <c r="BQ697" t="str">
        <f t="shared" si="281"/>
        <v/>
      </c>
      <c r="BR697" t="str">
        <f t="shared" si="282"/>
        <v/>
      </c>
      <c r="BS697" t="str">
        <f t="shared" si="283"/>
        <v/>
      </c>
      <c r="BT697" t="str">
        <f t="shared" si="284"/>
        <v/>
      </c>
      <c r="BU697" t="str">
        <f t="shared" si="285"/>
        <v/>
      </c>
    </row>
    <row r="698" spans="1:73">
      <c r="A698" s="1">
        <v>40150</v>
      </c>
      <c r="B698" t="str">
        <f>VLOOKUP($A698,[1]Table!$A$2:$N866,B$1,FALSE)</f>
        <v>N05AD01</v>
      </c>
      <c r="C698" t="str">
        <f>VLOOKUP($A698,[1]Table!$A$2:$N866,C$1,FALSE)</f>
        <v>PSYCHOLEPTICA</v>
      </c>
      <c r="D698" t="str">
        <f>VLOOKUP($A698,[1]Table!$A$2:$N866,D$1,FALSE)</f>
        <v>ANTIPSYCHOTICA</v>
      </c>
      <c r="E698" t="str">
        <f>VLOOKUP($A698,[1]Table!$A$2:$N866,E$1,FALSE)</f>
        <v>HALOPERIDOL</v>
      </c>
      <c r="F698" t="str">
        <f>VLOOKUP($A698,[1]Table!$A$2:$N866,F$1,FALSE)</f>
        <v>HALDOL DECANOAS 50 MG/ML (DEPOT) AMPUL 1ML</v>
      </c>
      <c r="G698" t="str">
        <f>VLOOKUP($A698,[1]Table!$A$2:$N866,G$1,FALSE)</f>
        <v>HALOPERIDOL 50MG/ML INJVLST</v>
      </c>
      <c r="H698" t="str">
        <f>VLOOKUP($A698,[1]Table!$A$2:$N866,H$1,FALSE)</f>
        <v>injectievloeistof</v>
      </c>
      <c r="I698" t="str">
        <f>VLOOKUP($A698,[1]Table!$A$2:$N866,I$1,FALSE)</f>
        <v>im</v>
      </c>
      <c r="J698">
        <f>VLOOKUP($A698,[1]Table!$A$2:$N866,J$1,FALSE)</f>
        <v>50</v>
      </c>
      <c r="K698" t="str">
        <f>VLOOKUP($A698,[1]Table!$A$2:$N866,K$1,FALSE)</f>
        <v>mg/ml</v>
      </c>
      <c r="L698">
        <f>VLOOKUP($A698,[1]Table!$A$2:$N866,L$1,FALSE)</f>
        <v>50</v>
      </c>
      <c r="M698" t="str">
        <f>VLOOKUP($A698,[1]Table!$A$2:$N866,M$1,FALSE)</f>
        <v>mg</v>
      </c>
      <c r="N698" t="str">
        <f>VLOOKUP($A698,[1]Table!$A$2:$N866,N$1,FALSE)</f>
        <v>Psychosen, ernstige opwinding en onrust, autisme, tics en choreatische bewegingen||Pediatrisch delier bij kritisch zieke kinderen</v>
      </c>
      <c r="O698" t="str">
        <f>ConcatenateRange(AZ698:BU698,"||")</f>
        <v/>
      </c>
      <c r="AZ698" t="str">
        <f t="shared" si="264"/>
        <v/>
      </c>
      <c r="BA698" t="str">
        <f t="shared" si="265"/>
        <v/>
      </c>
      <c r="BB698" t="str">
        <f t="shared" si="266"/>
        <v/>
      </c>
      <c r="BC698" t="str">
        <f t="shared" si="267"/>
        <v/>
      </c>
      <c r="BD698" t="str">
        <f t="shared" si="268"/>
        <v/>
      </c>
      <c r="BE698" t="str">
        <f t="shared" si="269"/>
        <v/>
      </c>
      <c r="BF698" t="str">
        <f t="shared" si="270"/>
        <v/>
      </c>
      <c r="BG698" t="str">
        <f t="shared" si="271"/>
        <v/>
      </c>
      <c r="BH698" t="str">
        <f t="shared" si="272"/>
        <v/>
      </c>
      <c r="BI698" t="str">
        <f t="shared" si="273"/>
        <v/>
      </c>
      <c r="BJ698" t="str">
        <f t="shared" si="274"/>
        <v/>
      </c>
      <c r="BK698" t="str">
        <f t="shared" si="275"/>
        <v/>
      </c>
      <c r="BL698" t="str">
        <f t="shared" si="276"/>
        <v/>
      </c>
      <c r="BM698" t="str">
        <f t="shared" si="277"/>
        <v/>
      </c>
      <c r="BN698" t="str">
        <f t="shared" si="278"/>
        <v/>
      </c>
      <c r="BO698" t="str">
        <f t="shared" si="279"/>
        <v/>
      </c>
      <c r="BP698" t="str">
        <f t="shared" si="280"/>
        <v/>
      </c>
      <c r="BQ698" t="str">
        <f t="shared" si="281"/>
        <v/>
      </c>
      <c r="BR698" t="str">
        <f t="shared" si="282"/>
        <v/>
      </c>
      <c r="BS698" t="str">
        <f t="shared" si="283"/>
        <v/>
      </c>
      <c r="BT698" t="str">
        <f t="shared" si="284"/>
        <v/>
      </c>
      <c r="BU698" t="str">
        <f t="shared" si="285"/>
        <v/>
      </c>
    </row>
    <row r="699" spans="1:73">
      <c r="A699" s="1">
        <v>43370</v>
      </c>
      <c r="B699" t="str">
        <f>VLOOKUP($A699,[1]Table!$A$2:$N867,B$1,FALSE)</f>
        <v>N05AD01</v>
      </c>
      <c r="C699" t="str">
        <f>VLOOKUP($A699,[1]Table!$A$2:$N867,C$1,FALSE)</f>
        <v>PSYCHOLEPTICA</v>
      </c>
      <c r="D699" t="str">
        <f>VLOOKUP($A699,[1]Table!$A$2:$N867,D$1,FALSE)</f>
        <v>ANTIPSYCHOTICA</v>
      </c>
      <c r="E699" t="str">
        <f>VLOOKUP($A699,[1]Table!$A$2:$N867,E$1,FALSE)</f>
        <v>HALOPERIDOL</v>
      </c>
      <c r="F699" t="str">
        <f>VLOOKUP($A699,[1]Table!$A$2:$N867,F$1,FALSE)</f>
        <v>HALDOL DECANOAS 100 MG/ML (DEPOT) AMPUL 1ML</v>
      </c>
      <c r="G699" t="str">
        <f>VLOOKUP($A699,[1]Table!$A$2:$N867,G$1,FALSE)</f>
        <v>HALOPERIDOL 100MG/ML INJVLS</v>
      </c>
      <c r="H699" t="str">
        <f>VLOOKUP($A699,[1]Table!$A$2:$N867,H$1,FALSE)</f>
        <v>injectievloeistof</v>
      </c>
      <c r="I699" t="str">
        <f>VLOOKUP($A699,[1]Table!$A$2:$N867,I$1,FALSE)</f>
        <v>im</v>
      </c>
      <c r="J699">
        <f>VLOOKUP($A699,[1]Table!$A$2:$N867,J$1,FALSE)</f>
        <v>100</v>
      </c>
      <c r="K699" t="str">
        <f>VLOOKUP($A699,[1]Table!$A$2:$N867,K$1,FALSE)</f>
        <v>mg/ml</v>
      </c>
      <c r="L699">
        <f>VLOOKUP($A699,[1]Table!$A$2:$N867,L$1,FALSE)</f>
        <v>100</v>
      </c>
      <c r="M699" t="str">
        <f>VLOOKUP($A699,[1]Table!$A$2:$N867,M$1,FALSE)</f>
        <v>mg</v>
      </c>
      <c r="N699" t="str">
        <f>VLOOKUP($A699,[1]Table!$A$2:$N867,N$1,FALSE)</f>
        <v>Psychosen, ernstige opwinding en onrust, autisme, tics en choreatische bewegingen||Pediatrisch delier bij kritisch zieke kinderen</v>
      </c>
      <c r="O699" t="str">
        <f>ConcatenateRange(AZ699:BU699,"||")</f>
        <v/>
      </c>
      <c r="AZ699" t="str">
        <f t="shared" si="264"/>
        <v/>
      </c>
      <c r="BA699" t="str">
        <f t="shared" si="265"/>
        <v/>
      </c>
      <c r="BB699" t="str">
        <f t="shared" si="266"/>
        <v/>
      </c>
      <c r="BC699" t="str">
        <f t="shared" si="267"/>
        <v/>
      </c>
      <c r="BD699" t="str">
        <f t="shared" si="268"/>
        <v/>
      </c>
      <c r="BE699" t="str">
        <f t="shared" si="269"/>
        <v/>
      </c>
      <c r="BF699" t="str">
        <f t="shared" si="270"/>
        <v/>
      </c>
      <c r="BG699" t="str">
        <f t="shared" si="271"/>
        <v/>
      </c>
      <c r="BH699" t="str">
        <f t="shared" si="272"/>
        <v/>
      </c>
      <c r="BI699" t="str">
        <f t="shared" si="273"/>
        <v/>
      </c>
      <c r="BJ699" t="str">
        <f t="shared" si="274"/>
        <v/>
      </c>
      <c r="BK699" t="str">
        <f t="shared" si="275"/>
        <v/>
      </c>
      <c r="BL699" t="str">
        <f t="shared" si="276"/>
        <v/>
      </c>
      <c r="BM699" t="str">
        <f t="shared" si="277"/>
        <v/>
      </c>
      <c r="BN699" t="str">
        <f t="shared" si="278"/>
        <v/>
      </c>
      <c r="BO699" t="str">
        <f t="shared" si="279"/>
        <v/>
      </c>
      <c r="BP699" t="str">
        <f t="shared" si="280"/>
        <v/>
      </c>
      <c r="BQ699" t="str">
        <f t="shared" si="281"/>
        <v/>
      </c>
      <c r="BR699" t="str">
        <f t="shared" si="282"/>
        <v/>
      </c>
      <c r="BS699" t="str">
        <f t="shared" si="283"/>
        <v/>
      </c>
      <c r="BT699" t="str">
        <f t="shared" si="284"/>
        <v/>
      </c>
      <c r="BU699" t="str">
        <f t="shared" si="285"/>
        <v/>
      </c>
    </row>
    <row r="700" spans="1:73">
      <c r="A700" s="1">
        <v>16012</v>
      </c>
      <c r="B700" t="str">
        <f>VLOOKUP($A700,[1]Table!$A$2:$N869,B$1,FALSE)</f>
        <v>N05AD01</v>
      </c>
      <c r="C700" t="str">
        <f>VLOOKUP($A700,[1]Table!$A$2:$N869,C$1,FALSE)</f>
        <v>PSYCHOLEPTICA</v>
      </c>
      <c r="D700" t="str">
        <f>VLOOKUP($A700,[1]Table!$A$2:$N869,D$1,FALSE)</f>
        <v>ANTIPSYCHOTICA</v>
      </c>
      <c r="E700" t="str">
        <f>VLOOKUP($A700,[1]Table!$A$2:$N869,E$1,FALSE)</f>
        <v>HALOPERIDOL</v>
      </c>
      <c r="F700" t="str">
        <f>VLOOKUP($A700,[1]Table!$A$2:$N869,F$1,FALSE)</f>
        <v>HALOPERIDOL 1 MG TABLET</v>
      </c>
      <c r="G700" t="str">
        <f>VLOOKUP($A700,[1]Table!$A$2:$N869,G$1,FALSE)</f>
        <v>HALOPERIDOL 1MG TABLET</v>
      </c>
      <c r="H700" t="str">
        <f>VLOOKUP($A700,[1]Table!$A$2:$N869,H$1,FALSE)</f>
        <v>tablet</v>
      </c>
      <c r="I700" t="str">
        <f>VLOOKUP($A700,[1]Table!$A$2:$N869,I$1,FALSE)</f>
        <v>or</v>
      </c>
      <c r="J700">
        <f>VLOOKUP($A700,[1]Table!$A$2:$N869,J$1,FALSE)</f>
        <v>1</v>
      </c>
      <c r="K700" t="str">
        <f>VLOOKUP($A700,[1]Table!$A$2:$N869,K$1,FALSE)</f>
        <v>mg/stuk</v>
      </c>
      <c r="L700">
        <f>VLOOKUP($A700,[1]Table!$A$2:$N869,L$1,FALSE)</f>
        <v>0.5</v>
      </c>
      <c r="M700" t="str">
        <f>VLOOKUP($A700,[1]Table!$A$2:$N869,M$1,FALSE)</f>
        <v>mg</v>
      </c>
      <c r="N700" t="str">
        <f>VLOOKUP($A700,[1]Table!$A$2:$N869,N$1,FALSE)</f>
        <v>Psychosen, ernstige opwinding en onrust, autisme, tics en choreatische bewegingen||Pediatrisch delier bij kritisch zieke kinderen</v>
      </c>
      <c r="O700" t="str">
        <f>ConcatenateRange(AZ700:BU700,"||")</f>
        <v/>
      </c>
      <c r="AZ700" t="str">
        <f t="shared" si="264"/>
        <v/>
      </c>
      <c r="BA700" t="str">
        <f t="shared" si="265"/>
        <v/>
      </c>
      <c r="BB700" t="str">
        <f t="shared" si="266"/>
        <v/>
      </c>
      <c r="BC700" t="str">
        <f t="shared" si="267"/>
        <v/>
      </c>
      <c r="BD700" t="str">
        <f t="shared" si="268"/>
        <v/>
      </c>
      <c r="BE700" t="str">
        <f t="shared" si="269"/>
        <v/>
      </c>
      <c r="BF700" t="str">
        <f t="shared" si="270"/>
        <v/>
      </c>
      <c r="BG700" t="str">
        <f t="shared" si="271"/>
        <v/>
      </c>
      <c r="BH700" t="str">
        <f t="shared" si="272"/>
        <v/>
      </c>
      <c r="BI700" t="str">
        <f t="shared" si="273"/>
        <v/>
      </c>
      <c r="BJ700" t="str">
        <f t="shared" si="274"/>
        <v/>
      </c>
      <c r="BK700" t="str">
        <f t="shared" si="275"/>
        <v/>
      </c>
      <c r="BL700" t="str">
        <f t="shared" si="276"/>
        <v/>
      </c>
      <c r="BM700" t="str">
        <f t="shared" si="277"/>
        <v/>
      </c>
      <c r="BN700" t="str">
        <f t="shared" si="278"/>
        <v/>
      </c>
      <c r="BO700" t="str">
        <f t="shared" si="279"/>
        <v/>
      </c>
      <c r="BP700" t="str">
        <f t="shared" si="280"/>
        <v/>
      </c>
      <c r="BQ700" t="str">
        <f t="shared" si="281"/>
        <v/>
      </c>
      <c r="BR700" t="str">
        <f t="shared" si="282"/>
        <v/>
      </c>
      <c r="BS700" t="str">
        <f t="shared" si="283"/>
        <v/>
      </c>
      <c r="BT700" t="str">
        <f t="shared" si="284"/>
        <v/>
      </c>
      <c r="BU700" t="str">
        <f t="shared" si="285"/>
        <v/>
      </c>
    </row>
    <row r="701" spans="1:73">
      <c r="A701" s="1">
        <v>16020</v>
      </c>
      <c r="B701" t="str">
        <f>VLOOKUP($A701,[1]Table!$A$2:$N870,B$1,FALSE)</f>
        <v>N05AD01</v>
      </c>
      <c r="C701" t="str">
        <f>VLOOKUP($A701,[1]Table!$A$2:$N870,C$1,FALSE)</f>
        <v>PSYCHOLEPTICA</v>
      </c>
      <c r="D701" t="str">
        <f>VLOOKUP($A701,[1]Table!$A$2:$N870,D$1,FALSE)</f>
        <v>ANTIPSYCHOTICA</v>
      </c>
      <c r="E701" t="str">
        <f>VLOOKUP($A701,[1]Table!$A$2:$N870,E$1,FALSE)</f>
        <v>HALOPERIDOL</v>
      </c>
      <c r="F701" t="str">
        <f>VLOOKUP($A701,[1]Table!$A$2:$N870,F$1,FALSE)</f>
        <v>HALOPERIDOL 5 MG TABLET</v>
      </c>
      <c r="G701" t="str">
        <f>VLOOKUP($A701,[1]Table!$A$2:$N870,G$1,FALSE)</f>
        <v>HALOPERIDOL 5MG TABLET</v>
      </c>
      <c r="H701" t="str">
        <f>VLOOKUP($A701,[1]Table!$A$2:$N870,H$1,FALSE)</f>
        <v>tablet</v>
      </c>
      <c r="I701" t="str">
        <f>VLOOKUP($A701,[1]Table!$A$2:$N870,I$1,FALSE)</f>
        <v>or</v>
      </c>
      <c r="J701">
        <f>VLOOKUP($A701,[1]Table!$A$2:$N870,J$1,FALSE)</f>
        <v>5</v>
      </c>
      <c r="K701" t="str">
        <f>VLOOKUP($A701,[1]Table!$A$2:$N870,K$1,FALSE)</f>
        <v>mg/stuk</v>
      </c>
      <c r="L701">
        <f>VLOOKUP($A701,[1]Table!$A$2:$N870,L$1,FALSE)</f>
        <v>2.5</v>
      </c>
      <c r="M701" t="str">
        <f>VLOOKUP($A701,[1]Table!$A$2:$N870,M$1,FALSE)</f>
        <v>mg</v>
      </c>
      <c r="N701" t="str">
        <f>VLOOKUP($A701,[1]Table!$A$2:$N870,N$1,FALSE)</f>
        <v>Psychosen, ernstige opwinding en onrust, autisme, tics en choreatische bewegingen||Pediatrisch delier bij kritisch zieke kinderen</v>
      </c>
      <c r="O701" t="str">
        <f>ConcatenateRange(AZ701:BU701,"||")</f>
        <v/>
      </c>
      <c r="AZ701" t="str">
        <f t="shared" si="264"/>
        <v/>
      </c>
      <c r="BA701" t="str">
        <f t="shared" si="265"/>
        <v/>
      </c>
      <c r="BB701" t="str">
        <f t="shared" si="266"/>
        <v/>
      </c>
      <c r="BC701" t="str">
        <f t="shared" si="267"/>
        <v/>
      </c>
      <c r="BD701" t="str">
        <f t="shared" si="268"/>
        <v/>
      </c>
      <c r="BE701" t="str">
        <f t="shared" si="269"/>
        <v/>
      </c>
      <c r="BF701" t="str">
        <f t="shared" si="270"/>
        <v/>
      </c>
      <c r="BG701" t="str">
        <f t="shared" si="271"/>
        <v/>
      </c>
      <c r="BH701" t="str">
        <f t="shared" si="272"/>
        <v/>
      </c>
      <c r="BI701" t="str">
        <f t="shared" si="273"/>
        <v/>
      </c>
      <c r="BJ701" t="str">
        <f t="shared" si="274"/>
        <v/>
      </c>
      <c r="BK701" t="str">
        <f t="shared" si="275"/>
        <v/>
      </c>
      <c r="BL701" t="str">
        <f t="shared" si="276"/>
        <v/>
      </c>
      <c r="BM701" t="str">
        <f t="shared" si="277"/>
        <v/>
      </c>
      <c r="BN701" t="str">
        <f t="shared" si="278"/>
        <v/>
      </c>
      <c r="BO701" t="str">
        <f t="shared" si="279"/>
        <v/>
      </c>
      <c r="BP701" t="str">
        <f t="shared" si="280"/>
        <v/>
      </c>
      <c r="BQ701" t="str">
        <f t="shared" si="281"/>
        <v/>
      </c>
      <c r="BR701" t="str">
        <f t="shared" si="282"/>
        <v/>
      </c>
      <c r="BS701" t="str">
        <f t="shared" si="283"/>
        <v/>
      </c>
      <c r="BT701" t="str">
        <f t="shared" si="284"/>
        <v/>
      </c>
      <c r="BU701" t="str">
        <f t="shared" si="285"/>
        <v/>
      </c>
    </row>
    <row r="702" spans="1:73">
      <c r="A702" s="1">
        <v>89672</v>
      </c>
      <c r="B702" t="str">
        <f>VLOOKUP($A702,[1]Table!$A$2:$N871,B$1,FALSE)</f>
        <v>B01AB01</v>
      </c>
      <c r="C702" t="str">
        <f>VLOOKUP($A702,[1]Table!$A$2:$N871,C$1,FALSE)</f>
        <v>ANTITHROMBOTICA</v>
      </c>
      <c r="D702" t="str">
        <f>VLOOKUP($A702,[1]Table!$A$2:$N871,D$1,FALSE)</f>
        <v>ANTITHROMBOTICA</v>
      </c>
      <c r="E702" t="str">
        <f>VLOOKUP($A702,[1]Table!$A$2:$N871,E$1,FALSE)</f>
        <v>HEPARINE</v>
      </c>
      <c r="F702" t="str">
        <f>VLOOKUP($A702,[1]Table!$A$2:$N871,F$1,FALSE)</f>
        <v>HEPARINE INJVLST 100 IE/ML AMPUL 5ML</v>
      </c>
      <c r="G702" t="str">
        <f>VLOOKUP($A702,[1]Table!$A$2:$N871,G$1,FALSE)</f>
        <v>HEPARINE 100IE/ML INJVLST</v>
      </c>
      <c r="H702" t="str">
        <f>VLOOKUP($A702,[1]Table!$A$2:$N871,H$1,FALSE)</f>
        <v>injectievloeistof</v>
      </c>
      <c r="I702" t="str">
        <f>VLOOKUP($A702,[1]Table!$A$2:$N871,I$1,FALSE)</f>
        <v>iv||sc</v>
      </c>
      <c r="J702">
        <f>VLOOKUP($A702,[1]Table!$A$2:$N871,J$1,FALSE)</f>
        <v>100</v>
      </c>
      <c r="K702" t="str">
        <f>VLOOKUP($A702,[1]Table!$A$2:$N871,K$1,FALSE)</f>
        <v>IE/ml</v>
      </c>
      <c r="L702">
        <f>VLOOKUP($A702,[1]Table!$A$2:$N871,L$1,FALSE)</f>
        <v>100</v>
      </c>
      <c r="M702" t="str">
        <f>VLOOKUP($A702,[1]Table!$A$2:$N871,M$1,FALSE)</f>
        <v>IE</v>
      </c>
      <c r="N702" t="str">
        <f>VLOOKUP($A702,[1]Table!$A$2:$N871,N$1,FALSE)</f>
        <v>Behandeling veneuze trombose||Heparineslot||Profylaxe trombusvorming centraal veneuze katheter, Flush, Arterielijn profylaxe</v>
      </c>
      <c r="O702" t="str">
        <f>ConcatenateRange(AZ702:BU702,"||")</f>
        <v/>
      </c>
      <c r="AZ702" t="str">
        <f t="shared" si="264"/>
        <v/>
      </c>
      <c r="BA702" t="str">
        <f t="shared" si="265"/>
        <v/>
      </c>
      <c r="BB702" t="str">
        <f t="shared" si="266"/>
        <v/>
      </c>
      <c r="BC702" t="str">
        <f t="shared" si="267"/>
        <v/>
      </c>
      <c r="BD702" t="str">
        <f t="shared" si="268"/>
        <v/>
      </c>
      <c r="BE702" t="str">
        <f t="shared" si="269"/>
        <v/>
      </c>
      <c r="BF702" t="str">
        <f t="shared" si="270"/>
        <v/>
      </c>
      <c r="BG702" t="str">
        <f t="shared" si="271"/>
        <v/>
      </c>
      <c r="BH702" t="str">
        <f t="shared" si="272"/>
        <v/>
      </c>
      <c r="BI702" t="str">
        <f t="shared" si="273"/>
        <v/>
      </c>
      <c r="BJ702" t="str">
        <f t="shared" si="274"/>
        <v/>
      </c>
      <c r="BK702" t="str">
        <f t="shared" si="275"/>
        <v/>
      </c>
      <c r="BL702" t="str">
        <f t="shared" si="276"/>
        <v/>
      </c>
      <c r="BM702" t="str">
        <f t="shared" si="277"/>
        <v/>
      </c>
      <c r="BN702" t="str">
        <f t="shared" si="278"/>
        <v/>
      </c>
      <c r="BO702" t="str">
        <f t="shared" si="279"/>
        <v/>
      </c>
      <c r="BP702" t="str">
        <f t="shared" si="280"/>
        <v/>
      </c>
      <c r="BQ702" t="str">
        <f t="shared" si="281"/>
        <v/>
      </c>
      <c r="BR702" t="str">
        <f t="shared" si="282"/>
        <v/>
      </c>
      <c r="BS702" t="str">
        <f t="shared" si="283"/>
        <v/>
      </c>
      <c r="BT702" t="str">
        <f t="shared" si="284"/>
        <v/>
      </c>
      <c r="BU702" t="str">
        <f t="shared" si="285"/>
        <v/>
      </c>
    </row>
    <row r="703" spans="1:73">
      <c r="A703" s="1">
        <v>16101</v>
      </c>
      <c r="B703" t="str">
        <f>VLOOKUP($A703,[1]Table!$A$2:$N872,B$1,FALSE)</f>
        <v>B01AB01</v>
      </c>
      <c r="C703" t="str">
        <f>VLOOKUP($A703,[1]Table!$A$2:$N872,C$1,FALSE)</f>
        <v>ANTITHROMBOTICA</v>
      </c>
      <c r="D703" t="str">
        <f>VLOOKUP($A703,[1]Table!$A$2:$N872,D$1,FALSE)</f>
        <v>ANTITHROMBOTICA</v>
      </c>
      <c r="E703" t="str">
        <f>VLOOKUP($A703,[1]Table!$A$2:$N872,E$1,FALSE)</f>
        <v>HEPARINE</v>
      </c>
      <c r="F703" t="str">
        <f>VLOOKUP($A703,[1]Table!$A$2:$N872,F$1,FALSE)</f>
        <v>HEPARINE 5000IE/ML FLACON 5ML</v>
      </c>
      <c r="G703" t="str">
        <f>VLOOKUP($A703,[1]Table!$A$2:$N872,G$1,FALSE)</f>
        <v>HEPARINE 5000IE/ML INJVLST</v>
      </c>
      <c r="H703" t="str">
        <f>VLOOKUP($A703,[1]Table!$A$2:$N872,H$1,FALSE)</f>
        <v>injectievloeistof</v>
      </c>
      <c r="I703" t="str">
        <f>VLOOKUP($A703,[1]Table!$A$2:$N872,I$1,FALSE)</f>
        <v>iv||sc</v>
      </c>
      <c r="J703">
        <f>VLOOKUP($A703,[1]Table!$A$2:$N872,J$1,FALSE)</f>
        <v>5000</v>
      </c>
      <c r="K703" t="str">
        <f>VLOOKUP($A703,[1]Table!$A$2:$N872,K$1,FALSE)</f>
        <v>IE/ml</v>
      </c>
      <c r="L703">
        <f>VLOOKUP($A703,[1]Table!$A$2:$N872,L$1,FALSE)</f>
        <v>5000</v>
      </c>
      <c r="M703" t="str">
        <f>VLOOKUP($A703,[1]Table!$A$2:$N872,M$1,FALSE)</f>
        <v>IE</v>
      </c>
      <c r="N703" t="str">
        <f>VLOOKUP($A703,[1]Table!$A$2:$N872,N$1,FALSE)</f>
        <v>Behandeling veneuze trombose||Heparineslot||Profylaxe trombusvorming centraal veneuze katheter, Flush, Arterielijn profylaxe</v>
      </c>
      <c r="O703" t="str">
        <f>ConcatenateRange(AZ703:BU703,"||")</f>
        <v/>
      </c>
      <c r="AZ703" t="str">
        <f t="shared" si="264"/>
        <v/>
      </c>
      <c r="BA703" t="str">
        <f t="shared" si="265"/>
        <v/>
      </c>
      <c r="BB703" t="str">
        <f t="shared" si="266"/>
        <v/>
      </c>
      <c r="BC703" t="str">
        <f t="shared" si="267"/>
        <v/>
      </c>
      <c r="BD703" t="str">
        <f t="shared" si="268"/>
        <v/>
      </c>
      <c r="BE703" t="str">
        <f t="shared" si="269"/>
        <v/>
      </c>
      <c r="BF703" t="str">
        <f t="shared" si="270"/>
        <v/>
      </c>
      <c r="BG703" t="str">
        <f t="shared" si="271"/>
        <v/>
      </c>
      <c r="BH703" t="str">
        <f t="shared" si="272"/>
        <v/>
      </c>
      <c r="BI703" t="str">
        <f t="shared" si="273"/>
        <v/>
      </c>
      <c r="BJ703" t="str">
        <f t="shared" si="274"/>
        <v/>
      </c>
      <c r="BK703" t="str">
        <f t="shared" si="275"/>
        <v/>
      </c>
      <c r="BL703" t="str">
        <f t="shared" si="276"/>
        <v/>
      </c>
      <c r="BM703" t="str">
        <f t="shared" si="277"/>
        <v/>
      </c>
      <c r="BN703" t="str">
        <f t="shared" si="278"/>
        <v/>
      </c>
      <c r="BO703" t="str">
        <f t="shared" si="279"/>
        <v/>
      </c>
      <c r="BP703" t="str">
        <f t="shared" si="280"/>
        <v/>
      </c>
      <c r="BQ703" t="str">
        <f t="shared" si="281"/>
        <v/>
      </c>
      <c r="BR703" t="str">
        <f t="shared" si="282"/>
        <v/>
      </c>
      <c r="BS703" t="str">
        <f t="shared" si="283"/>
        <v/>
      </c>
      <c r="BT703" t="str">
        <f t="shared" si="284"/>
        <v/>
      </c>
      <c r="BU703" t="str">
        <f t="shared" si="285"/>
        <v/>
      </c>
    </row>
    <row r="704" spans="1:73">
      <c r="A704" s="1">
        <v>93971</v>
      </c>
      <c r="B704" t="str">
        <f>VLOOKUP($A704,[1]Table!$A$2:$N873,B$1,FALSE)</f>
        <v>J07BC02</v>
      </c>
      <c r="C704" t="str">
        <f>VLOOKUP($A704,[1]Table!$A$2:$N873,C$1,FALSE)</f>
        <v>VACCINS</v>
      </c>
      <c r="D704" t="str">
        <f>VLOOKUP($A704,[1]Table!$A$2:$N873,D$1,FALSE)</f>
        <v>VIRALE VACCINS</v>
      </c>
      <c r="E704" t="str">
        <f>VLOOKUP($A704,[1]Table!$A$2:$N873,E$1,FALSE)</f>
        <v>HEPATITIS-A-VACCIN</v>
      </c>
      <c r="F704" t="str">
        <f>VLOOKUP($A704,[1]Table!$A$2:$N873,F$1,FALSE)</f>
        <v>HAVRIX  1440SKB-E/ML 1ML WEGWERPSPUIT</v>
      </c>
      <c r="G704" t="str">
        <f>VLOOKUP($A704,[1]Table!$A$2:$N873,G$1,FALSE)</f>
        <v>HEPATITIS-A-VACCIN 1440E/ML</v>
      </c>
      <c r="H704" t="str">
        <f>VLOOKUP($A704,[1]Table!$A$2:$N873,H$1,FALSE)</f>
        <v>suspensie voor injectie</v>
      </c>
      <c r="I704" t="str">
        <f>VLOOKUP($A704,[1]Table!$A$2:$N873,I$1,FALSE)</f>
        <v>im</v>
      </c>
      <c r="J704">
        <f>VLOOKUP($A704,[1]Table!$A$2:$N873,J$1,FALSE)</f>
        <v>1440</v>
      </c>
      <c r="K704" t="str">
        <f>VLOOKUP($A704,[1]Table!$A$2:$N873,K$1,FALSE)</f>
        <v>E/ml</v>
      </c>
      <c r="L704">
        <f>VLOOKUP($A704,[1]Table!$A$2:$N873,L$1,FALSE)</f>
        <v>1440</v>
      </c>
      <c r="M704" t="str">
        <f>VLOOKUP($A704,[1]Table!$A$2:$N873,M$1,FALSE)</f>
        <v>E</v>
      </c>
      <c r="N704" t="str">
        <f>VLOOKUP($A704,[1]Table!$A$2:$N873,N$1,FALSE)</f>
        <v>Vaccinatie Hepatitis A (HepA)</v>
      </c>
      <c r="O704" t="str">
        <f>ConcatenateRange(AZ704:BU704,"||")</f>
        <v/>
      </c>
      <c r="AZ704" t="str">
        <f t="shared" si="264"/>
        <v/>
      </c>
      <c r="BA704" t="str">
        <f t="shared" si="265"/>
        <v/>
      </c>
      <c r="BB704" t="str">
        <f t="shared" si="266"/>
        <v/>
      </c>
      <c r="BC704" t="str">
        <f t="shared" si="267"/>
        <v/>
      </c>
      <c r="BD704" t="str">
        <f t="shared" si="268"/>
        <v/>
      </c>
      <c r="BE704" t="str">
        <f t="shared" si="269"/>
        <v/>
      </c>
      <c r="BF704" t="str">
        <f t="shared" si="270"/>
        <v/>
      </c>
      <c r="BG704" t="str">
        <f t="shared" si="271"/>
        <v/>
      </c>
      <c r="BH704" t="str">
        <f t="shared" si="272"/>
        <v/>
      </c>
      <c r="BI704" t="str">
        <f t="shared" si="273"/>
        <v/>
      </c>
      <c r="BJ704" t="str">
        <f t="shared" si="274"/>
        <v/>
      </c>
      <c r="BK704" t="str">
        <f t="shared" si="275"/>
        <v/>
      </c>
      <c r="BL704" t="str">
        <f t="shared" si="276"/>
        <v/>
      </c>
      <c r="BM704" t="str">
        <f t="shared" si="277"/>
        <v/>
      </c>
      <c r="BN704" t="str">
        <f t="shared" si="278"/>
        <v/>
      </c>
      <c r="BO704" t="str">
        <f t="shared" si="279"/>
        <v/>
      </c>
      <c r="BP704" t="str">
        <f t="shared" si="280"/>
        <v/>
      </c>
      <c r="BQ704" t="str">
        <f t="shared" si="281"/>
        <v/>
      </c>
      <c r="BR704" t="str">
        <f t="shared" si="282"/>
        <v/>
      </c>
      <c r="BS704" t="str">
        <f t="shared" si="283"/>
        <v/>
      </c>
      <c r="BT704" t="str">
        <f t="shared" si="284"/>
        <v/>
      </c>
      <c r="BU704" t="str">
        <f t="shared" si="285"/>
        <v/>
      </c>
    </row>
    <row r="705" spans="1:73">
      <c r="A705" s="1">
        <v>53627</v>
      </c>
      <c r="B705" t="str">
        <f>VLOOKUP($A705,[1]Table!$A$2:$N875,B$1,FALSE)</f>
        <v>J06BB04</v>
      </c>
      <c r="C705" t="str">
        <f>VLOOKUP($A705,[1]Table!$A$2:$N875,C$1,FALSE)</f>
        <v>SERA EN IMMUNOGLOBULINEN</v>
      </c>
      <c r="D705" t="str">
        <f>VLOOKUP($A705,[1]Table!$A$2:$N875,D$1,FALSE)</f>
        <v>IMMUNOGLOBULINEN</v>
      </c>
      <c r="E705" t="str">
        <f>VLOOKUP($A705,[1]Table!$A$2:$N875,E$1,FALSE)</f>
        <v>HEPATITIS-B-IMMUNOGLOBULINE</v>
      </c>
      <c r="F705" t="str">
        <f>VLOOKUP($A705,[1]Table!$A$2:$N875,F$1,FALSE)</f>
        <v>HEPBQUIN (HEPATITIS B IMMUNOGLOB) 150IE</v>
      </c>
      <c r="G705" t="str">
        <f>VLOOKUP($A705,[1]Table!$A$2:$N875,G$1,FALSE)</f>
        <v>HEPATITIS-B-IMMUNG 100IE/ML</v>
      </c>
      <c r="H705" t="str">
        <f>VLOOKUP($A705,[1]Table!$A$2:$N875,H$1,FALSE)</f>
        <v>injectievloeistof</v>
      </c>
      <c r="I705" t="str">
        <f>VLOOKUP($A705,[1]Table!$A$2:$N875,I$1,FALSE)</f>
        <v>im</v>
      </c>
      <c r="J705">
        <f>VLOOKUP($A705,[1]Table!$A$2:$N875,J$1,FALSE)</f>
        <v>100</v>
      </c>
      <c r="K705" t="str">
        <f>VLOOKUP($A705,[1]Table!$A$2:$N875,K$1,FALSE)</f>
        <v>IE/ml</v>
      </c>
      <c r="L705">
        <f>VLOOKUP($A705,[1]Table!$A$2:$N875,L$1,FALSE)</f>
        <v>100</v>
      </c>
      <c r="M705" t="str">
        <f>VLOOKUP($A705,[1]Table!$A$2:$N875,M$1,FALSE)</f>
        <v>IE</v>
      </c>
      <c r="N705" t="str">
        <f>VLOOKUP($A705,[1]Table!$A$2:$N875,N$1,FALSE)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5" t="str">
        <f>ConcatenateRange(AZ705:BU705,"||")</f>
        <v/>
      </c>
      <c r="AZ705" t="str">
        <f t="shared" si="264"/>
        <v/>
      </c>
      <c r="BA705" t="str">
        <f t="shared" si="265"/>
        <v/>
      </c>
      <c r="BB705" t="str">
        <f t="shared" si="266"/>
        <v/>
      </c>
      <c r="BC705" t="str">
        <f t="shared" si="267"/>
        <v/>
      </c>
      <c r="BD705" t="str">
        <f t="shared" si="268"/>
        <v/>
      </c>
      <c r="BE705" t="str">
        <f t="shared" si="269"/>
        <v/>
      </c>
      <c r="BF705" t="str">
        <f t="shared" si="270"/>
        <v/>
      </c>
      <c r="BG705" t="str">
        <f t="shared" si="271"/>
        <v/>
      </c>
      <c r="BH705" t="str">
        <f t="shared" si="272"/>
        <v/>
      </c>
      <c r="BI705" t="str">
        <f t="shared" si="273"/>
        <v/>
      </c>
      <c r="BJ705" t="str">
        <f t="shared" si="274"/>
        <v/>
      </c>
      <c r="BK705" t="str">
        <f t="shared" si="275"/>
        <v/>
      </c>
      <c r="BL705" t="str">
        <f t="shared" si="276"/>
        <v/>
      </c>
      <c r="BM705" t="str">
        <f t="shared" si="277"/>
        <v/>
      </c>
      <c r="BN705" t="str">
        <f t="shared" si="278"/>
        <v/>
      </c>
      <c r="BO705" t="str">
        <f t="shared" si="279"/>
        <v/>
      </c>
      <c r="BP705" t="str">
        <f t="shared" si="280"/>
        <v/>
      </c>
      <c r="BQ705" t="str">
        <f t="shared" si="281"/>
        <v/>
      </c>
      <c r="BR705" t="str">
        <f t="shared" si="282"/>
        <v/>
      </c>
      <c r="BS705" t="str">
        <f t="shared" si="283"/>
        <v/>
      </c>
      <c r="BT705" t="str">
        <f t="shared" si="284"/>
        <v/>
      </c>
      <c r="BU705" t="str">
        <f t="shared" si="285"/>
        <v/>
      </c>
    </row>
    <row r="706" spans="1:73">
      <c r="A706" s="1">
        <v>127574</v>
      </c>
      <c r="B706" t="str">
        <f>VLOOKUP($A706,[1]Table!$A$2:$N878,B$1,FALSE)</f>
        <v>J07BC01</v>
      </c>
      <c r="C706" t="str">
        <f>VLOOKUP($A706,[1]Table!$A$2:$N878,C$1,FALSE)</f>
        <v>VACCINS</v>
      </c>
      <c r="D706" t="str">
        <f>VLOOKUP($A706,[1]Table!$A$2:$N878,D$1,FALSE)</f>
        <v>VIRALE VACCINS</v>
      </c>
      <c r="E706" t="str">
        <f>VLOOKUP($A706,[1]Table!$A$2:$N878,E$1,FALSE)</f>
        <v>HEPATITIS-B-VACCIN</v>
      </c>
      <c r="F706" t="str">
        <f>VLOOKUP($A706,[1]Table!$A$2:$N878,F$1,FALSE)</f>
        <v>HBVAXPRO 5 MICROG/0,5ML  (JUNIOR)</v>
      </c>
      <c r="G706" t="str">
        <f>VLOOKUP($A706,[1]Table!$A$2:$N878,G$1,FALSE)</f>
        <v>HEPATITIS-B-VACCIN 10UG/ML</v>
      </c>
      <c r="H706" t="str">
        <f>VLOOKUP($A706,[1]Table!$A$2:$N878,H$1,FALSE)</f>
        <v>suspensie voor injectie</v>
      </c>
      <c r="I706" t="str">
        <f>VLOOKUP($A706,[1]Table!$A$2:$N878,I$1,FALSE)</f>
        <v>im||sc</v>
      </c>
      <c r="J706">
        <f>VLOOKUP($A706,[1]Table!$A$2:$N878,J$1,FALSE)</f>
        <v>10</v>
      </c>
      <c r="K706" t="str">
        <f>VLOOKUP($A706,[1]Table!$A$2:$N878,K$1,FALSE)</f>
        <v>mcg/ml</v>
      </c>
      <c r="L706">
        <f>VLOOKUP($A706,[1]Table!$A$2:$N878,L$1,FALSE)</f>
        <v>10</v>
      </c>
      <c r="M706" t="str">
        <f>VLOOKUP($A706,[1]Table!$A$2:$N878,M$1,FALSE)</f>
        <v>mcg</v>
      </c>
      <c r="N706" t="str">
        <f>VLOOKUP($A706,[1]Table!$A$2:$N878,N$1,FALSE)</f>
        <v>RIJKSVACCINATIEPROGRAMMA Hep B: uitsluitend voor kinderen van HbsAg-positieve moeders||Vaccinatie Hepatitis B</v>
      </c>
      <c r="O706" t="str">
        <f>ConcatenateRange(AZ706:BU706,"||")</f>
        <v/>
      </c>
      <c r="AZ706" t="str">
        <f t="shared" si="264"/>
        <v/>
      </c>
      <c r="BA706" t="str">
        <f t="shared" si="265"/>
        <v/>
      </c>
      <c r="BB706" t="str">
        <f t="shared" si="266"/>
        <v/>
      </c>
      <c r="BC706" t="str">
        <f t="shared" si="267"/>
        <v/>
      </c>
      <c r="BD706" t="str">
        <f t="shared" si="268"/>
        <v/>
      </c>
      <c r="BE706" t="str">
        <f t="shared" si="269"/>
        <v/>
      </c>
      <c r="BF706" t="str">
        <f t="shared" si="270"/>
        <v/>
      </c>
      <c r="BG706" t="str">
        <f t="shared" si="271"/>
        <v/>
      </c>
      <c r="BH706" t="str">
        <f t="shared" si="272"/>
        <v/>
      </c>
      <c r="BI706" t="str">
        <f t="shared" si="273"/>
        <v/>
      </c>
      <c r="BJ706" t="str">
        <f t="shared" si="274"/>
        <v/>
      </c>
      <c r="BK706" t="str">
        <f t="shared" si="275"/>
        <v/>
      </c>
      <c r="BL706" t="str">
        <f t="shared" si="276"/>
        <v/>
      </c>
      <c r="BM706" t="str">
        <f t="shared" si="277"/>
        <v/>
      </c>
      <c r="BN706" t="str">
        <f t="shared" si="278"/>
        <v/>
      </c>
      <c r="BO706" t="str">
        <f t="shared" si="279"/>
        <v/>
      </c>
      <c r="BP706" t="str">
        <f t="shared" si="280"/>
        <v/>
      </c>
      <c r="BQ706" t="str">
        <f t="shared" si="281"/>
        <v/>
      </c>
      <c r="BR706" t="str">
        <f t="shared" si="282"/>
        <v/>
      </c>
      <c r="BS706" t="str">
        <f t="shared" si="283"/>
        <v/>
      </c>
      <c r="BT706" t="str">
        <f t="shared" si="284"/>
        <v/>
      </c>
      <c r="BU706" t="str">
        <f t="shared" si="285"/>
        <v/>
      </c>
    </row>
    <row r="707" spans="1:73">
      <c r="A707" s="1">
        <v>112690</v>
      </c>
      <c r="B707" t="str">
        <f>VLOOKUP($A707,[1]Table!$A$2:$N876,B$1,FALSE)</f>
        <v>J07BC01</v>
      </c>
      <c r="C707" t="str">
        <f>VLOOKUP($A707,[1]Table!$A$2:$N876,C$1,FALSE)</f>
        <v>VACCINS</v>
      </c>
      <c r="D707" t="str">
        <f>VLOOKUP($A707,[1]Table!$A$2:$N876,D$1,FALSE)</f>
        <v>VIRALE VACCINS</v>
      </c>
      <c r="E707" t="str">
        <f>VLOOKUP($A707,[1]Table!$A$2:$N876,E$1,FALSE)</f>
        <v>HEPATITIS-B-VACCIN</v>
      </c>
      <c r="F707" t="str">
        <f>VLOOKUP($A707,[1]Table!$A$2:$N876,F$1,FALSE)</f>
        <v>ENGERIX-B 20 MICROG/ML VACCIN WWSP</v>
      </c>
      <c r="G707" t="str">
        <f>VLOOKUP($A707,[1]Table!$A$2:$N876,G$1,FALSE)</f>
        <v>HEPATITIS-B-VACCIN 20UG/ML</v>
      </c>
      <c r="H707" t="str">
        <f>VLOOKUP($A707,[1]Table!$A$2:$N876,H$1,FALSE)</f>
        <v>suspensie voor injectie</v>
      </c>
      <c r="I707" t="str">
        <f>VLOOKUP($A707,[1]Table!$A$2:$N876,I$1,FALSE)</f>
        <v>im||sc</v>
      </c>
      <c r="J707">
        <f>VLOOKUP($A707,[1]Table!$A$2:$N876,J$1,FALSE)</f>
        <v>20</v>
      </c>
      <c r="K707" t="str">
        <f>VLOOKUP($A707,[1]Table!$A$2:$N876,K$1,FALSE)</f>
        <v>mcg/ml</v>
      </c>
      <c r="L707">
        <f>VLOOKUP($A707,[1]Table!$A$2:$N876,L$1,FALSE)</f>
        <v>20</v>
      </c>
      <c r="M707" t="str">
        <f>VLOOKUP($A707,[1]Table!$A$2:$N876,M$1,FALSE)</f>
        <v>mcg</v>
      </c>
      <c r="N707" t="str">
        <f>VLOOKUP($A707,[1]Table!$A$2:$N876,N$1,FALSE)</f>
        <v>RIJKSVACCINATIEPROGRAMMA Hep B: uitsluitend voor kinderen van HbsAg-positieve moeders||Vaccinatie Hepatitis B</v>
      </c>
      <c r="O707" t="str">
        <f>ConcatenateRange(AZ707:BU707,"||")</f>
        <v/>
      </c>
      <c r="AZ707" t="str">
        <f t="shared" si="264"/>
        <v/>
      </c>
      <c r="BA707" t="str">
        <f t="shared" si="265"/>
        <v/>
      </c>
      <c r="BB707" t="str">
        <f t="shared" si="266"/>
        <v/>
      </c>
      <c r="BC707" t="str">
        <f t="shared" si="267"/>
        <v/>
      </c>
      <c r="BD707" t="str">
        <f t="shared" si="268"/>
        <v/>
      </c>
      <c r="BE707" t="str">
        <f t="shared" si="269"/>
        <v/>
      </c>
      <c r="BF707" t="str">
        <f t="shared" si="270"/>
        <v/>
      </c>
      <c r="BG707" t="str">
        <f t="shared" si="271"/>
        <v/>
      </c>
      <c r="BH707" t="str">
        <f t="shared" si="272"/>
        <v/>
      </c>
      <c r="BI707" t="str">
        <f t="shared" si="273"/>
        <v/>
      </c>
      <c r="BJ707" t="str">
        <f t="shared" si="274"/>
        <v/>
      </c>
      <c r="BK707" t="str">
        <f t="shared" si="275"/>
        <v/>
      </c>
      <c r="BL707" t="str">
        <f t="shared" si="276"/>
        <v/>
      </c>
      <c r="BM707" t="str">
        <f t="shared" si="277"/>
        <v/>
      </c>
      <c r="BN707" t="str">
        <f t="shared" si="278"/>
        <v/>
      </c>
      <c r="BO707" t="str">
        <f t="shared" si="279"/>
        <v/>
      </c>
      <c r="BP707" t="str">
        <f t="shared" si="280"/>
        <v/>
      </c>
      <c r="BQ707" t="str">
        <f t="shared" si="281"/>
        <v/>
      </c>
      <c r="BR707" t="str">
        <f t="shared" si="282"/>
        <v/>
      </c>
      <c r="BS707" t="str">
        <f t="shared" si="283"/>
        <v/>
      </c>
      <c r="BT707" t="str">
        <f t="shared" si="284"/>
        <v/>
      </c>
      <c r="BU707" t="str">
        <f t="shared" si="285"/>
        <v/>
      </c>
    </row>
    <row r="708" spans="1:73">
      <c r="A708" s="1">
        <v>127590</v>
      </c>
      <c r="B708" t="str">
        <f>VLOOKUP($A708,[1]Table!$A$2:$N877,B$1,FALSE)</f>
        <v>J07BC01</v>
      </c>
      <c r="C708" t="str">
        <f>VLOOKUP($A708,[1]Table!$A$2:$N877,C$1,FALSE)</f>
        <v>VACCINS</v>
      </c>
      <c r="D708" t="str">
        <f>VLOOKUP($A708,[1]Table!$A$2:$N877,D$1,FALSE)</f>
        <v>VIRALE VACCINS</v>
      </c>
      <c r="E708" t="str">
        <f>VLOOKUP($A708,[1]Table!$A$2:$N877,E$1,FALSE)</f>
        <v>HEPATITIS-B-VACCIN</v>
      </c>
      <c r="F708" t="str">
        <f>VLOOKUP($A708,[1]Table!$A$2:$N877,F$1,FALSE)</f>
        <v>FENDRIX 20 MCG/0.5ML WWSP</v>
      </c>
      <c r="G708" t="str">
        <f>VLOOKUP($A708,[1]Table!$A$2:$N877,G$1,FALSE)</f>
        <v>HEPATITIS-B-VACCIN 40UG/ML</v>
      </c>
      <c r="H708" t="str">
        <f>VLOOKUP($A708,[1]Table!$A$2:$N877,H$1,FALSE)</f>
        <v>suspensie voor injectie</v>
      </c>
      <c r="I708" t="str">
        <f>VLOOKUP($A708,[1]Table!$A$2:$N877,I$1,FALSE)</f>
        <v>im</v>
      </c>
      <c r="J708">
        <f>VLOOKUP($A708,[1]Table!$A$2:$N877,J$1,FALSE)</f>
        <v>40</v>
      </c>
      <c r="K708" t="str">
        <f>VLOOKUP($A708,[1]Table!$A$2:$N877,K$1,FALSE)</f>
        <v>mcg/ml</v>
      </c>
      <c r="L708">
        <f>VLOOKUP($A708,[1]Table!$A$2:$N877,L$1,FALSE)</f>
        <v>40</v>
      </c>
      <c r="M708" t="str">
        <f>VLOOKUP($A708,[1]Table!$A$2:$N877,M$1,FALSE)</f>
        <v>mcg</v>
      </c>
      <c r="N708" t="str">
        <f>VLOOKUP($A708,[1]Table!$A$2:$N877,N$1,FALSE)</f>
        <v>RIJKSVACCINATIEPROGRAMMA Hep B: uitsluitend voor kinderen van HbsAg-positieve moeders||Vaccinatie Hepatitis B</v>
      </c>
      <c r="O708" t="str">
        <f>ConcatenateRange(AZ708:BU708,"||")</f>
        <v/>
      </c>
      <c r="AZ708" t="str">
        <f t="shared" si="264"/>
        <v/>
      </c>
      <c r="BA708" t="str">
        <f t="shared" si="265"/>
        <v/>
      </c>
      <c r="BB708" t="str">
        <f t="shared" si="266"/>
        <v/>
      </c>
      <c r="BC708" t="str">
        <f t="shared" si="267"/>
        <v/>
      </c>
      <c r="BD708" t="str">
        <f t="shared" si="268"/>
        <v/>
      </c>
      <c r="BE708" t="str">
        <f t="shared" si="269"/>
        <v/>
      </c>
      <c r="BF708" t="str">
        <f t="shared" si="270"/>
        <v/>
      </c>
      <c r="BG708" t="str">
        <f t="shared" si="271"/>
        <v/>
      </c>
      <c r="BH708" t="str">
        <f t="shared" si="272"/>
        <v/>
      </c>
      <c r="BI708" t="str">
        <f t="shared" si="273"/>
        <v/>
      </c>
      <c r="BJ708" t="str">
        <f t="shared" si="274"/>
        <v/>
      </c>
      <c r="BK708" t="str">
        <f t="shared" si="275"/>
        <v/>
      </c>
      <c r="BL708" t="str">
        <f t="shared" si="276"/>
        <v/>
      </c>
      <c r="BM708" t="str">
        <f t="shared" si="277"/>
        <v/>
      </c>
      <c r="BN708" t="str">
        <f t="shared" si="278"/>
        <v/>
      </c>
      <c r="BO708" t="str">
        <f t="shared" si="279"/>
        <v/>
      </c>
      <c r="BP708" t="str">
        <f t="shared" si="280"/>
        <v/>
      </c>
      <c r="BQ708" t="str">
        <f t="shared" si="281"/>
        <v/>
      </c>
      <c r="BR708" t="str">
        <f t="shared" si="282"/>
        <v/>
      </c>
      <c r="BS708" t="str">
        <f t="shared" si="283"/>
        <v/>
      </c>
      <c r="BT708" t="str">
        <f t="shared" si="284"/>
        <v/>
      </c>
      <c r="BU708" t="str">
        <f t="shared" si="285"/>
        <v/>
      </c>
    </row>
    <row r="709" spans="1:73">
      <c r="A709" s="1">
        <v>89605</v>
      </c>
      <c r="B709" t="str">
        <f>VLOOKUP($A709,[1]Table!$A$2:$N880,B$1,FALSE)</f>
        <v>B06AA03</v>
      </c>
      <c r="C709" t="str">
        <f>VLOOKUP($A709,[1]Table!$A$2:$N880,C$1,FALSE)</f>
        <v>OVERIGE HEMATOLOGISCHE MIDDELEN</v>
      </c>
      <c r="D709" t="str">
        <f>VLOOKUP($A709,[1]Table!$A$2:$N880,D$1,FALSE)</f>
        <v>OVERIGE HEMATOLOGISCHE MIDDELEN</v>
      </c>
      <c r="E709" t="str">
        <f>VLOOKUP($A709,[1]Table!$A$2:$N880,E$1,FALSE)</f>
        <v>HYALURONIDASE</v>
      </c>
      <c r="F709" t="str">
        <f>VLOOKUP($A709,[1]Table!$A$2:$N880,F$1,FALSE)</f>
        <v>HYASON 150 IE POEDER VOOR INJECTIE</v>
      </c>
      <c r="G709" t="str">
        <f>VLOOKUP($A709,[1]Table!$A$2:$N880,G$1,FALSE)</f>
        <v>HYALURONIDASE 150IE INJPDR</v>
      </c>
      <c r="H709" t="str">
        <f>VLOOKUP($A709,[1]Table!$A$2:$N880,H$1,FALSE)</f>
        <v>poeder voor injectievloeistof</v>
      </c>
      <c r="I709" t="str">
        <f>VLOOKUP($A709,[1]Table!$A$2:$N880,I$1,FALSE)</f>
        <v>peribulb||retrobulb||parabulb</v>
      </c>
      <c r="J709">
        <f>VLOOKUP($A709,[1]Table!$A$2:$N880,J$1,FALSE)</f>
        <v>150</v>
      </c>
      <c r="K709" t="str">
        <f>VLOOKUP($A709,[1]Table!$A$2:$N880,K$1,FALSE)</f>
        <v>IE/stuk</v>
      </c>
      <c r="L709">
        <f>VLOOKUP($A709,[1]Table!$A$2:$N880,L$1,FALSE)</f>
        <v>150</v>
      </c>
      <c r="M709" t="str">
        <f>VLOOKUP($A709,[1]Table!$A$2:$N880,M$1,FALSE)</f>
        <v>IE</v>
      </c>
      <c r="N709" t="str">
        <f>VLOOKUP($A709,[1]Table!$A$2:$N880,N$1,FALSE)</f>
        <v>Extravasatie cytostatica</v>
      </c>
      <c r="O709" t="str">
        <f>ConcatenateRange(AZ709:BU709,"||")</f>
        <v/>
      </c>
      <c r="AZ709" t="str">
        <f t="shared" si="264"/>
        <v/>
      </c>
      <c r="BA709" t="str">
        <f t="shared" si="265"/>
        <v/>
      </c>
      <c r="BB709" t="str">
        <f t="shared" si="266"/>
        <v/>
      </c>
      <c r="BC709" t="str">
        <f t="shared" si="267"/>
        <v/>
      </c>
      <c r="BD709" t="str">
        <f t="shared" si="268"/>
        <v/>
      </c>
      <c r="BE709" t="str">
        <f t="shared" si="269"/>
        <v/>
      </c>
      <c r="BF709" t="str">
        <f t="shared" si="270"/>
        <v/>
      </c>
      <c r="BG709" t="str">
        <f t="shared" si="271"/>
        <v/>
      </c>
      <c r="BH709" t="str">
        <f t="shared" si="272"/>
        <v/>
      </c>
      <c r="BI709" t="str">
        <f t="shared" si="273"/>
        <v/>
      </c>
      <c r="BJ709" t="str">
        <f t="shared" si="274"/>
        <v/>
      </c>
      <c r="BK709" t="str">
        <f t="shared" si="275"/>
        <v/>
      </c>
      <c r="BL709" t="str">
        <f t="shared" si="276"/>
        <v/>
      </c>
      <c r="BM709" t="str">
        <f t="shared" si="277"/>
        <v/>
      </c>
      <c r="BN709" t="str">
        <f t="shared" si="278"/>
        <v/>
      </c>
      <c r="BO709" t="str">
        <f t="shared" si="279"/>
        <v/>
      </c>
      <c r="BP709" t="str">
        <f t="shared" si="280"/>
        <v/>
      </c>
      <c r="BQ709" t="str">
        <f t="shared" si="281"/>
        <v/>
      </c>
      <c r="BR709" t="str">
        <f t="shared" si="282"/>
        <v/>
      </c>
      <c r="BS709" t="str">
        <f t="shared" si="283"/>
        <v/>
      </c>
      <c r="BT709" t="str">
        <f t="shared" si="284"/>
        <v/>
      </c>
      <c r="BU709" t="str">
        <f t="shared" si="285"/>
        <v/>
      </c>
    </row>
    <row r="710" spans="1:73">
      <c r="A710" s="1">
        <v>157902</v>
      </c>
      <c r="B710" t="str">
        <f>VLOOKUP($A710,[1]Table!$A$2:$N879,B$1,FALSE)</f>
        <v>S01XA20</v>
      </c>
      <c r="C710" t="str">
        <f>VLOOKUP($A710,[1]Table!$A$2:$N879,C$1,FALSE)</f>
        <v>MIDDELEN VOOR OOGHEELKUNDIG GEBRUIK</v>
      </c>
      <c r="D710" t="str">
        <f>VLOOKUP($A710,[1]Table!$A$2:$N879,D$1,FALSE)</f>
        <v>OVERIGE MIDDELEN VOOR OOGHEELKUNDIG GEBRUIK</v>
      </c>
      <c r="E710" t="str">
        <f>VLOOKUP($A710,[1]Table!$A$2:$N879,E$1,FALSE)</f>
        <v>HYALURONZUUR/CARBOMEER</v>
      </c>
      <c r="F710" t="str">
        <f>VLOOKUP($A710,[1]Table!$A$2:$N879,F$1,FALSE)</f>
        <v>HYLAN 0,15 / 0,15 MG/ML OOGDRUPPELS MINIMS</v>
      </c>
      <c r="G710" t="str">
        <f>VLOOKUP($A710,[1]Table!$A$2:$N879,G$1,FALSE)</f>
        <v>HYALU/CARBOM 0,15/0,15MG/ML</v>
      </c>
      <c r="H710" t="str">
        <f>VLOOKUP($A710,[1]Table!$A$2:$N879,H$1,FALSE)</f>
        <v>oogdruppels</v>
      </c>
      <c r="I710" t="str">
        <f>VLOOKUP($A710,[1]Table!$A$2:$N879,I$1,FALSE)</f>
        <v>oog</v>
      </c>
      <c r="J710">
        <f>VLOOKUP($A710,[1]Table!$A$2:$N879,J$1,FALSE)</f>
        <v>0.15</v>
      </c>
      <c r="K710" t="str">
        <f>VLOOKUP($A710,[1]Table!$A$2:$N879,K$1,FALSE)</f>
        <v>mg/ml</v>
      </c>
      <c r="L710">
        <f>VLOOKUP($A710,[1]Table!$A$2:$N879,L$1,FALSE)</f>
        <v>0.15</v>
      </c>
      <c r="M710" t="str">
        <f>VLOOKUP($A710,[1]Table!$A$2:$N879,M$1,FALSE)</f>
        <v>mg</v>
      </c>
      <c r="N710" t="str">
        <f>VLOOKUP($A710,[1]Table!$A$2:$N879,N$1,FALSE)</f>
        <v>Verminderde traansecretie/uitdroging</v>
      </c>
      <c r="O710" t="str">
        <f>ConcatenateRange(AZ710:BU710,"||")</f>
        <v/>
      </c>
      <c r="AZ710" t="str">
        <f t="shared" si="264"/>
        <v/>
      </c>
      <c r="BA710" t="str">
        <f t="shared" si="265"/>
        <v/>
      </c>
      <c r="BB710" t="str">
        <f t="shared" si="266"/>
        <v/>
      </c>
      <c r="BC710" t="str">
        <f t="shared" si="267"/>
        <v/>
      </c>
      <c r="BD710" t="str">
        <f t="shared" si="268"/>
        <v/>
      </c>
      <c r="BE710" t="str">
        <f t="shared" si="269"/>
        <v/>
      </c>
      <c r="BF710" t="str">
        <f t="shared" si="270"/>
        <v/>
      </c>
      <c r="BG710" t="str">
        <f t="shared" si="271"/>
        <v/>
      </c>
      <c r="BH710" t="str">
        <f t="shared" si="272"/>
        <v/>
      </c>
      <c r="BI710" t="str">
        <f t="shared" si="273"/>
        <v/>
      </c>
      <c r="BJ710" t="str">
        <f t="shared" si="274"/>
        <v/>
      </c>
      <c r="BK710" t="str">
        <f t="shared" si="275"/>
        <v/>
      </c>
      <c r="BL710" t="str">
        <f t="shared" si="276"/>
        <v/>
      </c>
      <c r="BM710" t="str">
        <f t="shared" si="277"/>
        <v/>
      </c>
      <c r="BN710" t="str">
        <f t="shared" si="278"/>
        <v/>
      </c>
      <c r="BO710" t="str">
        <f t="shared" si="279"/>
        <v/>
      </c>
      <c r="BP710" t="str">
        <f t="shared" si="280"/>
        <v/>
      </c>
      <c r="BQ710" t="str">
        <f t="shared" si="281"/>
        <v/>
      </c>
      <c r="BR710" t="str">
        <f t="shared" si="282"/>
        <v/>
      </c>
      <c r="BS710" t="str">
        <f t="shared" si="283"/>
        <v/>
      </c>
      <c r="BT710" t="str">
        <f t="shared" si="284"/>
        <v/>
      </c>
      <c r="BU710" t="str">
        <f t="shared" si="285"/>
        <v/>
      </c>
    </row>
    <row r="711" spans="1:73">
      <c r="A711" s="1">
        <v>127329</v>
      </c>
      <c r="B711" t="str">
        <f>VLOOKUP($A711,[1]Table!$A$2:$N881,B$1,FALSE)</f>
        <v>C03AA03</v>
      </c>
      <c r="C711" t="str">
        <f>VLOOKUP($A711,[1]Table!$A$2:$N881,C$1,FALSE)</f>
        <v>DIURETICA</v>
      </c>
      <c r="D711" t="str">
        <f>VLOOKUP($A711,[1]Table!$A$2:$N881,D$1,FALSE)</f>
        <v>LOW-CEILING' DIURETICA, THIAZIDEN</v>
      </c>
      <c r="E711" t="str">
        <f>VLOOKUP($A711,[1]Table!$A$2:$N881,E$1,FALSE)</f>
        <v>HYDROCHLOORTHIAZIDE</v>
      </c>
      <c r="F711" t="str">
        <f>VLOOKUP($A711,[1]Table!$A$2:$N881,F$1,FALSE)</f>
        <v>HYDROCHLOORTHIAZIDE 0,5 MG/ML DRANK 100 ML</v>
      </c>
      <c r="G711" t="str">
        <f>VLOOKUP($A711,[1]Table!$A$2:$N881,G$1,FALSE)</f>
        <v>HYDROCHLOORTHIAZI 0,5MG/ML</v>
      </c>
      <c r="H711" t="str">
        <f>VLOOKUP($A711,[1]Table!$A$2:$N881,H$1,FALSE)</f>
        <v>drank</v>
      </c>
      <c r="I711" t="str">
        <f>VLOOKUP($A711,[1]Table!$A$2:$N881,I$1,FALSE)</f>
        <v>or</v>
      </c>
      <c r="J711">
        <f>VLOOKUP($A711,[1]Table!$A$2:$N881,J$1,FALSE)</f>
        <v>0.5</v>
      </c>
      <c r="K711" t="str">
        <f>VLOOKUP($A711,[1]Table!$A$2:$N881,K$1,FALSE)</f>
        <v>mg/ml</v>
      </c>
      <c r="L711">
        <f>VLOOKUP($A711,[1]Table!$A$2:$N881,L$1,FALSE)</f>
        <v>0.5</v>
      </c>
      <c r="M711" t="str">
        <f>VLOOKUP($A711,[1]Table!$A$2:$N881,M$1,FALSE)</f>
        <v>mg</v>
      </c>
      <c r="N711" t="str">
        <f>VLOOKUP($A711,[1]Table!$A$2:$N881,N$1,FALSE)</f>
        <v>Diurese</v>
      </c>
      <c r="O711" t="str">
        <f>ConcatenateRange(AZ711:BU711,"||")</f>
        <v/>
      </c>
      <c r="AZ711" t="str">
        <f t="shared" si="264"/>
        <v/>
      </c>
      <c r="BA711" t="str">
        <f t="shared" si="265"/>
        <v/>
      </c>
      <c r="BB711" t="str">
        <f t="shared" si="266"/>
        <v/>
      </c>
      <c r="BC711" t="str">
        <f t="shared" si="267"/>
        <v/>
      </c>
      <c r="BD711" t="str">
        <f t="shared" si="268"/>
        <v/>
      </c>
      <c r="BE711" t="str">
        <f t="shared" si="269"/>
        <v/>
      </c>
      <c r="BF711" t="str">
        <f t="shared" si="270"/>
        <v/>
      </c>
      <c r="BG711" t="str">
        <f t="shared" si="271"/>
        <v/>
      </c>
      <c r="BH711" t="str">
        <f t="shared" si="272"/>
        <v/>
      </c>
      <c r="BI711" t="str">
        <f t="shared" si="273"/>
        <v/>
      </c>
      <c r="BJ711" t="str">
        <f t="shared" si="274"/>
        <v/>
      </c>
      <c r="BK711" t="str">
        <f t="shared" si="275"/>
        <v/>
      </c>
      <c r="BL711" t="str">
        <f t="shared" si="276"/>
        <v/>
      </c>
      <c r="BM711" t="str">
        <f t="shared" si="277"/>
        <v/>
      </c>
      <c r="BN711" t="str">
        <f t="shared" si="278"/>
        <v/>
      </c>
      <c r="BO711" t="str">
        <f t="shared" si="279"/>
        <v/>
      </c>
      <c r="BP711" t="str">
        <f t="shared" si="280"/>
        <v/>
      </c>
      <c r="BQ711" t="str">
        <f t="shared" si="281"/>
        <v/>
      </c>
      <c r="BR711" t="str">
        <f t="shared" si="282"/>
        <v/>
      </c>
      <c r="BS711" t="str">
        <f t="shared" si="283"/>
        <v/>
      </c>
      <c r="BT711" t="str">
        <f t="shared" si="284"/>
        <v/>
      </c>
      <c r="BU711" t="str">
        <f t="shared" si="285"/>
        <v/>
      </c>
    </row>
    <row r="712" spans="1:73">
      <c r="A712" s="1">
        <v>122602</v>
      </c>
      <c r="B712" t="str">
        <f>VLOOKUP($A712,[1]Table!$A$2:$N882,B$1,FALSE)</f>
        <v>C03AA03</v>
      </c>
      <c r="C712" t="str">
        <f>VLOOKUP($A712,[1]Table!$A$2:$N882,C$1,FALSE)</f>
        <v>DIURETICA</v>
      </c>
      <c r="D712" t="str">
        <f>VLOOKUP($A712,[1]Table!$A$2:$N882,D$1,FALSE)</f>
        <v>LOW-CEILING' DIURETICA, THIAZIDEN</v>
      </c>
      <c r="E712" t="str">
        <f>VLOOKUP($A712,[1]Table!$A$2:$N882,E$1,FALSE)</f>
        <v>HYDROCHLOORTHIAZIDE</v>
      </c>
      <c r="F712" t="str">
        <f>VLOOKUP($A712,[1]Table!$A$2:$N882,F$1,FALSE)</f>
        <v>HYDROCHLOORTHIAZIDE 12.5 MG TABLET</v>
      </c>
      <c r="G712" t="str">
        <f>VLOOKUP($A712,[1]Table!$A$2:$N882,G$1,FALSE)</f>
        <v>HYDROCHLOORTHIAZIDE 12,5MGT</v>
      </c>
      <c r="H712" t="str">
        <f>VLOOKUP($A712,[1]Table!$A$2:$N882,H$1,FALSE)</f>
        <v>tablet</v>
      </c>
      <c r="I712" t="str">
        <f>VLOOKUP($A712,[1]Table!$A$2:$N882,I$1,FALSE)</f>
        <v>or</v>
      </c>
      <c r="J712">
        <f>VLOOKUP($A712,[1]Table!$A$2:$N882,J$1,FALSE)</f>
        <v>12.5</v>
      </c>
      <c r="K712" t="str">
        <f>VLOOKUP($A712,[1]Table!$A$2:$N882,K$1,FALSE)</f>
        <v>mg/stuk</v>
      </c>
      <c r="L712">
        <f>VLOOKUP($A712,[1]Table!$A$2:$N882,L$1,FALSE)</f>
        <v>12.5</v>
      </c>
      <c r="M712" t="str">
        <f>VLOOKUP($A712,[1]Table!$A$2:$N882,M$1,FALSE)</f>
        <v>mg</v>
      </c>
      <c r="N712" t="str">
        <f>VLOOKUP($A712,[1]Table!$A$2:$N882,N$1,FALSE)</f>
        <v>Diurese</v>
      </c>
      <c r="O712" t="str">
        <f>ConcatenateRange(AZ712:BU712,"||")</f>
        <v/>
      </c>
      <c r="AZ712" t="str">
        <f t="shared" si="264"/>
        <v/>
      </c>
      <c r="BA712" t="str">
        <f t="shared" si="265"/>
        <v/>
      </c>
      <c r="BB712" t="str">
        <f t="shared" si="266"/>
        <v/>
      </c>
      <c r="BC712" t="str">
        <f t="shared" si="267"/>
        <v/>
      </c>
      <c r="BD712" t="str">
        <f t="shared" si="268"/>
        <v/>
      </c>
      <c r="BE712" t="str">
        <f t="shared" si="269"/>
        <v/>
      </c>
      <c r="BF712" t="str">
        <f t="shared" si="270"/>
        <v/>
      </c>
      <c r="BG712" t="str">
        <f t="shared" si="271"/>
        <v/>
      </c>
      <c r="BH712" t="str">
        <f t="shared" si="272"/>
        <v/>
      </c>
      <c r="BI712" t="str">
        <f t="shared" si="273"/>
        <v/>
      </c>
      <c r="BJ712" t="str">
        <f t="shared" si="274"/>
        <v/>
      </c>
      <c r="BK712" t="str">
        <f t="shared" si="275"/>
        <v/>
      </c>
      <c r="BL712" t="str">
        <f t="shared" si="276"/>
        <v/>
      </c>
      <c r="BM712" t="str">
        <f t="shared" si="277"/>
        <v/>
      </c>
      <c r="BN712" t="str">
        <f t="shared" si="278"/>
        <v/>
      </c>
      <c r="BO712" t="str">
        <f t="shared" si="279"/>
        <v/>
      </c>
      <c r="BP712" t="str">
        <f t="shared" si="280"/>
        <v/>
      </c>
      <c r="BQ712" t="str">
        <f t="shared" si="281"/>
        <v/>
      </c>
      <c r="BR712" t="str">
        <f t="shared" si="282"/>
        <v/>
      </c>
      <c r="BS712" t="str">
        <f t="shared" si="283"/>
        <v/>
      </c>
      <c r="BT712" t="str">
        <f t="shared" si="284"/>
        <v/>
      </c>
      <c r="BU712" t="str">
        <f t="shared" si="285"/>
        <v/>
      </c>
    </row>
    <row r="713" spans="1:73">
      <c r="A713" s="1">
        <v>2682</v>
      </c>
      <c r="B713" t="str">
        <f>VLOOKUP($A713,[1]Table!$A$2:$N883,B$1,FALSE)</f>
        <v>C03AA03</v>
      </c>
      <c r="C713" t="str">
        <f>VLOOKUP($A713,[1]Table!$A$2:$N883,C$1,FALSE)</f>
        <v>DIURETICA</v>
      </c>
      <c r="D713" t="str">
        <f>VLOOKUP($A713,[1]Table!$A$2:$N883,D$1,FALSE)</f>
        <v>LOW-CEILING' DIURETICA, THIAZIDEN</v>
      </c>
      <c r="E713" t="str">
        <f>VLOOKUP($A713,[1]Table!$A$2:$N883,E$1,FALSE)</f>
        <v>HYDROCHLOORTHIAZIDE</v>
      </c>
      <c r="F713" t="str">
        <f>VLOOKUP($A713,[1]Table!$A$2:$N883,F$1,FALSE)</f>
        <v>HYDROCHLOORTHIAZIDE 25 MG TABLET</v>
      </c>
      <c r="G713" t="str">
        <f>VLOOKUP($A713,[1]Table!$A$2:$N883,G$1,FALSE)</f>
        <v>HYDROCHLOORTHIAZ. 25MG TABL</v>
      </c>
      <c r="H713" t="str">
        <f>VLOOKUP($A713,[1]Table!$A$2:$N883,H$1,FALSE)</f>
        <v>tablet</v>
      </c>
      <c r="I713" t="str">
        <f>VLOOKUP($A713,[1]Table!$A$2:$N883,I$1,FALSE)</f>
        <v>or</v>
      </c>
      <c r="J713">
        <f>VLOOKUP($A713,[1]Table!$A$2:$N883,J$1,FALSE)</f>
        <v>25</v>
      </c>
      <c r="K713" t="str">
        <f>VLOOKUP($A713,[1]Table!$A$2:$N883,K$1,FALSE)</f>
        <v>mg/stuk</v>
      </c>
      <c r="L713">
        <f>VLOOKUP($A713,[1]Table!$A$2:$N883,L$1,FALSE)</f>
        <v>12.5</v>
      </c>
      <c r="M713" t="str">
        <f>VLOOKUP($A713,[1]Table!$A$2:$N883,M$1,FALSE)</f>
        <v>mg</v>
      </c>
      <c r="N713" t="str">
        <f>VLOOKUP($A713,[1]Table!$A$2:$N883,N$1,FALSE)</f>
        <v>Diurese</v>
      </c>
      <c r="O713" t="str">
        <f>ConcatenateRange(AZ713:BU713,"||")</f>
        <v/>
      </c>
      <c r="AZ713" t="str">
        <f t="shared" si="264"/>
        <v/>
      </c>
      <c r="BA713" t="str">
        <f t="shared" si="265"/>
        <v/>
      </c>
      <c r="BB713" t="str">
        <f t="shared" si="266"/>
        <v/>
      </c>
      <c r="BC713" t="str">
        <f t="shared" si="267"/>
        <v/>
      </c>
      <c r="BD713" t="str">
        <f t="shared" si="268"/>
        <v/>
      </c>
      <c r="BE713" t="str">
        <f t="shared" si="269"/>
        <v/>
      </c>
      <c r="BF713" t="str">
        <f t="shared" si="270"/>
        <v/>
      </c>
      <c r="BG713" t="str">
        <f t="shared" si="271"/>
        <v/>
      </c>
      <c r="BH713" t="str">
        <f t="shared" si="272"/>
        <v/>
      </c>
      <c r="BI713" t="str">
        <f t="shared" si="273"/>
        <v/>
      </c>
      <c r="BJ713" t="str">
        <f t="shared" si="274"/>
        <v/>
      </c>
      <c r="BK713" t="str">
        <f t="shared" si="275"/>
        <v/>
      </c>
      <c r="BL713" t="str">
        <f t="shared" si="276"/>
        <v/>
      </c>
      <c r="BM713" t="str">
        <f t="shared" si="277"/>
        <v/>
      </c>
      <c r="BN713" t="str">
        <f t="shared" si="278"/>
        <v/>
      </c>
      <c r="BO713" t="str">
        <f t="shared" si="279"/>
        <v/>
      </c>
      <c r="BP713" t="str">
        <f t="shared" si="280"/>
        <v/>
      </c>
      <c r="BQ713" t="str">
        <f t="shared" si="281"/>
        <v/>
      </c>
      <c r="BR713" t="str">
        <f t="shared" si="282"/>
        <v/>
      </c>
      <c r="BS713" t="str">
        <f t="shared" si="283"/>
        <v/>
      </c>
      <c r="BT713" t="str">
        <f t="shared" si="284"/>
        <v/>
      </c>
      <c r="BU713" t="str">
        <f t="shared" si="285"/>
        <v/>
      </c>
    </row>
    <row r="714" spans="1:73">
      <c r="A714" s="1">
        <v>6475</v>
      </c>
      <c r="B714" t="str">
        <f>VLOOKUP($A714,[1]Table!$A$2:$N884,B$1,FALSE)</f>
        <v>D07AB02</v>
      </c>
      <c r="C714" t="str">
        <f>VLOOKUP($A714,[1]Table!$A$2:$N884,C$1,FALSE)</f>
        <v>DERMATOLOGISCHE CORTICOSTEROIDEN</v>
      </c>
      <c r="D714" t="str">
        <f>VLOOKUP($A714,[1]Table!$A$2:$N884,D$1,FALSE)</f>
        <v>ENKELVOUDIGE CORTICOSTEROIDEN</v>
      </c>
      <c r="E714" t="str">
        <f>VLOOKUP($A714,[1]Table!$A$2:$N884,E$1,FALSE)</f>
        <v>HYDROCORTISON</v>
      </c>
      <c r="F714" t="str">
        <f>VLOOKUP($A714,[1]Table!$A$2:$N884,F$1,FALSE)</f>
        <v>LOCOID 1 MG/G CREME 30G</v>
      </c>
      <c r="G714" t="str">
        <f>VLOOKUP($A714,[1]Table!$A$2:$N884,G$1,FALSE)</f>
        <v>HYDROCORTBUTYR 1MG/G CREME</v>
      </c>
      <c r="H714" t="str">
        <f>VLOOKUP($A714,[1]Table!$A$2:$N884,H$1,FALSE)</f>
        <v>creme</v>
      </c>
      <c r="I714" t="str">
        <f>VLOOKUP($A714,[1]Table!$A$2:$N884,I$1,FALSE)</f>
        <v>cutaan</v>
      </c>
      <c r="J714">
        <f>VLOOKUP($A714,[1]Table!$A$2:$N884,J$1,FALSE)</f>
        <v>1</v>
      </c>
      <c r="K714" t="str">
        <f>VLOOKUP($A714,[1]Table!$A$2:$N884,K$1,FALSE)</f>
        <v>mg/gr</v>
      </c>
      <c r="L714">
        <f>VLOOKUP($A714,[1]Table!$A$2:$N884,L$1,FALSE)</f>
        <v>1</v>
      </c>
      <c r="M714" t="str">
        <f>VLOOKUP($A714,[1]Table!$A$2:$N884,M$1,FALSE)</f>
        <v>mg</v>
      </c>
      <c r="N714" t="s">
        <v>59</v>
      </c>
      <c r="O714" t="str">
        <f>ConcatenateRange(AZ714:BU714,"||")</f>
        <v/>
      </c>
      <c r="AZ714" t="str">
        <f t="shared" si="264"/>
        <v/>
      </c>
      <c r="BA714" t="str">
        <f t="shared" si="265"/>
        <v/>
      </c>
      <c r="BB714" t="str">
        <f t="shared" si="266"/>
        <v/>
      </c>
      <c r="BC714" t="str">
        <f t="shared" si="267"/>
        <v/>
      </c>
      <c r="BD714" t="str">
        <f t="shared" si="268"/>
        <v/>
      </c>
      <c r="BE714" t="str">
        <f t="shared" si="269"/>
        <v/>
      </c>
      <c r="BF714" t="str">
        <f t="shared" si="270"/>
        <v/>
      </c>
      <c r="BG714" t="str">
        <f t="shared" si="271"/>
        <v/>
      </c>
      <c r="BH714" t="str">
        <f t="shared" si="272"/>
        <v/>
      </c>
      <c r="BI714" t="str">
        <f t="shared" si="273"/>
        <v/>
      </c>
      <c r="BJ714" t="str">
        <f t="shared" si="274"/>
        <v/>
      </c>
      <c r="BK714" t="str">
        <f t="shared" si="275"/>
        <v/>
      </c>
      <c r="BL714" t="str">
        <f t="shared" si="276"/>
        <v/>
      </c>
      <c r="BM714" t="str">
        <f t="shared" si="277"/>
        <v/>
      </c>
      <c r="BN714" t="str">
        <f t="shared" si="278"/>
        <v/>
      </c>
      <c r="BO714" t="str">
        <f t="shared" si="279"/>
        <v/>
      </c>
      <c r="BP714" t="str">
        <f t="shared" si="280"/>
        <v/>
      </c>
      <c r="BQ714" t="str">
        <f t="shared" si="281"/>
        <v/>
      </c>
      <c r="BR714" t="str">
        <f t="shared" si="282"/>
        <v/>
      </c>
      <c r="BS714" t="str">
        <f t="shared" si="283"/>
        <v/>
      </c>
      <c r="BT714" t="str">
        <f t="shared" si="284"/>
        <v/>
      </c>
      <c r="BU714" t="str">
        <f t="shared" si="285"/>
        <v/>
      </c>
    </row>
    <row r="715" spans="1:73">
      <c r="A715" s="1">
        <v>26646</v>
      </c>
      <c r="B715" t="str">
        <f>VLOOKUP($A715,[1]Table!$A$2:$N885,B$1,FALSE)</f>
        <v>D07AA02</v>
      </c>
      <c r="C715" t="str">
        <f>VLOOKUP($A715,[1]Table!$A$2:$N885,C$1,FALSE)</f>
        <v>DERMATOLOGISCHE CORTICOSTEROIDEN</v>
      </c>
      <c r="D715" t="str">
        <f>VLOOKUP($A715,[1]Table!$A$2:$N885,D$1,FALSE)</f>
        <v>ENKELVOUDIGE CORTICOSTEROIDEN</v>
      </c>
      <c r="E715" t="str">
        <f>VLOOKUP($A715,[1]Table!$A$2:$N885,E$1,FALSE)</f>
        <v>HYDROCORTISON</v>
      </c>
      <c r="F715" t="str">
        <f>VLOOKUP($A715,[1]Table!$A$2:$N885,F$1,FALSE)</f>
        <v>HYDROCORTISON 1% CREME 30G</v>
      </c>
      <c r="G715" t="str">
        <f>VLOOKUP($A715,[1]Table!$A$2:$N885,G$1,FALSE)</f>
        <v>HYDROCORTISONAC 10MG/G CREM</v>
      </c>
      <c r="H715" t="str">
        <f>VLOOKUP($A715,[1]Table!$A$2:$N885,H$1,FALSE)</f>
        <v>creme</v>
      </c>
      <c r="I715" t="str">
        <f>VLOOKUP($A715,[1]Table!$A$2:$N885,I$1,FALSE)</f>
        <v>cutaan</v>
      </c>
      <c r="J715">
        <f>VLOOKUP($A715,[1]Table!$A$2:$N885,J$1,FALSE)</f>
        <v>10</v>
      </c>
      <c r="K715" t="str">
        <f>VLOOKUP($A715,[1]Table!$A$2:$N885,K$1,FALSE)</f>
        <v>mg/gr</v>
      </c>
      <c r="L715">
        <f>VLOOKUP($A715,[1]Table!$A$2:$N885,L$1,FALSE)</f>
        <v>10</v>
      </c>
      <c r="M715" t="str">
        <f>VLOOKUP($A715,[1]Table!$A$2:$N885,M$1,FALSE)</f>
        <v>mg</v>
      </c>
      <c r="N715" t="str">
        <f>VLOOKUP($A715,[1]Table!$A$2:$N885,N$1,FALSE)</f>
        <v>Constitutioneel eczeem</v>
      </c>
      <c r="O715" t="str">
        <f>ConcatenateRange(AZ715:BU715,"||")</f>
        <v/>
      </c>
      <c r="AZ715" t="str">
        <f t="shared" si="264"/>
        <v/>
      </c>
      <c r="BA715" t="str">
        <f t="shared" si="265"/>
        <v/>
      </c>
      <c r="BB715" t="str">
        <f t="shared" si="266"/>
        <v/>
      </c>
      <c r="BC715" t="str">
        <f t="shared" si="267"/>
        <v/>
      </c>
      <c r="BD715" t="str">
        <f t="shared" si="268"/>
        <v/>
      </c>
      <c r="BE715" t="str">
        <f t="shared" si="269"/>
        <v/>
      </c>
      <c r="BF715" t="str">
        <f t="shared" si="270"/>
        <v/>
      </c>
      <c r="BG715" t="str">
        <f t="shared" si="271"/>
        <v/>
      </c>
      <c r="BH715" t="str">
        <f t="shared" si="272"/>
        <v/>
      </c>
      <c r="BI715" t="str">
        <f t="shared" si="273"/>
        <v/>
      </c>
      <c r="BJ715" t="str">
        <f t="shared" si="274"/>
        <v/>
      </c>
      <c r="BK715" t="str">
        <f t="shared" si="275"/>
        <v/>
      </c>
      <c r="BL715" t="str">
        <f t="shared" si="276"/>
        <v/>
      </c>
      <c r="BM715" t="str">
        <f t="shared" si="277"/>
        <v/>
      </c>
      <c r="BN715" t="str">
        <f t="shared" si="278"/>
        <v/>
      </c>
      <c r="BO715" t="str">
        <f t="shared" si="279"/>
        <v/>
      </c>
      <c r="BP715" t="str">
        <f t="shared" si="280"/>
        <v/>
      </c>
      <c r="BQ715" t="str">
        <f t="shared" si="281"/>
        <v/>
      </c>
      <c r="BR715" t="str">
        <f t="shared" si="282"/>
        <v/>
      </c>
      <c r="BS715" t="str">
        <f t="shared" si="283"/>
        <v/>
      </c>
      <c r="BT715" t="str">
        <f t="shared" si="284"/>
        <v/>
      </c>
      <c r="BU715" t="str">
        <f t="shared" si="285"/>
        <v/>
      </c>
    </row>
    <row r="716" spans="1:73">
      <c r="A716" s="1">
        <v>1112</v>
      </c>
      <c r="B716" t="str">
        <f>VLOOKUP($A716,[1]Table!$A$2:$N886,B$1,FALSE)</f>
        <v>H02AB09</v>
      </c>
      <c r="C716" t="str">
        <f>VLOOKUP($A716,[1]Table!$A$2:$N886,C$1,FALSE)</f>
        <v>CORTICOSTEROIDEN VOOR SYSTEMISCH GEBRUIK</v>
      </c>
      <c r="D716" t="str">
        <f>VLOOKUP($A716,[1]Table!$A$2:$N886,D$1,FALSE)</f>
        <v>CORTICOSTEROIDEN VOOR SYSTEMISCH GEBRUIK</v>
      </c>
      <c r="E716" t="str">
        <f>VLOOKUP($A716,[1]Table!$A$2:$N886,E$1,FALSE)</f>
        <v>HYDROCORTISON</v>
      </c>
      <c r="F716" t="str">
        <f>VLOOKUP($A716,[1]Table!$A$2:$N886,F$1,FALSE)</f>
        <v>SOLU CORTEF 100 MG POEDER VOOR INJECTIE</v>
      </c>
      <c r="G716" t="str">
        <f>VLOOKUP($A716,[1]Table!$A$2:$N886,G$1,FALSE)</f>
        <v>HYDROCORTISON 100MG PDR V I</v>
      </c>
      <c r="H716" t="str">
        <f>VLOOKUP($A716,[1]Table!$A$2:$N886,H$1,FALSE)</f>
        <v>poeder voor injectievloeistof</v>
      </c>
      <c r="I716" t="str">
        <f>VLOOKUP($A716,[1]Table!$A$2:$N886,I$1,FALSE)</f>
        <v>im||iv</v>
      </c>
      <c r="J716">
        <f>VLOOKUP($A716,[1]Table!$A$2:$N886,J$1,FALSE)</f>
        <v>100</v>
      </c>
      <c r="K716" t="str">
        <f>VLOOKUP($A716,[1]Table!$A$2:$N886,K$1,FALSE)</f>
        <v>mg/stuk</v>
      </c>
      <c r="L716">
        <f>VLOOKUP($A716,[1]Table!$A$2:$N886,L$1,FALSE)</f>
        <v>100</v>
      </c>
      <c r="M716" t="str">
        <f>VLOOKUP($A716,[1]Table!$A$2:$N886,M$1,FALSE)</f>
        <v>mg</v>
      </c>
      <c r="N716" t="str">
        <f>VLOOKUP($A716,[1]Table!$A$2:$N886,N$1,FALSE)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6" t="str">
        <f>ConcatenateRange(AZ716:BU716,"||")</f>
        <v/>
      </c>
      <c r="AZ716" t="str">
        <f t="shared" si="264"/>
        <v/>
      </c>
      <c r="BA716" t="str">
        <f t="shared" si="265"/>
        <v/>
      </c>
      <c r="BB716" t="str">
        <f t="shared" si="266"/>
        <v/>
      </c>
      <c r="BC716" t="str">
        <f t="shared" si="267"/>
        <v/>
      </c>
      <c r="BD716" t="str">
        <f t="shared" si="268"/>
        <v/>
      </c>
      <c r="BE716" t="str">
        <f t="shared" si="269"/>
        <v/>
      </c>
      <c r="BF716" t="str">
        <f t="shared" si="270"/>
        <v/>
      </c>
      <c r="BG716" t="str">
        <f t="shared" si="271"/>
        <v/>
      </c>
      <c r="BH716" t="str">
        <f t="shared" si="272"/>
        <v/>
      </c>
      <c r="BI716" t="str">
        <f t="shared" si="273"/>
        <v/>
      </c>
      <c r="BJ716" t="str">
        <f t="shared" si="274"/>
        <v/>
      </c>
      <c r="BK716" t="str">
        <f t="shared" si="275"/>
        <v/>
      </c>
      <c r="BL716" t="str">
        <f t="shared" si="276"/>
        <v/>
      </c>
      <c r="BM716" t="str">
        <f t="shared" si="277"/>
        <v/>
      </c>
      <c r="BN716" t="str">
        <f t="shared" si="278"/>
        <v/>
      </c>
      <c r="BO716" t="str">
        <f t="shared" si="279"/>
        <v/>
      </c>
      <c r="BP716" t="str">
        <f t="shared" si="280"/>
        <v/>
      </c>
      <c r="BQ716" t="str">
        <f t="shared" si="281"/>
        <v/>
      </c>
      <c r="BR716" t="str">
        <f t="shared" si="282"/>
        <v/>
      </c>
      <c r="BS716" t="str">
        <f t="shared" si="283"/>
        <v/>
      </c>
      <c r="BT716" t="str">
        <f t="shared" si="284"/>
        <v/>
      </c>
      <c r="BU716" t="str">
        <f t="shared" si="285"/>
        <v/>
      </c>
    </row>
    <row r="717" spans="1:73">
      <c r="A717" s="1">
        <v>143014</v>
      </c>
      <c r="B717" t="str">
        <f>VLOOKUP($A717,[1]Table!$A$2:$N887,B$1,FALSE)</f>
        <v>H02AB09</v>
      </c>
      <c r="C717" t="str">
        <f>VLOOKUP($A717,[1]Table!$A$2:$N887,C$1,FALSE)</f>
        <v>CORTICOSTEROIDEN VOOR SYSTEMISCH GEBRUIK</v>
      </c>
      <c r="D717" t="str">
        <f>VLOOKUP($A717,[1]Table!$A$2:$N887,D$1,FALSE)</f>
        <v>CORTICOSTEROIDEN VOOR SYSTEMISCH GEBRUIK</v>
      </c>
      <c r="E717" t="str">
        <f>VLOOKUP($A717,[1]Table!$A$2:$N887,E$1,FALSE)</f>
        <v>HYDROCORTISON</v>
      </c>
      <c r="F717" t="str">
        <f>VLOOKUP($A717,[1]Table!$A$2:$N887,F$1,FALSE)</f>
        <v>HYDROCORTISON 5 MG TABLET</v>
      </c>
      <c r="G717" t="str">
        <f>VLOOKUP($A717,[1]Table!$A$2:$N887,G$1,FALSE)</f>
        <v>HYDROCORTISON 5MG TABLET</v>
      </c>
      <c r="H717" t="str">
        <f>VLOOKUP($A717,[1]Table!$A$2:$N887,H$1,FALSE)</f>
        <v>tablet</v>
      </c>
      <c r="I717" t="str">
        <f>VLOOKUP($A717,[1]Table!$A$2:$N887,I$1,FALSE)</f>
        <v>or</v>
      </c>
      <c r="J717">
        <f>VLOOKUP($A717,[1]Table!$A$2:$N887,J$1,FALSE)</f>
        <v>5</v>
      </c>
      <c r="K717" t="str">
        <f>VLOOKUP($A717,[1]Table!$A$2:$N887,K$1,FALSE)</f>
        <v>mg/stuk</v>
      </c>
      <c r="L717">
        <f>VLOOKUP($A717,[1]Table!$A$2:$N887,L$1,FALSE)</f>
        <v>5</v>
      </c>
      <c r="M717" t="str">
        <f>VLOOKUP($A717,[1]Table!$A$2:$N887,M$1,FALSE)</f>
        <v>mg</v>
      </c>
      <c r="N717" t="str">
        <f>VLOOKUP($A717,[1]Table!$A$2:$N887,N$1,FALSE)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7" t="str">
        <f>ConcatenateRange(AZ717:BU717,"||")</f>
        <v/>
      </c>
      <c r="AZ717" t="str">
        <f t="shared" si="264"/>
        <v/>
      </c>
      <c r="BA717" t="str">
        <f t="shared" si="265"/>
        <v/>
      </c>
      <c r="BB717" t="str">
        <f t="shared" si="266"/>
        <v/>
      </c>
      <c r="BC717" t="str">
        <f t="shared" si="267"/>
        <v/>
      </c>
      <c r="BD717" t="str">
        <f t="shared" si="268"/>
        <v/>
      </c>
      <c r="BE717" t="str">
        <f t="shared" si="269"/>
        <v/>
      </c>
      <c r="BF717" t="str">
        <f t="shared" si="270"/>
        <v/>
      </c>
      <c r="BG717" t="str">
        <f t="shared" si="271"/>
        <v/>
      </c>
      <c r="BH717" t="str">
        <f t="shared" si="272"/>
        <v/>
      </c>
      <c r="BI717" t="str">
        <f t="shared" si="273"/>
        <v/>
      </c>
      <c r="BJ717" t="str">
        <f t="shared" si="274"/>
        <v/>
      </c>
      <c r="BK717" t="str">
        <f t="shared" si="275"/>
        <v/>
      </c>
      <c r="BL717" t="str">
        <f t="shared" si="276"/>
        <v/>
      </c>
      <c r="BM717" t="str">
        <f t="shared" si="277"/>
        <v/>
      </c>
      <c r="BN717" t="str">
        <f t="shared" si="278"/>
        <v/>
      </c>
      <c r="BO717" t="str">
        <f t="shared" si="279"/>
        <v/>
      </c>
      <c r="BP717" t="str">
        <f t="shared" si="280"/>
        <v/>
      </c>
      <c r="BQ717" t="str">
        <f t="shared" si="281"/>
        <v/>
      </c>
      <c r="BR717" t="str">
        <f t="shared" si="282"/>
        <v/>
      </c>
      <c r="BS717" t="str">
        <f t="shared" si="283"/>
        <v/>
      </c>
      <c r="BT717" t="str">
        <f t="shared" si="284"/>
        <v/>
      </c>
      <c r="BU717" t="str">
        <f t="shared" si="285"/>
        <v/>
      </c>
    </row>
    <row r="718" spans="1:73">
      <c r="A718" s="1">
        <v>23302</v>
      </c>
      <c r="B718" t="str">
        <f>VLOOKUP($A718,[1]Table!$A$2:$N888,B$1,FALSE)</f>
        <v>H02AB09</v>
      </c>
      <c r="C718" t="str">
        <f>VLOOKUP($A718,[1]Table!$A$2:$N888,C$1,FALSE)</f>
        <v>CORTICOSTEROIDEN VOOR SYSTEMISCH GEBRUIK</v>
      </c>
      <c r="D718" t="str">
        <f>VLOOKUP($A718,[1]Table!$A$2:$N888,D$1,FALSE)</f>
        <v>CORTICOSTEROIDEN VOOR SYSTEMISCH GEBRUIK</v>
      </c>
      <c r="E718" t="str">
        <f>VLOOKUP($A718,[1]Table!$A$2:$N888,E$1,FALSE)</f>
        <v>HYDROCORTISON</v>
      </c>
      <c r="F718" t="str">
        <f>VLOOKUP($A718,[1]Table!$A$2:$N888,F$1,FALSE)</f>
        <v>HYDROCORTISON 20 MG TABLET</v>
      </c>
      <c r="G718" t="str">
        <f>VLOOKUP($A718,[1]Table!$A$2:$N888,G$1,FALSE)</f>
        <v>HYDROCORTISON 20MG TABLET</v>
      </c>
      <c r="H718" t="str">
        <f>VLOOKUP($A718,[1]Table!$A$2:$N888,H$1,FALSE)</f>
        <v>tablet</v>
      </c>
      <c r="I718" t="str">
        <f>VLOOKUP($A718,[1]Table!$A$2:$N888,I$1,FALSE)</f>
        <v>or</v>
      </c>
      <c r="J718">
        <f>VLOOKUP($A718,[1]Table!$A$2:$N888,J$1,FALSE)</f>
        <v>20</v>
      </c>
      <c r="K718" t="str">
        <f>VLOOKUP($A718,[1]Table!$A$2:$N888,K$1,FALSE)</f>
        <v>mg/stuk</v>
      </c>
      <c r="L718">
        <f>VLOOKUP($A718,[1]Table!$A$2:$N888,L$1,FALSE)</f>
        <v>10</v>
      </c>
      <c r="M718" t="str">
        <f>VLOOKUP($A718,[1]Table!$A$2:$N888,M$1,FALSE)</f>
        <v>mg</v>
      </c>
      <c r="N718" t="str">
        <f>VLOOKUP($A718,[1]Table!$A$2:$N888,N$1,FALSE)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8" t="str">
        <f>ConcatenateRange(AZ718:BU718,"||")</f>
        <v/>
      </c>
      <c r="AZ718" t="str">
        <f t="shared" si="264"/>
        <v/>
      </c>
      <c r="BA718" t="str">
        <f t="shared" si="265"/>
        <v/>
      </c>
      <c r="BB718" t="str">
        <f t="shared" si="266"/>
        <v/>
      </c>
      <c r="BC718" t="str">
        <f t="shared" si="267"/>
        <v/>
      </c>
      <c r="BD718" t="str">
        <f t="shared" si="268"/>
        <v/>
      </c>
      <c r="BE718" t="str">
        <f t="shared" si="269"/>
        <v/>
      </c>
      <c r="BF718" t="str">
        <f t="shared" si="270"/>
        <v/>
      </c>
      <c r="BG718" t="str">
        <f t="shared" si="271"/>
        <v/>
      </c>
      <c r="BH718" t="str">
        <f t="shared" si="272"/>
        <v/>
      </c>
      <c r="BI718" t="str">
        <f t="shared" si="273"/>
        <v/>
      </c>
      <c r="BJ718" t="str">
        <f t="shared" si="274"/>
        <v/>
      </c>
      <c r="BK718" t="str">
        <f t="shared" si="275"/>
        <v/>
      </c>
      <c r="BL718" t="str">
        <f t="shared" si="276"/>
        <v/>
      </c>
      <c r="BM718" t="str">
        <f t="shared" si="277"/>
        <v/>
      </c>
      <c r="BN718" t="str">
        <f t="shared" si="278"/>
        <v/>
      </c>
      <c r="BO718" t="str">
        <f t="shared" si="279"/>
        <v/>
      </c>
      <c r="BP718" t="str">
        <f t="shared" si="280"/>
        <v/>
      </c>
      <c r="BQ718" t="str">
        <f t="shared" si="281"/>
        <v/>
      </c>
      <c r="BR718" t="str">
        <f t="shared" si="282"/>
        <v/>
      </c>
      <c r="BS718" t="str">
        <f t="shared" si="283"/>
        <v/>
      </c>
      <c r="BT718" t="str">
        <f t="shared" si="284"/>
        <v/>
      </c>
      <c r="BU718" t="str">
        <f t="shared" si="285"/>
        <v/>
      </c>
    </row>
    <row r="719" spans="1:73">
      <c r="A719" s="1">
        <v>64718</v>
      </c>
      <c r="B719" t="str">
        <f>VLOOKUP($A719,[1]Table!$A$2:$N889,B$1,FALSE)</f>
        <v>D07AA02</v>
      </c>
      <c r="C719" t="str">
        <f>VLOOKUP($A719,[1]Table!$A$2:$N889,C$1,FALSE)</f>
        <v>DERMATOLOGISCHE CORTICOSTEROIDEN</v>
      </c>
      <c r="D719" t="str">
        <f>VLOOKUP($A719,[1]Table!$A$2:$N889,D$1,FALSE)</f>
        <v>ENKELVOUDIGE CORTICOSTEROIDEN</v>
      </c>
      <c r="E719" t="str">
        <f>VLOOKUP($A719,[1]Table!$A$2:$N889,E$1,FALSE)</f>
        <v>HYDROCORTISON</v>
      </c>
      <c r="F719" t="str">
        <f>VLOOKUP($A719,[1]Table!$A$2:$N889,F$1,FALSE)</f>
        <v>HYDROCORTISON 1% ZALF 30 G</v>
      </c>
      <c r="G719" t="str">
        <f>VLOOKUP($A719,[1]Table!$A$2:$N889,G$1,FALSE)</f>
        <v>HYDROCORTISON 10MG/G ZALF</v>
      </c>
      <c r="H719" t="str">
        <f>VLOOKUP($A719,[1]Table!$A$2:$N889,H$1,FALSE)</f>
        <v>zalf</v>
      </c>
      <c r="I719" t="str">
        <f>VLOOKUP($A719,[1]Table!$A$2:$N889,I$1,FALSE)</f>
        <v>cutaan</v>
      </c>
      <c r="J719">
        <f>VLOOKUP($A719,[1]Table!$A$2:$N889,J$1,FALSE)</f>
        <v>10</v>
      </c>
      <c r="K719" t="str">
        <f>VLOOKUP($A719,[1]Table!$A$2:$N889,K$1,FALSE)</f>
        <v>mg/gr</v>
      </c>
      <c r="L719">
        <f>VLOOKUP($A719,[1]Table!$A$2:$N889,L$1,FALSE)</f>
        <v>10</v>
      </c>
      <c r="M719" t="str">
        <f>VLOOKUP($A719,[1]Table!$A$2:$N889,M$1,FALSE)</f>
        <v>mg</v>
      </c>
      <c r="N719" t="str">
        <f>VLOOKUP($A719,[1]Table!$A$2:$N889,N$1,FALSE)</f>
        <v>Constitutioneel eczeem</v>
      </c>
      <c r="O719" t="str">
        <f>ConcatenateRange(AZ719:BU719,"||")</f>
        <v/>
      </c>
      <c r="AZ719" t="str">
        <f t="shared" si="264"/>
        <v/>
      </c>
      <c r="BA719" t="str">
        <f t="shared" si="265"/>
        <v/>
      </c>
      <c r="BB719" t="str">
        <f t="shared" si="266"/>
        <v/>
      </c>
      <c r="BC719" t="str">
        <f t="shared" si="267"/>
        <v/>
      </c>
      <c r="BD719" t="str">
        <f t="shared" si="268"/>
        <v/>
      </c>
      <c r="BE719" t="str">
        <f t="shared" si="269"/>
        <v/>
      </c>
      <c r="BF719" t="str">
        <f t="shared" si="270"/>
        <v/>
      </c>
      <c r="BG719" t="str">
        <f t="shared" si="271"/>
        <v/>
      </c>
      <c r="BH719" t="str">
        <f t="shared" si="272"/>
        <v/>
      </c>
      <c r="BI719" t="str">
        <f t="shared" si="273"/>
        <v/>
      </c>
      <c r="BJ719" t="str">
        <f t="shared" si="274"/>
        <v/>
      </c>
      <c r="BK719" t="str">
        <f t="shared" si="275"/>
        <v/>
      </c>
      <c r="BL719" t="str">
        <f t="shared" si="276"/>
        <v/>
      </c>
      <c r="BM719" t="str">
        <f t="shared" si="277"/>
        <v/>
      </c>
      <c r="BN719" t="str">
        <f t="shared" si="278"/>
        <v/>
      </c>
      <c r="BO719" t="str">
        <f t="shared" si="279"/>
        <v/>
      </c>
      <c r="BP719" t="str">
        <f t="shared" si="280"/>
        <v/>
      </c>
      <c r="BQ719" t="str">
        <f t="shared" si="281"/>
        <v/>
      </c>
      <c r="BR719" t="str">
        <f t="shared" si="282"/>
        <v/>
      </c>
      <c r="BS719" t="str">
        <f t="shared" si="283"/>
        <v/>
      </c>
      <c r="BT719" t="str">
        <f t="shared" si="284"/>
        <v/>
      </c>
      <c r="BU719" t="str">
        <f t="shared" si="285"/>
        <v/>
      </c>
    </row>
    <row r="720" spans="1:73">
      <c r="A720" s="1">
        <v>11541</v>
      </c>
      <c r="B720" t="str">
        <f>VLOOKUP($A720,[1]Table!$A$2:$N891,B$1,FALSE)</f>
        <v>D07XA01</v>
      </c>
      <c r="C720" t="str">
        <f>VLOOKUP($A720,[1]Table!$A$2:$N891,C$1,FALSE)</f>
        <v>DERMATOLOGISCHE CORTICOSTEROIDEN</v>
      </c>
      <c r="D720" t="str">
        <f>VLOOKUP($A720,[1]Table!$A$2:$N891,D$1,FALSE)</f>
        <v>CORTICOSTEROIDEN MET OVERIGE MIDDELEN</v>
      </c>
      <c r="E720" t="str">
        <f>VLOOKUP($A720,[1]Table!$A$2:$N891,E$1,FALSE)</f>
        <v>HYDROCORTISON/MICONAZOL</v>
      </c>
      <c r="F720" t="str">
        <f>VLOOKUP($A720,[1]Table!$A$2:$N891,F$1,FALSE)</f>
        <v>DAKTACORT CREME HYDROFIEL 15G</v>
      </c>
      <c r="G720" t="str">
        <f>VLOOKUP($A720,[1]Table!$A$2:$N891,G$1,FALSE)</f>
        <v>HYDROCORT/MICONAZOL CREME</v>
      </c>
      <c r="H720" t="str">
        <f>VLOOKUP($A720,[1]Table!$A$2:$N891,H$1,FALSE)</f>
        <v>creme</v>
      </c>
      <c r="I720" t="str">
        <f>VLOOKUP($A720,[1]Table!$A$2:$N891,I$1,FALSE)</f>
        <v>cutaan</v>
      </c>
      <c r="J720">
        <f>VLOOKUP($A720,[1]Table!$A$2:$N891,J$1,FALSE)</f>
        <v>10</v>
      </c>
      <c r="K720" t="str">
        <f>VLOOKUP($A720,[1]Table!$A$2:$N891,K$1,FALSE)</f>
        <v>mg/gr</v>
      </c>
      <c r="L720">
        <f>VLOOKUP($A720,[1]Table!$A$2:$N891,L$1,FALSE)</f>
        <v>10</v>
      </c>
      <c r="M720" t="str">
        <f>VLOOKUP($A720,[1]Table!$A$2:$N891,M$1,FALSE)</f>
        <v>mg</v>
      </c>
      <c r="N720" t="str">
        <f>VLOOKUP($A720,[1]Table!$A$2:$N891,N$1,FALSE)</f>
        <v>Huidinfecties door dermatofyten of candida-soorten</v>
      </c>
      <c r="O720" t="str">
        <f>ConcatenateRange(AZ720:BU720,"||")</f>
        <v/>
      </c>
      <c r="AZ720" t="str">
        <f t="shared" si="264"/>
        <v/>
      </c>
      <c r="BA720" t="str">
        <f t="shared" si="265"/>
        <v/>
      </c>
      <c r="BB720" t="str">
        <f t="shared" si="266"/>
        <v/>
      </c>
      <c r="BC720" t="str">
        <f t="shared" si="267"/>
        <v/>
      </c>
      <c r="BD720" t="str">
        <f t="shared" si="268"/>
        <v/>
      </c>
      <c r="BE720" t="str">
        <f t="shared" si="269"/>
        <v/>
      </c>
      <c r="BF720" t="str">
        <f t="shared" si="270"/>
        <v/>
      </c>
      <c r="BG720" t="str">
        <f t="shared" si="271"/>
        <v/>
      </c>
      <c r="BH720" t="str">
        <f t="shared" si="272"/>
        <v/>
      </c>
      <c r="BI720" t="str">
        <f t="shared" si="273"/>
        <v/>
      </c>
      <c r="BJ720" t="str">
        <f t="shared" si="274"/>
        <v/>
      </c>
      <c r="BK720" t="str">
        <f t="shared" si="275"/>
        <v/>
      </c>
      <c r="BL720" t="str">
        <f t="shared" si="276"/>
        <v/>
      </c>
      <c r="BM720" t="str">
        <f t="shared" si="277"/>
        <v/>
      </c>
      <c r="BN720" t="str">
        <f t="shared" si="278"/>
        <v/>
      </c>
      <c r="BO720" t="str">
        <f t="shared" si="279"/>
        <v/>
      </c>
      <c r="BP720" t="str">
        <f t="shared" si="280"/>
        <v/>
      </c>
      <c r="BQ720" t="str">
        <f t="shared" si="281"/>
        <v/>
      </c>
      <c r="BR720" t="str">
        <f t="shared" si="282"/>
        <v/>
      </c>
      <c r="BS720" t="str">
        <f t="shared" si="283"/>
        <v/>
      </c>
      <c r="BT720" t="str">
        <f t="shared" si="284"/>
        <v/>
      </c>
      <c r="BU720" t="str">
        <f t="shared" si="285"/>
        <v/>
      </c>
    </row>
    <row r="721" spans="1:73">
      <c r="A721" s="1">
        <v>63746</v>
      </c>
      <c r="B721" t="str">
        <f>VLOOKUP($A721,[1]Table!$A$2:$N892,B$1,FALSE)</f>
        <v>D07XA01</v>
      </c>
      <c r="C721" t="str">
        <f>VLOOKUP($A721,[1]Table!$A$2:$N892,C$1,FALSE)</f>
        <v>DERMATOLOGISCHE CORTICOSTEROIDEN</v>
      </c>
      <c r="D721" t="str">
        <f>VLOOKUP($A721,[1]Table!$A$2:$N892,D$1,FALSE)</f>
        <v>CORTICOSTEROIDEN MET OVERIGE MIDDELEN</v>
      </c>
      <c r="E721" t="str">
        <f>VLOOKUP($A721,[1]Table!$A$2:$N892,E$1,FALSE)</f>
        <v>HYDROCORTISON/MICONAZOL</v>
      </c>
      <c r="F721" t="str">
        <f>VLOOKUP($A721,[1]Table!$A$2:$N892,F$1,FALSE)</f>
        <v>DAKTACORT ZALF HYDROFOOB 15G</v>
      </c>
      <c r="G721" t="str">
        <f>VLOOKUP($A721,[1]Table!$A$2:$N892,G$1,FALSE)</f>
        <v>HYDROCORT/MICONAZOL ZALF</v>
      </c>
      <c r="H721" t="str">
        <f>VLOOKUP($A721,[1]Table!$A$2:$N892,H$1,FALSE)</f>
        <v>zalf</v>
      </c>
      <c r="I721" t="str">
        <f>VLOOKUP($A721,[1]Table!$A$2:$N892,I$1,FALSE)</f>
        <v>cutaan</v>
      </c>
      <c r="J721">
        <f>VLOOKUP($A721,[1]Table!$A$2:$N892,J$1,FALSE)</f>
        <v>10</v>
      </c>
      <c r="K721" t="str">
        <f>VLOOKUP($A721,[1]Table!$A$2:$N892,K$1,FALSE)</f>
        <v>mg/gr</v>
      </c>
      <c r="L721">
        <f>VLOOKUP($A721,[1]Table!$A$2:$N892,L$1,FALSE)</f>
        <v>10</v>
      </c>
      <c r="M721" t="str">
        <f>VLOOKUP($A721,[1]Table!$A$2:$N892,M$1,FALSE)</f>
        <v>mg</v>
      </c>
      <c r="N721" t="str">
        <f>VLOOKUP($A721,[1]Table!$A$2:$N892,N$1,FALSE)</f>
        <v>Huidinfecties door dermatofyten of candida-soorten</v>
      </c>
      <c r="O721" t="str">
        <f>ConcatenateRange(AZ721:BU721,"||")</f>
        <v/>
      </c>
      <c r="AZ721" t="str">
        <f t="shared" si="264"/>
        <v/>
      </c>
      <c r="BA721" t="str">
        <f t="shared" si="265"/>
        <v/>
      </c>
      <c r="BB721" t="str">
        <f t="shared" si="266"/>
        <v/>
      </c>
      <c r="BC721" t="str">
        <f t="shared" si="267"/>
        <v/>
      </c>
      <c r="BD721" t="str">
        <f t="shared" si="268"/>
        <v/>
      </c>
      <c r="BE721" t="str">
        <f t="shared" si="269"/>
        <v/>
      </c>
      <c r="BF721" t="str">
        <f t="shared" si="270"/>
        <v/>
      </c>
      <c r="BG721" t="str">
        <f t="shared" si="271"/>
        <v/>
      </c>
      <c r="BH721" t="str">
        <f t="shared" si="272"/>
        <v/>
      </c>
      <c r="BI721" t="str">
        <f t="shared" si="273"/>
        <v/>
      </c>
      <c r="BJ721" t="str">
        <f t="shared" si="274"/>
        <v/>
      </c>
      <c r="BK721" t="str">
        <f t="shared" si="275"/>
        <v/>
      </c>
      <c r="BL721" t="str">
        <f t="shared" si="276"/>
        <v/>
      </c>
      <c r="BM721" t="str">
        <f t="shared" si="277"/>
        <v/>
      </c>
      <c r="BN721" t="str">
        <f t="shared" si="278"/>
        <v/>
      </c>
      <c r="BO721" t="str">
        <f t="shared" si="279"/>
        <v/>
      </c>
      <c r="BP721" t="str">
        <f t="shared" si="280"/>
        <v/>
      </c>
      <c r="BQ721" t="str">
        <f t="shared" si="281"/>
        <v/>
      </c>
      <c r="BR721" t="str">
        <f t="shared" si="282"/>
        <v/>
      </c>
      <c r="BS721" t="str">
        <f t="shared" si="283"/>
        <v/>
      </c>
      <c r="BT721" t="str">
        <f t="shared" si="284"/>
        <v/>
      </c>
      <c r="BU721" t="str">
        <f t="shared" si="285"/>
        <v/>
      </c>
    </row>
    <row r="722" spans="1:73">
      <c r="A722" s="1">
        <v>83909</v>
      </c>
      <c r="B722" t="str">
        <f>VLOOKUP($A722,[1]Table!$A$2:$N893,B$1,FALSE)</f>
        <v>S01CA03</v>
      </c>
      <c r="C722" t="str">
        <f>VLOOKUP($A722,[1]Table!$A$2:$N893,C$1,FALSE)</f>
        <v>MIDDELEN VOOR OOGHEELKUNDIG GEBRUIK</v>
      </c>
      <c r="D722" t="str">
        <f>VLOOKUP($A722,[1]Table!$A$2:$N893,D$1,FALSE)</f>
        <v>ANTI-INFLAMMATOIRE MIDDELEN MET ANTIMICROBIELE MIDDELEN</v>
      </c>
      <c r="E722" t="str">
        <f>VLOOKUP($A722,[1]Table!$A$2:$N893,E$1,FALSE)</f>
        <v>HYDROCORTISON/OXYTETRACYCLINE/POLYMYXINE</v>
      </c>
      <c r="F722" t="str">
        <f>VLOOKUP($A722,[1]Table!$A$2:$N893,F$1,FALSE)</f>
        <v>TERRA CORTRIL + POLYMYCINE B OOGZALF 3.5G</v>
      </c>
      <c r="G722" t="str">
        <f>VLOOKUP($A722,[1]Table!$A$2:$N893,G$1,FALSE)</f>
        <v>HYDROC/OXYTETRA/POLYM OOGZA</v>
      </c>
      <c r="H722" t="str">
        <f>VLOOKUP($A722,[1]Table!$A$2:$N893,H$1,FALSE)</f>
        <v>oogzalf</v>
      </c>
      <c r="I722" t="str">
        <f>VLOOKUP($A722,[1]Table!$A$2:$N893,I$1,FALSE)</f>
        <v>oog</v>
      </c>
      <c r="J722">
        <f>VLOOKUP($A722,[1]Table!$A$2:$N893,J$1,FALSE)</f>
        <v>10</v>
      </c>
      <c r="K722" t="str">
        <f>VLOOKUP($A722,[1]Table!$A$2:$N893,K$1,FALSE)</f>
        <v>mg/gr</v>
      </c>
      <c r="L722">
        <f>VLOOKUP($A722,[1]Table!$A$2:$N893,L$1,FALSE)</f>
        <v>10</v>
      </c>
      <c r="M722" t="str">
        <f>VLOOKUP($A722,[1]Table!$A$2:$N893,M$1,FALSE)</f>
        <v>mg</v>
      </c>
      <c r="N722" t="str">
        <f>VLOOKUP($A722,[1]Table!$A$2:$N893,N$1,FALSE)</f>
        <v>Ooginfectie, breed spectrum</v>
      </c>
      <c r="O722" t="str">
        <f>ConcatenateRange(AZ722:BU722,"||")</f>
        <v/>
      </c>
      <c r="AZ722" t="str">
        <f t="shared" si="264"/>
        <v/>
      </c>
      <c r="BA722" t="str">
        <f t="shared" si="265"/>
        <v/>
      </c>
      <c r="BB722" t="str">
        <f t="shared" si="266"/>
        <v/>
      </c>
      <c r="BC722" t="str">
        <f t="shared" si="267"/>
        <v/>
      </c>
      <c r="BD722" t="str">
        <f t="shared" si="268"/>
        <v/>
      </c>
      <c r="BE722" t="str">
        <f t="shared" si="269"/>
        <v/>
      </c>
      <c r="BF722" t="str">
        <f t="shared" si="270"/>
        <v/>
      </c>
      <c r="BG722" t="str">
        <f t="shared" si="271"/>
        <v/>
      </c>
      <c r="BH722" t="str">
        <f t="shared" si="272"/>
        <v/>
      </c>
      <c r="BI722" t="str">
        <f t="shared" si="273"/>
        <v/>
      </c>
      <c r="BJ722" t="str">
        <f t="shared" si="274"/>
        <v/>
      </c>
      <c r="BK722" t="str">
        <f t="shared" si="275"/>
        <v/>
      </c>
      <c r="BL722" t="str">
        <f t="shared" si="276"/>
        <v/>
      </c>
      <c r="BM722" t="str">
        <f t="shared" si="277"/>
        <v/>
      </c>
      <c r="BN722" t="str">
        <f t="shared" si="278"/>
        <v/>
      </c>
      <c r="BO722" t="str">
        <f t="shared" si="279"/>
        <v/>
      </c>
      <c r="BP722" t="str">
        <f t="shared" si="280"/>
        <v/>
      </c>
      <c r="BQ722" t="str">
        <f t="shared" si="281"/>
        <v/>
      </c>
      <c r="BR722" t="str">
        <f t="shared" si="282"/>
        <v/>
      </c>
      <c r="BS722" t="str">
        <f t="shared" si="283"/>
        <v/>
      </c>
      <c r="BT722" t="str">
        <f t="shared" si="284"/>
        <v/>
      </c>
      <c r="BU722" t="str">
        <f t="shared" si="285"/>
        <v/>
      </c>
    </row>
    <row r="723" spans="1:73">
      <c r="A723" s="1">
        <v>83925</v>
      </c>
      <c r="B723" t="str">
        <f>VLOOKUP($A723,[1]Table!$A$2:$N894,B$1,FALSE)</f>
        <v>S02CA03</v>
      </c>
      <c r="C723" t="str">
        <f>VLOOKUP($A723,[1]Table!$A$2:$N894,C$1,FALSE)</f>
        <v>MIDDELEN VOOR OORHEELKUNDIG GEBRUIK</v>
      </c>
      <c r="D723" t="str">
        <f>VLOOKUP($A723,[1]Table!$A$2:$N894,D$1,FALSE)</f>
        <v>CORTICOSTEROIDEN MET ANTIMICROBIELE MIDDELEN</v>
      </c>
      <c r="E723" t="str">
        <f>VLOOKUP($A723,[1]Table!$A$2:$N894,E$1,FALSE)</f>
        <v>HYDROCORTISON/OXYTETRACYCLINE/POLYMYXINE</v>
      </c>
      <c r="F723" t="str">
        <f>VLOOKUP($A723,[1]Table!$A$2:$N894,F$1,FALSE)</f>
        <v>TERRA CORTRIL + POLYMYCINE B OORDRUPPELS 5ML</v>
      </c>
      <c r="G723" t="str">
        <f>VLOOKUP($A723,[1]Table!$A$2:$N894,G$1,FALSE)</f>
        <v>HYDROC/OXYTETRA/POLYM OORDR</v>
      </c>
      <c r="H723" t="str">
        <f>VLOOKUP($A723,[1]Table!$A$2:$N894,H$1,FALSE)</f>
        <v>oordruppels</v>
      </c>
      <c r="I723" t="str">
        <f>VLOOKUP($A723,[1]Table!$A$2:$N894,I$1,FALSE)</f>
        <v>oor</v>
      </c>
      <c r="J723">
        <f>VLOOKUP($A723,[1]Table!$A$2:$N894,J$1,FALSE)</f>
        <v>15</v>
      </c>
      <c r="K723" t="str">
        <f>VLOOKUP($A723,[1]Table!$A$2:$N894,K$1,FALSE)</f>
        <v>mg/ml</v>
      </c>
      <c r="L723">
        <f>VLOOKUP($A723,[1]Table!$A$2:$N894,L$1,FALSE)</f>
        <v>15</v>
      </c>
      <c r="M723" t="str">
        <f>VLOOKUP($A723,[1]Table!$A$2:$N894,M$1,FALSE)</f>
        <v>mg</v>
      </c>
      <c r="N723" t="str">
        <f>VLOOKUP($A723,[1]Table!$A$2:$N894,N$1,FALSE)</f>
        <v>Otitis externa||Loopoor bij otitis media in aanwezigheid van perforatie of buisje (zie waarschuwing) ||Postoperatief||Loopoor bij Otitis Media in aanwezigheid van perforatie of buisje</v>
      </c>
      <c r="O723" t="str">
        <f>ConcatenateRange(AZ723:BU723,"||")</f>
        <v/>
      </c>
      <c r="AZ723" t="str">
        <f t="shared" si="264"/>
        <v/>
      </c>
      <c r="BA723" t="str">
        <f t="shared" si="265"/>
        <v/>
      </c>
      <c r="BB723" t="str">
        <f t="shared" si="266"/>
        <v/>
      </c>
      <c r="BC723" t="str">
        <f t="shared" si="267"/>
        <v/>
      </c>
      <c r="BD723" t="str">
        <f t="shared" si="268"/>
        <v/>
      </c>
      <c r="BE723" t="str">
        <f t="shared" si="269"/>
        <v/>
      </c>
      <c r="BF723" t="str">
        <f t="shared" si="270"/>
        <v/>
      </c>
      <c r="BG723" t="str">
        <f t="shared" si="271"/>
        <v/>
      </c>
      <c r="BH723" t="str">
        <f t="shared" si="272"/>
        <v/>
      </c>
      <c r="BI723" t="str">
        <f t="shared" si="273"/>
        <v/>
      </c>
      <c r="BJ723" t="str">
        <f t="shared" si="274"/>
        <v/>
      </c>
      <c r="BK723" t="str">
        <f t="shared" si="275"/>
        <v/>
      </c>
      <c r="BL723" t="str">
        <f t="shared" si="276"/>
        <v/>
      </c>
      <c r="BM723" t="str">
        <f t="shared" si="277"/>
        <v/>
      </c>
      <c r="BN723" t="str">
        <f t="shared" si="278"/>
        <v/>
      </c>
      <c r="BO723" t="str">
        <f t="shared" si="279"/>
        <v/>
      </c>
      <c r="BP723" t="str">
        <f t="shared" si="280"/>
        <v/>
      </c>
      <c r="BQ723" t="str">
        <f t="shared" si="281"/>
        <v/>
      </c>
      <c r="BR723" t="str">
        <f t="shared" si="282"/>
        <v/>
      </c>
      <c r="BS723" t="str">
        <f t="shared" si="283"/>
        <v/>
      </c>
      <c r="BT723" t="str">
        <f t="shared" si="284"/>
        <v/>
      </c>
      <c r="BU723" t="str">
        <f t="shared" si="285"/>
        <v/>
      </c>
    </row>
    <row r="724" spans="1:73">
      <c r="A724" s="1">
        <v>83917</v>
      </c>
      <c r="B724" t="str">
        <f>VLOOKUP($A724,[1]Table!$A$2:$N895,B$1,FALSE)</f>
        <v>S02CA03</v>
      </c>
      <c r="C724" t="str">
        <f>VLOOKUP($A724,[1]Table!$A$2:$N895,C$1,FALSE)</f>
        <v>MIDDELEN VOOR OORHEELKUNDIG GEBRUIK</v>
      </c>
      <c r="D724" t="str">
        <f>VLOOKUP($A724,[1]Table!$A$2:$N895,D$1,FALSE)</f>
        <v>CORTICOSTEROIDEN MET ANTIMICROBIELE MIDDELEN</v>
      </c>
      <c r="E724" t="str">
        <f>VLOOKUP($A724,[1]Table!$A$2:$N895,E$1,FALSE)</f>
        <v>HYDROCORTISON/OXYTETRACYCLINE/POLYMYXINE</v>
      </c>
      <c r="F724" t="str">
        <f>VLOOKUP($A724,[1]Table!$A$2:$N895,F$1,FALSE)</f>
        <v>TERRA CORTRIL + POLYMYCINE B OORZALF 3.5G</v>
      </c>
      <c r="G724" t="str">
        <f>VLOOKUP($A724,[1]Table!$A$2:$N895,G$1,FALSE)</f>
        <v>HYDROC/OXYTETRA/POLYM OORZA</v>
      </c>
      <c r="H724" t="str">
        <f>VLOOKUP($A724,[1]Table!$A$2:$N895,H$1,FALSE)</f>
        <v>oorzalf</v>
      </c>
      <c r="I724" t="str">
        <f>VLOOKUP($A724,[1]Table!$A$2:$N895,I$1,FALSE)</f>
        <v>oor</v>
      </c>
      <c r="J724">
        <f>VLOOKUP($A724,[1]Table!$A$2:$N895,J$1,FALSE)</f>
        <v>10</v>
      </c>
      <c r="K724" t="str">
        <f>VLOOKUP($A724,[1]Table!$A$2:$N895,K$1,FALSE)</f>
        <v>mg/gr</v>
      </c>
      <c r="L724">
        <f>VLOOKUP($A724,[1]Table!$A$2:$N895,L$1,FALSE)</f>
        <v>10</v>
      </c>
      <c r="M724" t="str">
        <f>VLOOKUP($A724,[1]Table!$A$2:$N895,M$1,FALSE)</f>
        <v>mg</v>
      </c>
      <c r="N724" t="str">
        <f>VLOOKUP($A724,[1]Table!$A$2:$N895,N$1,FALSE)</f>
        <v>Otitis externa||Loopoor bij otitis media in aanwezigheid van perforatie of buisje (zie waarschuwing) ||Postoperatief||Loopoor bij Otitis Media in aanwezigheid van perforatie of buisje</v>
      </c>
      <c r="O724" t="str">
        <f>ConcatenateRange(AZ724:BU724,"||")</f>
        <v/>
      </c>
      <c r="AZ724" t="str">
        <f t="shared" si="264"/>
        <v/>
      </c>
      <c r="BA724" t="str">
        <f t="shared" si="265"/>
        <v/>
      </c>
      <c r="BB724" t="str">
        <f t="shared" si="266"/>
        <v/>
      </c>
      <c r="BC724" t="str">
        <f t="shared" si="267"/>
        <v/>
      </c>
      <c r="BD724" t="str">
        <f t="shared" si="268"/>
        <v/>
      </c>
      <c r="BE724" t="str">
        <f t="shared" si="269"/>
        <v/>
      </c>
      <c r="BF724" t="str">
        <f t="shared" si="270"/>
        <v/>
      </c>
      <c r="BG724" t="str">
        <f t="shared" si="271"/>
        <v/>
      </c>
      <c r="BH724" t="str">
        <f t="shared" si="272"/>
        <v/>
      </c>
      <c r="BI724" t="str">
        <f t="shared" si="273"/>
        <v/>
      </c>
      <c r="BJ724" t="str">
        <f t="shared" si="274"/>
        <v/>
      </c>
      <c r="BK724" t="str">
        <f t="shared" si="275"/>
        <v/>
      </c>
      <c r="BL724" t="str">
        <f t="shared" si="276"/>
        <v/>
      </c>
      <c r="BM724" t="str">
        <f t="shared" si="277"/>
        <v/>
      </c>
      <c r="BN724" t="str">
        <f t="shared" si="278"/>
        <v/>
      </c>
      <c r="BO724" t="str">
        <f t="shared" si="279"/>
        <v/>
      </c>
      <c r="BP724" t="str">
        <f t="shared" si="280"/>
        <v/>
      </c>
      <c r="BQ724" t="str">
        <f t="shared" si="281"/>
        <v/>
      </c>
      <c r="BR724" t="str">
        <f t="shared" si="282"/>
        <v/>
      </c>
      <c r="BS724" t="str">
        <f t="shared" si="283"/>
        <v/>
      </c>
      <c r="BT724" t="str">
        <f t="shared" si="284"/>
        <v/>
      </c>
      <c r="BU724" t="str">
        <f t="shared" si="285"/>
        <v/>
      </c>
    </row>
    <row r="725" spans="1:73">
      <c r="A725" s="1">
        <v>101370</v>
      </c>
      <c r="B725" t="str">
        <f>VLOOKUP($A725,[1]Table!$A$2:$N896,B$1,FALSE)</f>
        <v>D07XA01</v>
      </c>
      <c r="C725" t="str">
        <f>VLOOKUP($A725,[1]Table!$A$2:$N896,C$1,FALSE)</f>
        <v>DERMATOLOGISCHE CORTICOSTEROIDEN</v>
      </c>
      <c r="D725" t="str">
        <f>VLOOKUP($A725,[1]Table!$A$2:$N896,D$1,FALSE)</f>
        <v>CORTICOSTEROIDEN MET OVERIGE MIDDELEN</v>
      </c>
      <c r="E725" t="str">
        <f>VLOOKUP($A725,[1]Table!$A$2:$N896,E$1,FALSE)</f>
        <v>HYDROCORTISON/UREUM</v>
      </c>
      <c r="F725" t="str">
        <f>VLOOKUP($A725,[1]Table!$A$2:$N896,F$1,FALSE)</f>
        <v>HYDROCORTISON 1% UREUM 10% CREME TUBE 30 GRAM</v>
      </c>
      <c r="G725" t="str">
        <f>VLOOKUP($A725,[1]Table!$A$2:$N896,G$1,FALSE)</f>
        <v>HYDROCORTISON/UREUM CREME</v>
      </c>
      <c r="H725" t="str">
        <f>VLOOKUP($A725,[1]Table!$A$2:$N896,H$1,FALSE)</f>
        <v>creme</v>
      </c>
      <c r="I725" t="str">
        <f>VLOOKUP($A725,[1]Table!$A$2:$N896,I$1,FALSE)</f>
        <v>cutaan</v>
      </c>
      <c r="J725">
        <f>VLOOKUP($A725,[1]Table!$A$2:$N896,J$1,FALSE)</f>
        <v>10</v>
      </c>
      <c r="K725" t="str">
        <f>VLOOKUP($A725,[1]Table!$A$2:$N896,K$1,FALSE)</f>
        <v>mg/gr</v>
      </c>
      <c r="L725">
        <f>VLOOKUP($A725,[1]Table!$A$2:$N896,L$1,FALSE)</f>
        <v>10</v>
      </c>
      <c r="M725" t="str">
        <f>VLOOKUP($A725,[1]Table!$A$2:$N896,M$1,FALSE)</f>
        <v>mg</v>
      </c>
      <c r="N725" t="str">
        <f>VLOOKUP($A725,[1]Table!$A$2:$N896,N$1,FALSE)</f>
        <v>Huidinfecties door dermatofyten of candida-soorten</v>
      </c>
      <c r="O725" t="str">
        <f>ConcatenateRange(AZ725:BU725,"||")</f>
        <v/>
      </c>
      <c r="AZ725" t="str">
        <f t="shared" si="264"/>
        <v/>
      </c>
      <c r="BA725" t="str">
        <f t="shared" si="265"/>
        <v/>
      </c>
      <c r="BB725" t="str">
        <f t="shared" si="266"/>
        <v/>
      </c>
      <c r="BC725" t="str">
        <f t="shared" si="267"/>
        <v/>
      </c>
      <c r="BD725" t="str">
        <f t="shared" si="268"/>
        <v/>
      </c>
      <c r="BE725" t="str">
        <f t="shared" si="269"/>
        <v/>
      </c>
      <c r="BF725" t="str">
        <f t="shared" si="270"/>
        <v/>
      </c>
      <c r="BG725" t="str">
        <f t="shared" si="271"/>
        <v/>
      </c>
      <c r="BH725" t="str">
        <f t="shared" si="272"/>
        <v/>
      </c>
      <c r="BI725" t="str">
        <f t="shared" si="273"/>
        <v/>
      </c>
      <c r="BJ725" t="str">
        <f t="shared" si="274"/>
        <v/>
      </c>
      <c r="BK725" t="str">
        <f t="shared" si="275"/>
        <v/>
      </c>
      <c r="BL725" t="str">
        <f t="shared" si="276"/>
        <v/>
      </c>
      <c r="BM725" t="str">
        <f t="shared" si="277"/>
        <v/>
      </c>
      <c r="BN725" t="str">
        <f t="shared" si="278"/>
        <v/>
      </c>
      <c r="BO725" t="str">
        <f t="shared" si="279"/>
        <v/>
      </c>
      <c r="BP725" t="str">
        <f t="shared" si="280"/>
        <v/>
      </c>
      <c r="BQ725" t="str">
        <f t="shared" si="281"/>
        <v/>
      </c>
      <c r="BR725" t="str">
        <f t="shared" si="282"/>
        <v/>
      </c>
      <c r="BS725" t="str">
        <f t="shared" si="283"/>
        <v/>
      </c>
      <c r="BT725" t="str">
        <f t="shared" si="284"/>
        <v/>
      </c>
      <c r="BU725" t="str">
        <f t="shared" si="285"/>
        <v/>
      </c>
    </row>
    <row r="726" spans="1:73">
      <c r="A726" s="1">
        <v>49441</v>
      </c>
      <c r="B726" t="str">
        <f>VLOOKUP($A726,[1]Table!$A$2:$N897,B$1,FALSE)</f>
        <v>B03BA03</v>
      </c>
      <c r="C726" t="str">
        <f>VLOOKUP($A726,[1]Table!$A$2:$N897,C$1,FALSE)</f>
        <v>MIDDELEN BIJ ANEMIE</v>
      </c>
      <c r="D726" t="str">
        <f>VLOOKUP($A726,[1]Table!$A$2:$N897,D$1,FALSE)</f>
        <v>VITAMINE B12 EN FOLIUMZUUR</v>
      </c>
      <c r="E726" t="str">
        <f>VLOOKUP($A726,[1]Table!$A$2:$N897,E$1,FALSE)</f>
        <v>HYDROXOCOBALAMINE</v>
      </c>
      <c r="F726" t="str">
        <f>VLOOKUP($A726,[1]Table!$A$2:$N897,F$1,FALSE)</f>
        <v>HYDROCOBAMINE 500 MICROG/ML AMPUL 2ML</v>
      </c>
      <c r="G726" t="str">
        <f>VLOOKUP($A726,[1]Table!$A$2:$N897,G$1,FALSE)</f>
        <v>HYDROXOCOBALAMINE 500UG/ML</v>
      </c>
      <c r="H726" t="str">
        <f>VLOOKUP($A726,[1]Table!$A$2:$N897,H$1,FALSE)</f>
        <v>injectievloeistof</v>
      </c>
      <c r="I726" t="str">
        <f>VLOOKUP($A726,[1]Table!$A$2:$N897,I$1,FALSE)</f>
        <v>im||sc</v>
      </c>
      <c r="J726">
        <f>VLOOKUP($A726,[1]Table!$A$2:$N897,J$1,FALSE)</f>
        <v>500</v>
      </c>
      <c r="K726" t="str">
        <f>VLOOKUP($A726,[1]Table!$A$2:$N897,K$1,FALSE)</f>
        <v>mcg/ml</v>
      </c>
      <c r="L726">
        <f>VLOOKUP($A726,[1]Table!$A$2:$N897,L$1,FALSE)</f>
        <v>500</v>
      </c>
      <c r="M726" t="str">
        <f>VLOOKUP($A726,[1]Table!$A$2:$N897,M$1,FALSE)</f>
        <v>mcg</v>
      </c>
      <c r="N726" t="str">
        <f>VLOOKUP($A726,[1]Table!$A$2:$N897,N$1,FALSE)</f>
        <v>Megaloblastaire anemie||Cystathione beta synthese deficientie||Functionele defecten van methionine synthase en functionele defecten van methylmalonyl mutase plus methionine sytnhase</v>
      </c>
      <c r="O726" t="str">
        <f>ConcatenateRange(AZ726:BU726,"||")</f>
        <v/>
      </c>
      <c r="AZ726" t="str">
        <f t="shared" si="264"/>
        <v/>
      </c>
      <c r="BA726" t="str">
        <f t="shared" si="265"/>
        <v/>
      </c>
      <c r="BB726" t="str">
        <f t="shared" si="266"/>
        <v/>
      </c>
      <c r="BC726" t="str">
        <f t="shared" si="267"/>
        <v/>
      </c>
      <c r="BD726" t="str">
        <f t="shared" si="268"/>
        <v/>
      </c>
      <c r="BE726" t="str">
        <f t="shared" si="269"/>
        <v/>
      </c>
      <c r="BF726" t="str">
        <f t="shared" si="270"/>
        <v/>
      </c>
      <c r="BG726" t="str">
        <f t="shared" si="271"/>
        <v/>
      </c>
      <c r="BH726" t="str">
        <f t="shared" si="272"/>
        <v/>
      </c>
      <c r="BI726" t="str">
        <f t="shared" si="273"/>
        <v/>
      </c>
      <c r="BJ726" t="str">
        <f t="shared" si="274"/>
        <v/>
      </c>
      <c r="BK726" t="str">
        <f t="shared" si="275"/>
        <v/>
      </c>
      <c r="BL726" t="str">
        <f t="shared" si="276"/>
        <v/>
      </c>
      <c r="BM726" t="str">
        <f t="shared" si="277"/>
        <v/>
      </c>
      <c r="BN726" t="str">
        <f t="shared" si="278"/>
        <v/>
      </c>
      <c r="BO726" t="str">
        <f t="shared" si="279"/>
        <v/>
      </c>
      <c r="BP726" t="str">
        <f t="shared" si="280"/>
        <v/>
      </c>
      <c r="BQ726" t="str">
        <f t="shared" si="281"/>
        <v/>
      </c>
      <c r="BR726" t="str">
        <f t="shared" si="282"/>
        <v/>
      </c>
      <c r="BS726" t="str">
        <f t="shared" si="283"/>
        <v/>
      </c>
      <c r="BT726" t="str">
        <f t="shared" si="284"/>
        <v/>
      </c>
      <c r="BU726" t="str">
        <f t="shared" si="285"/>
        <v/>
      </c>
    </row>
    <row r="727" spans="1:73">
      <c r="A727" s="1">
        <v>112615</v>
      </c>
      <c r="B727" t="str">
        <f>VLOOKUP($A727,[1]Table!$A$2:$N898,B$1,FALSE)</f>
        <v>P01BA02</v>
      </c>
      <c r="C727" t="str">
        <f>VLOOKUP($A727,[1]Table!$A$2:$N898,C$1,FALSE)</f>
        <v>ANTIPROTOZOICA</v>
      </c>
      <c r="D727" t="str">
        <f>VLOOKUP($A727,[1]Table!$A$2:$N898,D$1,FALSE)</f>
        <v>MALARIAMIDDELEN</v>
      </c>
      <c r="E727" t="str">
        <f>VLOOKUP($A727,[1]Table!$A$2:$N898,E$1,FALSE)</f>
        <v>HYDROXYCHLOROQUINE 200 MG TABLET OMHULD</v>
      </c>
      <c r="F727" t="str">
        <f>VLOOKUP($A727,[1]Table!$A$2:$N898,F$1,FALSE)</f>
        <v>PLAQUENIL 200 MG TABLET OMHULD</v>
      </c>
      <c r="G727" t="str">
        <f>VLOOKUP($A727,[1]Table!$A$2:$N898,G$1,FALSE)</f>
        <v>HYDROXYCHLOROQUIN 200MG TAB</v>
      </c>
      <c r="H727" t="str">
        <f>VLOOKUP($A727,[1]Table!$A$2:$N898,H$1,FALSE)</f>
        <v>omhulde tablet</v>
      </c>
      <c r="I727" t="str">
        <f>VLOOKUP($A727,[1]Table!$A$2:$N898,I$1,FALSE)</f>
        <v>or</v>
      </c>
      <c r="J727">
        <f>VLOOKUP($A727,[1]Table!$A$2:$N898,J$1,FALSE)</f>
        <v>200</v>
      </c>
      <c r="K727" t="str">
        <f>VLOOKUP($A727,[1]Table!$A$2:$N898,K$1,FALSE)</f>
        <v>mg/stuk</v>
      </c>
      <c r="L727">
        <f>VLOOKUP($A727,[1]Table!$A$2:$N898,L$1,FALSE)</f>
        <v>200</v>
      </c>
      <c r="M727" t="str">
        <f>VLOOKUP($A727,[1]Table!$A$2:$N898,M$1,FALSE)</f>
        <v>mg</v>
      </c>
      <c r="N727" t="str">
        <f>VLOOKUP($A727,[1]Table!$A$2:$N898,N$1,FALSE)</f>
        <v>Juveniele Idiopathische Arthritis (JIA) en Systemische Lupus Erythematodes (SLE)||Profylaxe malaria||Behandeling malaria tropica</v>
      </c>
      <c r="O727" t="str">
        <f>ConcatenateRange(AZ727:BU727,"||")</f>
        <v/>
      </c>
      <c r="AZ727" t="str">
        <f t="shared" si="264"/>
        <v/>
      </c>
      <c r="BA727" t="str">
        <f t="shared" si="265"/>
        <v/>
      </c>
      <c r="BB727" t="str">
        <f t="shared" si="266"/>
        <v/>
      </c>
      <c r="BC727" t="str">
        <f t="shared" si="267"/>
        <v/>
      </c>
      <c r="BD727" t="str">
        <f t="shared" si="268"/>
        <v/>
      </c>
      <c r="BE727" t="str">
        <f t="shared" si="269"/>
        <v/>
      </c>
      <c r="BF727" t="str">
        <f t="shared" si="270"/>
        <v/>
      </c>
      <c r="BG727" t="str">
        <f t="shared" si="271"/>
        <v/>
      </c>
      <c r="BH727" t="str">
        <f t="shared" si="272"/>
        <v/>
      </c>
      <c r="BI727" t="str">
        <f t="shared" si="273"/>
        <v/>
      </c>
      <c r="BJ727" t="str">
        <f t="shared" si="274"/>
        <v/>
      </c>
      <c r="BK727" t="str">
        <f t="shared" si="275"/>
        <v/>
      </c>
      <c r="BL727" t="str">
        <f t="shared" si="276"/>
        <v/>
      </c>
      <c r="BM727" t="str">
        <f t="shared" si="277"/>
        <v/>
      </c>
      <c r="BN727" t="str">
        <f t="shared" si="278"/>
        <v/>
      </c>
      <c r="BO727" t="str">
        <f t="shared" si="279"/>
        <v/>
      </c>
      <c r="BP727" t="str">
        <f t="shared" si="280"/>
        <v/>
      </c>
      <c r="BQ727" t="str">
        <f t="shared" si="281"/>
        <v/>
      </c>
      <c r="BR727" t="str">
        <f t="shared" si="282"/>
        <v/>
      </c>
      <c r="BS727" t="str">
        <f t="shared" si="283"/>
        <v/>
      </c>
      <c r="BT727" t="str">
        <f t="shared" si="284"/>
        <v/>
      </c>
      <c r="BU727" t="str">
        <f t="shared" si="285"/>
        <v/>
      </c>
    </row>
    <row r="728" spans="1:73">
      <c r="A728" s="1">
        <v>103640</v>
      </c>
      <c r="B728" t="str">
        <f>VLOOKUP($A728,[1]Table!$A$2:$N899,B$1,FALSE)</f>
        <v>N05BB01</v>
      </c>
      <c r="C728" t="str">
        <f>VLOOKUP($A728,[1]Table!$A$2:$N899,C$1,FALSE)</f>
        <v>PSYCHOLEPTICA</v>
      </c>
      <c r="D728" t="str">
        <f>VLOOKUP($A728,[1]Table!$A$2:$N899,D$1,FALSE)</f>
        <v>ANXIOLYTICA</v>
      </c>
      <c r="E728" t="str">
        <f>VLOOKUP($A728,[1]Table!$A$2:$N899,E$1,FALSE)</f>
        <v>HYDROXYZINE</v>
      </c>
      <c r="F728" t="str">
        <f>VLOOKUP($A728,[1]Table!$A$2:$N899,F$1,FALSE)</f>
        <v>HYDROXYZINI HCL 10 MG TABLET OMHULD</v>
      </c>
      <c r="G728" t="str">
        <f>VLOOKUP($A728,[1]Table!$A$2:$N899,G$1,FALSE)</f>
        <v>HYDROXYZINE 10MG TAB OMHULD</v>
      </c>
      <c r="H728" t="str">
        <f>VLOOKUP($A728,[1]Table!$A$2:$N899,H$1,FALSE)</f>
        <v>omhulde tablet</v>
      </c>
      <c r="I728" t="str">
        <f>VLOOKUP($A728,[1]Table!$A$2:$N899,I$1,FALSE)</f>
        <v>or</v>
      </c>
      <c r="J728">
        <f>VLOOKUP($A728,[1]Table!$A$2:$N899,J$1,FALSE)</f>
        <v>10</v>
      </c>
      <c r="K728" t="str">
        <f>VLOOKUP($A728,[1]Table!$A$2:$N899,K$1,FALSE)</f>
        <v>mg/stuk</v>
      </c>
      <c r="L728">
        <f>VLOOKUP($A728,[1]Table!$A$2:$N899,L$1,FALSE)</f>
        <v>10</v>
      </c>
      <c r="M728" t="str">
        <f>VLOOKUP($A728,[1]Table!$A$2:$N899,M$1,FALSE)</f>
        <v>mg</v>
      </c>
      <c r="N728" t="str">
        <f>VLOOKUP($A728,[1]Table!$A$2:$N899,N$1,FALSE)</f>
        <v>Ernstige jeuk</v>
      </c>
      <c r="O728" t="str">
        <f>ConcatenateRange(AZ728:BU728,"||")</f>
        <v/>
      </c>
      <c r="AZ728" t="str">
        <f t="shared" si="264"/>
        <v/>
      </c>
      <c r="BA728" t="str">
        <f t="shared" si="265"/>
        <v/>
      </c>
      <c r="BB728" t="str">
        <f t="shared" si="266"/>
        <v/>
      </c>
      <c r="BC728" t="str">
        <f t="shared" si="267"/>
        <v/>
      </c>
      <c r="BD728" t="str">
        <f t="shared" si="268"/>
        <v/>
      </c>
      <c r="BE728" t="str">
        <f t="shared" si="269"/>
        <v/>
      </c>
      <c r="BF728" t="str">
        <f t="shared" si="270"/>
        <v/>
      </c>
      <c r="BG728" t="str">
        <f t="shared" si="271"/>
        <v/>
      </c>
      <c r="BH728" t="str">
        <f t="shared" si="272"/>
        <v/>
      </c>
      <c r="BI728" t="str">
        <f t="shared" si="273"/>
        <v/>
      </c>
      <c r="BJ728" t="str">
        <f t="shared" si="274"/>
        <v/>
      </c>
      <c r="BK728" t="str">
        <f t="shared" si="275"/>
        <v/>
      </c>
      <c r="BL728" t="str">
        <f t="shared" si="276"/>
        <v/>
      </c>
      <c r="BM728" t="str">
        <f t="shared" si="277"/>
        <v/>
      </c>
      <c r="BN728" t="str">
        <f t="shared" si="278"/>
        <v/>
      </c>
      <c r="BO728" t="str">
        <f t="shared" si="279"/>
        <v/>
      </c>
      <c r="BP728" t="str">
        <f t="shared" si="280"/>
        <v/>
      </c>
      <c r="BQ728" t="str">
        <f t="shared" si="281"/>
        <v/>
      </c>
      <c r="BR728" t="str">
        <f t="shared" si="282"/>
        <v/>
      </c>
      <c r="BS728" t="str">
        <f t="shared" si="283"/>
        <v/>
      </c>
      <c r="BT728" t="str">
        <f t="shared" si="284"/>
        <v/>
      </c>
      <c r="BU728" t="str">
        <f t="shared" si="285"/>
        <v/>
      </c>
    </row>
    <row r="729" spans="1:73">
      <c r="A729" s="1">
        <v>103659</v>
      </c>
      <c r="B729" t="str">
        <f>VLOOKUP($A729,[1]Table!$A$2:$N900,B$1,FALSE)</f>
        <v>N05BB01</v>
      </c>
      <c r="C729" t="str">
        <f>VLOOKUP($A729,[1]Table!$A$2:$N900,C$1,FALSE)</f>
        <v>PSYCHOLEPTICA</v>
      </c>
      <c r="D729" t="str">
        <f>VLOOKUP($A729,[1]Table!$A$2:$N900,D$1,FALSE)</f>
        <v>ANXIOLYTICA</v>
      </c>
      <c r="E729" t="str">
        <f>VLOOKUP($A729,[1]Table!$A$2:$N900,E$1,FALSE)</f>
        <v>HYDROXYZINE</v>
      </c>
      <c r="F729" t="str">
        <f>VLOOKUP($A729,[1]Table!$A$2:$N900,F$1,FALSE)</f>
        <v>HYDROXYZINI HCL 25 MG TABLET OMHULD</v>
      </c>
      <c r="G729" t="str">
        <f>VLOOKUP($A729,[1]Table!$A$2:$N900,G$1,FALSE)</f>
        <v>HYDROXYZINE 25MG TAB OMHULD</v>
      </c>
      <c r="H729" t="str">
        <f>VLOOKUP($A729,[1]Table!$A$2:$N900,H$1,FALSE)</f>
        <v>omhulde tablet</v>
      </c>
      <c r="I729" t="str">
        <f>VLOOKUP($A729,[1]Table!$A$2:$N900,I$1,FALSE)</f>
        <v>or</v>
      </c>
      <c r="J729">
        <f>VLOOKUP($A729,[1]Table!$A$2:$N900,J$1,FALSE)</f>
        <v>25</v>
      </c>
      <c r="K729" t="str">
        <f>VLOOKUP($A729,[1]Table!$A$2:$N900,K$1,FALSE)</f>
        <v>mg/stuk</v>
      </c>
      <c r="L729">
        <f>VLOOKUP($A729,[1]Table!$A$2:$N900,L$1,FALSE)</f>
        <v>25</v>
      </c>
      <c r="M729" t="str">
        <f>VLOOKUP($A729,[1]Table!$A$2:$N900,M$1,FALSE)</f>
        <v>mg</v>
      </c>
      <c r="N729" t="str">
        <f>VLOOKUP($A729,[1]Table!$A$2:$N900,N$1,FALSE)</f>
        <v>Ernstige jeuk</v>
      </c>
      <c r="O729" t="str">
        <f>ConcatenateRange(AZ729:BU729,"||")</f>
        <v/>
      </c>
      <c r="AZ729" t="str">
        <f t="shared" si="264"/>
        <v/>
      </c>
      <c r="BA729" t="str">
        <f t="shared" si="265"/>
        <v/>
      </c>
      <c r="BB729" t="str">
        <f t="shared" si="266"/>
        <v/>
      </c>
      <c r="BC729" t="str">
        <f t="shared" si="267"/>
        <v/>
      </c>
      <c r="BD729" t="str">
        <f t="shared" si="268"/>
        <v/>
      </c>
      <c r="BE729" t="str">
        <f t="shared" si="269"/>
        <v/>
      </c>
      <c r="BF729" t="str">
        <f t="shared" si="270"/>
        <v/>
      </c>
      <c r="BG729" t="str">
        <f t="shared" si="271"/>
        <v/>
      </c>
      <c r="BH729" t="str">
        <f t="shared" si="272"/>
        <v/>
      </c>
      <c r="BI729" t="str">
        <f t="shared" si="273"/>
        <v/>
      </c>
      <c r="BJ729" t="str">
        <f t="shared" si="274"/>
        <v/>
      </c>
      <c r="BK729" t="str">
        <f t="shared" si="275"/>
        <v/>
      </c>
      <c r="BL729" t="str">
        <f t="shared" si="276"/>
        <v/>
      </c>
      <c r="BM729" t="str">
        <f t="shared" si="277"/>
        <v/>
      </c>
      <c r="BN729" t="str">
        <f t="shared" si="278"/>
        <v/>
      </c>
      <c r="BO729" t="str">
        <f t="shared" si="279"/>
        <v/>
      </c>
      <c r="BP729" t="str">
        <f t="shared" si="280"/>
        <v/>
      </c>
      <c r="BQ729" t="str">
        <f t="shared" si="281"/>
        <v/>
      </c>
      <c r="BR729" t="str">
        <f t="shared" si="282"/>
        <v/>
      </c>
      <c r="BS729" t="str">
        <f t="shared" si="283"/>
        <v/>
      </c>
      <c r="BT729" t="str">
        <f t="shared" si="284"/>
        <v/>
      </c>
      <c r="BU729" t="str">
        <f t="shared" si="285"/>
        <v/>
      </c>
    </row>
    <row r="730" spans="1:73">
      <c r="A730" s="1">
        <v>41009</v>
      </c>
      <c r="B730" t="str">
        <f>VLOOKUP($A730,[1]Table!$A$2:$N901,B$1,FALSE)</f>
        <v>S01XA20</v>
      </c>
      <c r="C730" t="str">
        <f>VLOOKUP($A730,[1]Table!$A$2:$N901,C$1,FALSE)</f>
        <v>MIDDELEN VOOR OOGHEELKUNDIG GEBRUIK</v>
      </c>
      <c r="D730" t="str">
        <f>VLOOKUP($A730,[1]Table!$A$2:$N901,D$1,FALSE)</f>
        <v>OVERIGE MIDDELEN VOOR OOGHEELKUNDIG GEBRUIK</v>
      </c>
      <c r="E730" t="str">
        <f>VLOOKUP($A730,[1]Table!$A$2:$N901,E$1,FALSE)</f>
        <v>HYPROMELLOSE</v>
      </c>
      <c r="F730" t="str">
        <f>VLOOKUP($A730,[1]Table!$A$2:$N901,F$1,FALSE)</f>
        <v>HYPROMELLOSE 0,3% OOGDRUPPELS 10 ML</v>
      </c>
      <c r="G730" t="str">
        <f>VLOOKUP($A730,[1]Table!$A$2:$N901,G$1,FALSE)</f>
        <v>HYPROMELLOSE 3MG/ML OOGDR</v>
      </c>
      <c r="H730" t="str">
        <f>VLOOKUP($A730,[1]Table!$A$2:$N901,H$1,FALSE)</f>
        <v>oogdruppels</v>
      </c>
      <c r="I730" t="str">
        <f>VLOOKUP($A730,[1]Table!$A$2:$N901,I$1,FALSE)</f>
        <v>oog</v>
      </c>
      <c r="J730">
        <f>VLOOKUP($A730,[1]Table!$A$2:$N901,J$1,FALSE)</f>
        <v>3</v>
      </c>
      <c r="K730" t="str">
        <f>VLOOKUP($A730,[1]Table!$A$2:$N901,K$1,FALSE)</f>
        <v>mg/ml</v>
      </c>
      <c r="L730">
        <f>VLOOKUP($A730,[1]Table!$A$2:$N901,L$1,FALSE)</f>
        <v>3</v>
      </c>
      <c r="M730" t="str">
        <f>VLOOKUP($A730,[1]Table!$A$2:$N901,M$1,FALSE)</f>
        <v>mg</v>
      </c>
      <c r="N730" t="str">
        <f>VLOOKUP($A730,[1]Table!$A$2:$N901,N$1,FALSE)</f>
        <v>Verminderde traansecretie/uitdroging</v>
      </c>
      <c r="O730" t="str">
        <f>ConcatenateRange(AZ730:BU730,"||")</f>
        <v/>
      </c>
      <c r="AZ730" t="str">
        <f t="shared" si="264"/>
        <v/>
      </c>
      <c r="BA730" t="str">
        <f t="shared" si="265"/>
        <v/>
      </c>
      <c r="BB730" t="str">
        <f t="shared" si="266"/>
        <v/>
      </c>
      <c r="BC730" t="str">
        <f t="shared" si="267"/>
        <v/>
      </c>
      <c r="BD730" t="str">
        <f t="shared" si="268"/>
        <v/>
      </c>
      <c r="BE730" t="str">
        <f t="shared" si="269"/>
        <v/>
      </c>
      <c r="BF730" t="str">
        <f t="shared" si="270"/>
        <v/>
      </c>
      <c r="BG730" t="str">
        <f t="shared" si="271"/>
        <v/>
      </c>
      <c r="BH730" t="str">
        <f t="shared" si="272"/>
        <v/>
      </c>
      <c r="BI730" t="str">
        <f t="shared" si="273"/>
        <v/>
      </c>
      <c r="BJ730" t="str">
        <f t="shared" si="274"/>
        <v/>
      </c>
      <c r="BK730" t="str">
        <f t="shared" si="275"/>
        <v/>
      </c>
      <c r="BL730" t="str">
        <f t="shared" si="276"/>
        <v/>
      </c>
      <c r="BM730" t="str">
        <f t="shared" si="277"/>
        <v/>
      </c>
      <c r="BN730" t="str">
        <f t="shared" si="278"/>
        <v/>
      </c>
      <c r="BO730" t="str">
        <f t="shared" si="279"/>
        <v/>
      </c>
      <c r="BP730" t="str">
        <f t="shared" si="280"/>
        <v/>
      </c>
      <c r="BQ730" t="str">
        <f t="shared" si="281"/>
        <v/>
      </c>
      <c r="BR730" t="str">
        <f t="shared" si="282"/>
        <v/>
      </c>
      <c r="BS730" t="str">
        <f t="shared" si="283"/>
        <v/>
      </c>
      <c r="BT730" t="str">
        <f t="shared" si="284"/>
        <v/>
      </c>
      <c r="BU730" t="str">
        <f t="shared" si="285"/>
        <v/>
      </c>
    </row>
    <row r="731" spans="1:73">
      <c r="A731" s="1">
        <v>135593</v>
      </c>
      <c r="B731" t="str">
        <f>VLOOKUP($A731,[1]Table!$A$2:$N902,B$1,FALSE)</f>
        <v>S01XA20</v>
      </c>
      <c r="C731" t="str">
        <f>VLOOKUP($A731,[1]Table!$A$2:$N902,C$1,FALSE)</f>
        <v>MIDDELEN VOOR OOGHEELKUNDIG GEBRUIK</v>
      </c>
      <c r="D731" t="str">
        <f>VLOOKUP($A731,[1]Table!$A$2:$N902,D$1,FALSE)</f>
        <v>OVERIGE MIDDELEN VOOR OOGHEELKUNDIG GEBRUIK</v>
      </c>
      <c r="E731" t="str">
        <f>VLOOKUP($A731,[1]Table!$A$2:$N902,E$1,FALSE)</f>
        <v>HYPROMELLOSE</v>
      </c>
      <c r="F731" t="str">
        <f>VLOOKUP($A731,[1]Table!$A$2:$N902,F$1,FALSE)</f>
        <v>ARTELAC 0,32 % OOGDRUPPELS 10ML</v>
      </c>
      <c r="G731" t="str">
        <f>VLOOKUP($A731,[1]Table!$A$2:$N902,G$1,FALSE)</f>
        <v>HYPROMELLOSE 3,2MG/ML OOGDR</v>
      </c>
      <c r="H731" t="str">
        <f>VLOOKUP($A731,[1]Table!$A$2:$N902,H$1,FALSE)</f>
        <v>oogdruppels</v>
      </c>
      <c r="I731" t="str">
        <f>VLOOKUP($A731,[1]Table!$A$2:$N902,I$1,FALSE)</f>
        <v>oog</v>
      </c>
      <c r="J731">
        <f>VLOOKUP($A731,[1]Table!$A$2:$N902,J$1,FALSE)</f>
        <v>3.2</v>
      </c>
      <c r="K731" t="str">
        <f>VLOOKUP($A731,[1]Table!$A$2:$N902,K$1,FALSE)</f>
        <v>mg/ml</v>
      </c>
      <c r="L731">
        <f>VLOOKUP($A731,[1]Table!$A$2:$N902,L$1,FALSE)</f>
        <v>3.2</v>
      </c>
      <c r="M731" t="str">
        <f>VLOOKUP($A731,[1]Table!$A$2:$N902,M$1,FALSE)</f>
        <v>mg</v>
      </c>
      <c r="N731" t="str">
        <f>VLOOKUP($A731,[1]Table!$A$2:$N902,N$1,FALSE)</f>
        <v>Verminderde traansecretie/uitdroging</v>
      </c>
      <c r="O731" t="str">
        <f>ConcatenateRange(AZ731:BU731,"||")</f>
        <v/>
      </c>
      <c r="AZ731" t="str">
        <f t="shared" si="264"/>
        <v/>
      </c>
      <c r="BA731" t="str">
        <f t="shared" si="265"/>
        <v/>
      </c>
      <c r="BB731" t="str">
        <f t="shared" si="266"/>
        <v/>
      </c>
      <c r="BC731" t="str">
        <f t="shared" si="267"/>
        <v/>
      </c>
      <c r="BD731" t="str">
        <f t="shared" si="268"/>
        <v/>
      </c>
      <c r="BE731" t="str">
        <f t="shared" si="269"/>
        <v/>
      </c>
      <c r="BF731" t="str">
        <f t="shared" si="270"/>
        <v/>
      </c>
      <c r="BG731" t="str">
        <f t="shared" si="271"/>
        <v/>
      </c>
      <c r="BH731" t="str">
        <f t="shared" si="272"/>
        <v/>
      </c>
      <c r="BI731" t="str">
        <f t="shared" si="273"/>
        <v/>
      </c>
      <c r="BJ731" t="str">
        <f t="shared" si="274"/>
        <v/>
      </c>
      <c r="BK731" t="str">
        <f t="shared" si="275"/>
        <v/>
      </c>
      <c r="BL731" t="str">
        <f t="shared" si="276"/>
        <v/>
      </c>
      <c r="BM731" t="str">
        <f t="shared" si="277"/>
        <v/>
      </c>
      <c r="BN731" t="str">
        <f t="shared" si="278"/>
        <v/>
      </c>
      <c r="BO731" t="str">
        <f t="shared" si="279"/>
        <v/>
      </c>
      <c r="BP731" t="str">
        <f t="shared" si="280"/>
        <v/>
      </c>
      <c r="BQ731" t="str">
        <f t="shared" si="281"/>
        <v/>
      </c>
      <c r="BR731" t="str">
        <f t="shared" si="282"/>
        <v/>
      </c>
      <c r="BS731" t="str">
        <f t="shared" si="283"/>
        <v/>
      </c>
      <c r="BT731" t="str">
        <f t="shared" si="284"/>
        <v/>
      </c>
      <c r="BU731" t="str">
        <f t="shared" si="285"/>
        <v/>
      </c>
    </row>
    <row r="732" spans="1:73">
      <c r="A732" s="1">
        <v>81159</v>
      </c>
      <c r="B732" t="str">
        <f>VLOOKUP($A732,[1]Table!$A$2:$N903,B$1,FALSE)</f>
        <v>M01AE01</v>
      </c>
      <c r="C732" t="str">
        <f>VLOOKUP($A732,[1]Table!$A$2:$N903,C$1,FALSE)</f>
        <v>ANTI-INFLAMMATOIRE EN ANTIREUMATISCHE MIDDELEN</v>
      </c>
      <c r="D732" t="str">
        <f>VLOOKUP($A732,[1]Table!$A$2:$N903,D$1,FALSE)</f>
        <v>NIET-STEROIDE ANTI-INFLAMMATOIRE EN ANTIREUMATISCHE MIDD.</v>
      </c>
      <c r="E732" t="str">
        <f>VLOOKUP($A732,[1]Table!$A$2:$N903,E$1,FALSE)</f>
        <v>IBUPROFEN</v>
      </c>
      <c r="F732" t="str">
        <f>VLOOKUP($A732,[1]Table!$A$2:$N903,F$1,FALSE)</f>
        <v>IBUPROFEN 600 MG BRUISGRANULAAT</v>
      </c>
      <c r="G732" t="str">
        <f>VLOOKUP($A732,[1]Table!$A$2:$N903,G$1,FALSE)</f>
        <v>IBUPROFEN 600MG BRUISGRANUL</v>
      </c>
      <c r="H732" t="str">
        <f>VLOOKUP($A732,[1]Table!$A$2:$N903,H$1,FALSE)</f>
        <v>bruisgranulaat</v>
      </c>
      <c r="I732" t="str">
        <f>VLOOKUP($A732,[1]Table!$A$2:$N903,I$1,FALSE)</f>
        <v>or</v>
      </c>
      <c r="J732">
        <f>VLOOKUP($A732,[1]Table!$A$2:$N903,J$1,FALSE)</f>
        <v>600</v>
      </c>
      <c r="K732" t="str">
        <f>VLOOKUP($A732,[1]Table!$A$2:$N903,K$1,FALSE)</f>
        <v>mg/stuk</v>
      </c>
      <c r="L732">
        <f>VLOOKUP($A732,[1]Table!$A$2:$N903,L$1,FALSE)</f>
        <v>600</v>
      </c>
      <c r="M732" t="str">
        <f>VLOOKUP($A732,[1]Table!$A$2:$N903,M$1,FALSE)</f>
        <v>mg</v>
      </c>
      <c r="N732" t="str">
        <f>VLOOKUP($A732,[1]Table!$A$2:$N903,N$1,FALSE)</f>
        <v>Koorts en pijn||Preventie en behandeling acute pijn/post-operatieve pijn||Pijn, ontstekingsactiviteit en koorts bij Juveniele Idiopatische Arthritis (JIA)||Migraine aanval||Sluiten ductus arteriosus</v>
      </c>
      <c r="O732" t="str">
        <f>ConcatenateRange(AZ732:BU732,"||")</f>
        <v/>
      </c>
      <c r="AZ732" t="str">
        <f t="shared" si="264"/>
        <v/>
      </c>
      <c r="BA732" t="str">
        <f t="shared" si="265"/>
        <v/>
      </c>
      <c r="BB732" t="str">
        <f t="shared" si="266"/>
        <v/>
      </c>
      <c r="BC732" t="str">
        <f t="shared" si="267"/>
        <v/>
      </c>
      <c r="BD732" t="str">
        <f t="shared" si="268"/>
        <v/>
      </c>
      <c r="BE732" t="str">
        <f t="shared" si="269"/>
        <v/>
      </c>
      <c r="BF732" t="str">
        <f t="shared" si="270"/>
        <v/>
      </c>
      <c r="BG732" t="str">
        <f t="shared" si="271"/>
        <v/>
      </c>
      <c r="BH732" t="str">
        <f t="shared" si="272"/>
        <v/>
      </c>
      <c r="BI732" t="str">
        <f t="shared" si="273"/>
        <v/>
      </c>
      <c r="BJ732" t="str">
        <f t="shared" si="274"/>
        <v/>
      </c>
      <c r="BK732" t="str">
        <f t="shared" si="275"/>
        <v/>
      </c>
      <c r="BL732" t="str">
        <f t="shared" si="276"/>
        <v/>
      </c>
      <c r="BM732" t="str">
        <f t="shared" si="277"/>
        <v/>
      </c>
      <c r="BN732" t="str">
        <f t="shared" si="278"/>
        <v/>
      </c>
      <c r="BO732" t="str">
        <f t="shared" si="279"/>
        <v/>
      </c>
      <c r="BP732" t="str">
        <f t="shared" si="280"/>
        <v/>
      </c>
      <c r="BQ732" t="str">
        <f t="shared" si="281"/>
        <v/>
      </c>
      <c r="BR732" t="str">
        <f t="shared" si="282"/>
        <v/>
      </c>
      <c r="BS732" t="str">
        <f t="shared" si="283"/>
        <v/>
      </c>
      <c r="BT732" t="str">
        <f t="shared" si="284"/>
        <v/>
      </c>
      <c r="BU732" t="str">
        <f t="shared" si="285"/>
        <v/>
      </c>
    </row>
    <row r="733" spans="1:73">
      <c r="A733" s="1">
        <v>13218</v>
      </c>
      <c r="B733" t="str">
        <f>VLOOKUP($A733,[1]Table!$A$2:$N904,B$1,FALSE)</f>
        <v>M01AE01</v>
      </c>
      <c r="C733" t="str">
        <f>VLOOKUP($A733,[1]Table!$A$2:$N904,C$1,FALSE)</f>
        <v>ANTI-INFLAMMATOIRE EN ANTIREUMATISCHE MIDDELEN</v>
      </c>
      <c r="D733" t="str">
        <f>VLOOKUP($A733,[1]Table!$A$2:$N904,D$1,FALSE)</f>
        <v>NIET-STEROIDE ANTI-INFLAMMATOIRE EN ANTIREUMATISCHE MIDD.</v>
      </c>
      <c r="E733" t="str">
        <f>VLOOKUP($A733,[1]Table!$A$2:$N904,E$1,FALSE)</f>
        <v>IBUPROFEN</v>
      </c>
      <c r="F733" t="str">
        <f>VLOOKUP($A733,[1]Table!$A$2:$N904,F$1,FALSE)</f>
        <v>IBUPROFEN 400 MG DRAGEE</v>
      </c>
      <c r="G733" t="str">
        <f>VLOOKUP($A733,[1]Table!$A$2:$N904,G$1,FALSE)</f>
        <v>IBUPROFEN 400MG DRAGEE</v>
      </c>
      <c r="H733" t="str">
        <f>VLOOKUP($A733,[1]Table!$A$2:$N904,H$1,FALSE)</f>
        <v>dragee</v>
      </c>
      <c r="I733" t="str">
        <f>VLOOKUP($A733,[1]Table!$A$2:$N904,I$1,FALSE)</f>
        <v>or</v>
      </c>
      <c r="J733">
        <f>VLOOKUP($A733,[1]Table!$A$2:$N904,J$1,FALSE)</f>
        <v>400</v>
      </c>
      <c r="K733" t="str">
        <f>VLOOKUP($A733,[1]Table!$A$2:$N904,K$1,FALSE)</f>
        <v>mg/stuk</v>
      </c>
      <c r="L733">
        <f>VLOOKUP($A733,[1]Table!$A$2:$N904,L$1,FALSE)</f>
        <v>400</v>
      </c>
      <c r="M733" t="str">
        <f>VLOOKUP($A733,[1]Table!$A$2:$N904,M$1,FALSE)</f>
        <v>mg</v>
      </c>
      <c r="N733" t="str">
        <f>VLOOKUP($A733,[1]Table!$A$2:$N904,N$1,FALSE)</f>
        <v>Koorts en pijn||Preventie en behandeling acute pijn/post-operatieve pijn||Pijn, ontstekingsactiviteit en koorts bij Juveniele Idiopatische Arthritis (JIA)||Migraine aanval||Sluiten ductus arteriosus</v>
      </c>
      <c r="O733" t="str">
        <f>ConcatenateRange(AZ733:BU733,"||")</f>
        <v/>
      </c>
      <c r="AZ733" t="str">
        <f t="shared" ref="AZ733:AZ795" si="286">IF(AA733&lt;&gt;0,AA$2,"")</f>
        <v/>
      </c>
      <c r="BA733" t="str">
        <f t="shared" ref="BA733:BA795" si="287">IF(AB733&lt;&gt;0,AB$2,"")</f>
        <v/>
      </c>
      <c r="BB733" t="str">
        <f t="shared" ref="BB733:BB795" si="288">IF(AC733&lt;&gt;0,AC$2,"")</f>
        <v/>
      </c>
      <c r="BC733" t="str">
        <f t="shared" ref="BC733:BC795" si="289">IF(AD733&lt;&gt;0,AD$2,"")</f>
        <v/>
      </c>
      <c r="BD733" t="str">
        <f t="shared" ref="BD733:BD795" si="290">IF(AE733&lt;&gt;0,AE$2,"")</f>
        <v/>
      </c>
      <c r="BE733" t="str">
        <f t="shared" ref="BE733:BE795" si="291">IF(AF733&lt;&gt;0,AF$2,"")</f>
        <v/>
      </c>
      <c r="BF733" t="str">
        <f t="shared" ref="BF733:BF795" si="292">IF(AG733&lt;&gt;0,AG$2,"")</f>
        <v/>
      </c>
      <c r="BG733" t="str">
        <f t="shared" ref="BG733:BG795" si="293">IF(AH733&lt;&gt;0,AH$2,"")</f>
        <v/>
      </c>
      <c r="BH733" t="str">
        <f t="shared" ref="BH733:BH795" si="294">IF(AI733&lt;&gt;0,AI$2,"")</f>
        <v/>
      </c>
      <c r="BI733" t="str">
        <f t="shared" ref="BI733:BI795" si="295">IF(AJ733&lt;&gt;0,AJ$2,"")</f>
        <v/>
      </c>
      <c r="BJ733" t="str">
        <f t="shared" ref="BJ733:BJ795" si="296">IF(AK733&lt;&gt;0,AK$2,"")</f>
        <v/>
      </c>
      <c r="BK733" t="str">
        <f t="shared" ref="BK733:BK795" si="297">IF(AL733&lt;&gt;0,AL$2,"")</f>
        <v/>
      </c>
      <c r="BL733" t="str">
        <f t="shared" ref="BL733:BL795" si="298">IF(AM733&lt;&gt;0,AM$2,"")</f>
        <v/>
      </c>
      <c r="BM733" t="str">
        <f t="shared" ref="BM733:BM795" si="299">IF(AN733&lt;&gt;0,AN$2,"")</f>
        <v/>
      </c>
      <c r="BN733" t="str">
        <f t="shared" ref="BN733:BN795" si="300">IF(AO733&lt;&gt;0,AO$2,"")</f>
        <v/>
      </c>
      <c r="BO733" t="str">
        <f t="shared" ref="BO733:BO795" si="301">IF(AP733&lt;&gt;0,AP$2,"")</f>
        <v/>
      </c>
      <c r="BP733" t="str">
        <f t="shared" ref="BP733:BP795" si="302">IF(AQ733&lt;&gt;0,AQ$2,"")</f>
        <v/>
      </c>
      <c r="BQ733" t="str">
        <f t="shared" ref="BQ733:BQ795" si="303">IF(AR733&lt;&gt;0,AR$2,"")</f>
        <v/>
      </c>
      <c r="BR733" t="str">
        <f t="shared" ref="BR733:BR795" si="304">IF(AS733&lt;&gt;0,AS$2,"")</f>
        <v/>
      </c>
      <c r="BS733" t="str">
        <f t="shared" ref="BS733:BS795" si="305">IF(AT733&lt;&gt;0,AT$2,"")</f>
        <v/>
      </c>
      <c r="BT733" t="str">
        <f t="shared" ref="BT733:BT795" si="306">IF(AU733&lt;&gt;0,AU$2,"")</f>
        <v/>
      </c>
      <c r="BU733" t="str">
        <f t="shared" ref="BU733:BU795" si="307">IF(AV733&lt;&gt;0,AV$2,"")</f>
        <v/>
      </c>
    </row>
    <row r="734" spans="1:73">
      <c r="A734" s="9">
        <v>125679</v>
      </c>
      <c r="B734" t="str">
        <f>VLOOKUP($A734,[1]Table!$A$2:$N1699,B$1,FALSE)</f>
        <v>C01EB16</v>
      </c>
      <c r="C734" t="str">
        <f>VLOOKUP($A734,[1]Table!$A$2:$N1699,C$1,FALSE)</f>
        <v>ANTI-INFLAMMATOIRE EN ANTIREUMATISCHE MIDDELEN</v>
      </c>
      <c r="D734" t="str">
        <f>VLOOKUP($A734,[1]Table!$A$2:$N1699,D$1,FALSE)</f>
        <v>NIET-STEROIDE ANTI-INFLAMMATOIRE EN ANTIREUMATISCHE MIDD.</v>
      </c>
      <c r="E734" t="str">
        <f>VLOOKUP($A734,[1]Table!$A$2:$N1699,E$1,FALSE)</f>
        <v>IBUPROFEN</v>
      </c>
      <c r="F734" t="str">
        <f>VLOOKUP($A734,[1]Table!$A$2:$N1699,F$1,FALSE)</f>
        <v>PEDEA 5 MG/ML INJVLST AMP 2ML</v>
      </c>
      <c r="G734" t="str">
        <f>VLOOKUP($A734,[1]Table!$A$2:$N1699,G$1,FALSE)</f>
        <v>IBUPROFEN 5MG/ML INJVLST</v>
      </c>
      <c r="H734" t="str">
        <f>VLOOKUP($A734,[1]Table!$A$2:$N1699,H$1,FALSE)</f>
        <v>injectievloeistof</v>
      </c>
      <c r="I734" t="str">
        <f>VLOOKUP($A734,[1]Table!$A$2:$N1699,I$1,FALSE)</f>
        <v>iv</v>
      </c>
      <c r="J734">
        <f>VLOOKUP($A734,[1]Table!$A$2:$N1699,J$1,FALSE)</f>
        <v>5</v>
      </c>
      <c r="K734" t="str">
        <f>VLOOKUP($A734,[1]Table!$A$2:$N1699,K$1,FALSE)</f>
        <v>mg/ml</v>
      </c>
      <c r="L734">
        <f>VLOOKUP($A734,[1]Table!$A$2:$N1699,L$1,FALSE)</f>
        <v>0.5</v>
      </c>
      <c r="M734" t="str">
        <f>VLOOKUP($A734,[1]Table!$A$2:$N1699,M$1,FALSE)</f>
        <v>mg</v>
      </c>
      <c r="N734" t="str">
        <f>VLOOKUP($A734,[1]Table!$A$2:$N1699,N$1,FALSE)</f>
        <v>Koorts en pijn||Preventie en behandeling acute pijn/post-operatieve pijn||Pijn, ontstekingsactiviteit en koorts bij Juveniele Idiopatische Arthritis (JIA)||Migraine aanval||Sluiten ductus arteriosus</v>
      </c>
      <c r="AZ734" t="str">
        <f t="shared" si="286"/>
        <v/>
      </c>
      <c r="BA734" t="str">
        <f t="shared" si="287"/>
        <v/>
      </c>
      <c r="BB734" t="str">
        <f t="shared" si="288"/>
        <v/>
      </c>
      <c r="BC734" t="str">
        <f t="shared" si="289"/>
        <v/>
      </c>
      <c r="BD734" t="str">
        <f t="shared" si="290"/>
        <v/>
      </c>
      <c r="BE734" t="str">
        <f t="shared" si="291"/>
        <v/>
      </c>
      <c r="BF734" t="str">
        <f t="shared" si="292"/>
        <v/>
      </c>
      <c r="BG734" t="str">
        <f t="shared" si="293"/>
        <v/>
      </c>
      <c r="BH734" t="str">
        <f t="shared" si="294"/>
        <v/>
      </c>
      <c r="BI734" t="str">
        <f t="shared" si="295"/>
        <v/>
      </c>
      <c r="BJ734" t="str">
        <f t="shared" si="296"/>
        <v/>
      </c>
      <c r="BK734" t="str">
        <f t="shared" si="297"/>
        <v/>
      </c>
      <c r="BL734" t="str">
        <f t="shared" si="298"/>
        <v/>
      </c>
      <c r="BM734" t="str">
        <f t="shared" si="299"/>
        <v/>
      </c>
      <c r="BN734" t="str">
        <f t="shared" si="300"/>
        <v/>
      </c>
      <c r="BO734" t="str">
        <f t="shared" si="301"/>
        <v/>
      </c>
      <c r="BP734" t="str">
        <f t="shared" si="302"/>
        <v/>
      </c>
      <c r="BQ734" t="str">
        <f t="shared" si="303"/>
        <v/>
      </c>
      <c r="BR734" t="str">
        <f t="shared" si="304"/>
        <v/>
      </c>
      <c r="BS734" t="str">
        <f t="shared" si="305"/>
        <v/>
      </c>
      <c r="BT734" t="str">
        <f t="shared" si="306"/>
        <v/>
      </c>
      <c r="BU734" t="str">
        <f t="shared" si="307"/>
        <v/>
      </c>
    </row>
    <row r="735" spans="1:73">
      <c r="A735" s="1">
        <v>50423</v>
      </c>
      <c r="B735" t="str">
        <f>VLOOKUP($A735,[1]Table!$A$2:$N905,B$1,FALSE)</f>
        <v>M01AE01</v>
      </c>
      <c r="C735" t="str">
        <f>VLOOKUP($A735,[1]Table!$A$2:$N905,C$1,FALSE)</f>
        <v>ANTI-INFLAMMATOIRE EN ANTIREUMATISCHE MIDDELEN</v>
      </c>
      <c r="D735" t="str">
        <f>VLOOKUP($A735,[1]Table!$A$2:$N905,D$1,FALSE)</f>
        <v>NIET-STEROIDE ANTI-INFLAMMATOIRE EN ANTIREUMATISCHE MIDD.</v>
      </c>
      <c r="E735" t="str">
        <f>VLOOKUP($A735,[1]Table!$A$2:$N905,E$1,FALSE)</f>
        <v>IBUPROFEN</v>
      </c>
      <c r="F735" t="str">
        <f>VLOOKUP($A735,[1]Table!$A$2:$N905,F$1,FALSE)</f>
        <v>NUROFEN 20 MG/ML SUSPENSIE 100ML</v>
      </c>
      <c r="G735" t="str">
        <f>VLOOKUP($A735,[1]Table!$A$2:$N905,G$1,FALSE)</f>
        <v>IBUPROFEN 20MG/ML SUSPENSIE</v>
      </c>
      <c r="H735" t="str">
        <f>VLOOKUP($A735,[1]Table!$A$2:$N905,H$1,FALSE)</f>
        <v>suspensie voor oraal gebruik</v>
      </c>
      <c r="I735" t="str">
        <f>VLOOKUP($A735,[1]Table!$A$2:$N905,I$1,FALSE)</f>
        <v>or</v>
      </c>
      <c r="J735">
        <f>VLOOKUP($A735,[1]Table!$A$2:$N905,J$1,FALSE)</f>
        <v>20</v>
      </c>
      <c r="K735" t="str">
        <f>VLOOKUP($A735,[1]Table!$A$2:$N905,K$1,FALSE)</f>
        <v>mg/ml</v>
      </c>
      <c r="L735">
        <f>VLOOKUP($A735,[1]Table!$A$2:$N905,L$1,FALSE)</f>
        <v>20</v>
      </c>
      <c r="M735" t="str">
        <f>VLOOKUP($A735,[1]Table!$A$2:$N905,M$1,FALSE)</f>
        <v>mg</v>
      </c>
      <c r="N735" t="str">
        <f>VLOOKUP($A735,[1]Table!$A$2:$N905,N$1,FALSE)</f>
        <v>Koorts en pijn||Preventie en behandeling acute pijn/post-operatieve pijn||Pijn, ontstekingsactiviteit en koorts bij Juveniele Idiopatische Arthritis (JIA)||Migraine aanval||Sluiten ductus arteriosus</v>
      </c>
      <c r="O735" t="str">
        <f>ConcatenateRange(AZ735:BU735,"||")</f>
        <v/>
      </c>
      <c r="AZ735" t="str">
        <f t="shared" si="286"/>
        <v/>
      </c>
      <c r="BA735" t="str">
        <f t="shared" si="287"/>
        <v/>
      </c>
      <c r="BB735" t="str">
        <f t="shared" si="288"/>
        <v/>
      </c>
      <c r="BC735" t="str">
        <f t="shared" si="289"/>
        <v/>
      </c>
      <c r="BD735" t="str">
        <f t="shared" si="290"/>
        <v/>
      </c>
      <c r="BE735" t="str">
        <f t="shared" si="291"/>
        <v/>
      </c>
      <c r="BF735" t="str">
        <f t="shared" si="292"/>
        <v/>
      </c>
      <c r="BG735" t="str">
        <f t="shared" si="293"/>
        <v/>
      </c>
      <c r="BH735" t="str">
        <f t="shared" si="294"/>
        <v/>
      </c>
      <c r="BI735" t="str">
        <f t="shared" si="295"/>
        <v/>
      </c>
      <c r="BJ735" t="str">
        <f t="shared" si="296"/>
        <v/>
      </c>
      <c r="BK735" t="str">
        <f t="shared" si="297"/>
        <v/>
      </c>
      <c r="BL735" t="str">
        <f t="shared" si="298"/>
        <v/>
      </c>
      <c r="BM735" t="str">
        <f t="shared" si="299"/>
        <v/>
      </c>
      <c r="BN735" t="str">
        <f t="shared" si="300"/>
        <v/>
      </c>
      <c r="BO735" t="str">
        <f t="shared" si="301"/>
        <v/>
      </c>
      <c r="BP735" t="str">
        <f t="shared" si="302"/>
        <v/>
      </c>
      <c r="BQ735" t="str">
        <f t="shared" si="303"/>
        <v/>
      </c>
      <c r="BR735" t="str">
        <f t="shared" si="304"/>
        <v/>
      </c>
      <c r="BS735" t="str">
        <f t="shared" si="305"/>
        <v/>
      </c>
      <c r="BT735" t="str">
        <f t="shared" si="306"/>
        <v/>
      </c>
      <c r="BU735" t="str">
        <f t="shared" si="307"/>
        <v/>
      </c>
    </row>
    <row r="736" spans="1:73">
      <c r="A736" s="1">
        <v>50997</v>
      </c>
      <c r="B736" t="str">
        <f>VLOOKUP($A736,[1]Table!$A$2:$N906,B$1,FALSE)</f>
        <v>M01AE01</v>
      </c>
      <c r="C736" t="str">
        <f>VLOOKUP($A736,[1]Table!$A$2:$N906,C$1,FALSE)</f>
        <v>ANTI-INFLAMMATOIRE EN ANTIREUMATISCHE MIDDELEN</v>
      </c>
      <c r="D736" t="str">
        <f>VLOOKUP($A736,[1]Table!$A$2:$N906,D$1,FALSE)</f>
        <v>NIET-STEROIDE ANTI-INFLAMMATOIRE EN ANTIREUMATISCHE MIDD.</v>
      </c>
      <c r="E736" t="str">
        <f>VLOOKUP($A736,[1]Table!$A$2:$N906,E$1,FALSE)</f>
        <v>IBUPROFEN</v>
      </c>
      <c r="F736" t="str">
        <f>VLOOKUP($A736,[1]Table!$A$2:$N906,F$1,FALSE)</f>
        <v>IBUPROFEN 200 MG TABLET</v>
      </c>
      <c r="G736" t="str">
        <f>VLOOKUP($A736,[1]Table!$A$2:$N906,G$1,FALSE)</f>
        <v>IBUPROFEN 200MG TABLET</v>
      </c>
      <c r="H736" t="str">
        <f>VLOOKUP($A736,[1]Table!$A$2:$N906,H$1,FALSE)</f>
        <v>tablet</v>
      </c>
      <c r="I736" t="str">
        <f>VLOOKUP($A736,[1]Table!$A$2:$N906,I$1,FALSE)</f>
        <v>or</v>
      </c>
      <c r="J736">
        <f>VLOOKUP($A736,[1]Table!$A$2:$N906,J$1,FALSE)</f>
        <v>200</v>
      </c>
      <c r="K736" t="str">
        <f>VLOOKUP($A736,[1]Table!$A$2:$N906,K$1,FALSE)</f>
        <v>mg/stuk</v>
      </c>
      <c r="L736">
        <f>VLOOKUP($A736,[1]Table!$A$2:$N906,L$1,FALSE)</f>
        <v>200</v>
      </c>
      <c r="M736" t="str">
        <f>VLOOKUP($A736,[1]Table!$A$2:$N906,M$1,FALSE)</f>
        <v>mg</v>
      </c>
      <c r="N736" t="str">
        <f>VLOOKUP($A736,[1]Table!$A$2:$N906,N$1,FALSE)</f>
        <v>Koorts en pijn||Preventie en behandeling acute pijn/post-operatieve pijn||Pijn, ontstekingsactiviteit en koorts bij Juveniele Idiopatische Arthritis (JIA)||Migraine aanval||Sluiten ductus arteriosus</v>
      </c>
      <c r="O736" t="str">
        <f>ConcatenateRange(AZ736:BU736,"||")</f>
        <v/>
      </c>
      <c r="AZ736" t="str">
        <f t="shared" si="286"/>
        <v/>
      </c>
      <c r="BA736" t="str">
        <f t="shared" si="287"/>
        <v/>
      </c>
      <c r="BB736" t="str">
        <f t="shared" si="288"/>
        <v/>
      </c>
      <c r="BC736" t="str">
        <f t="shared" si="289"/>
        <v/>
      </c>
      <c r="BD736" t="str">
        <f t="shared" si="290"/>
        <v/>
      </c>
      <c r="BE736" t="str">
        <f t="shared" si="291"/>
        <v/>
      </c>
      <c r="BF736" t="str">
        <f t="shared" si="292"/>
        <v/>
      </c>
      <c r="BG736" t="str">
        <f t="shared" si="293"/>
        <v/>
      </c>
      <c r="BH736" t="str">
        <f t="shared" si="294"/>
        <v/>
      </c>
      <c r="BI736" t="str">
        <f t="shared" si="295"/>
        <v/>
      </c>
      <c r="BJ736" t="str">
        <f t="shared" si="296"/>
        <v/>
      </c>
      <c r="BK736" t="str">
        <f t="shared" si="297"/>
        <v/>
      </c>
      <c r="BL736" t="str">
        <f t="shared" si="298"/>
        <v/>
      </c>
      <c r="BM736" t="str">
        <f t="shared" si="299"/>
        <v/>
      </c>
      <c r="BN736" t="str">
        <f t="shared" si="300"/>
        <v/>
      </c>
      <c r="BO736" t="str">
        <f t="shared" si="301"/>
        <v/>
      </c>
      <c r="BP736" t="str">
        <f t="shared" si="302"/>
        <v/>
      </c>
      <c r="BQ736" t="str">
        <f t="shared" si="303"/>
        <v/>
      </c>
      <c r="BR736" t="str">
        <f t="shared" si="304"/>
        <v/>
      </c>
      <c r="BS736" t="str">
        <f t="shared" si="305"/>
        <v/>
      </c>
      <c r="BT736" t="str">
        <f t="shared" si="306"/>
        <v/>
      </c>
      <c r="BU736" t="str">
        <f t="shared" si="307"/>
        <v/>
      </c>
    </row>
    <row r="737" spans="1:73">
      <c r="A737" s="1">
        <v>42080</v>
      </c>
      <c r="B737" t="str">
        <f>VLOOKUP($A737,[1]Table!$A$2:$N907,B$1,FALSE)</f>
        <v>M01AE01</v>
      </c>
      <c r="C737" t="str">
        <f>VLOOKUP($A737,[1]Table!$A$2:$N907,C$1,FALSE)</f>
        <v>ANTI-INFLAMMATOIRE EN ANTIREUMATISCHE MIDDELEN</v>
      </c>
      <c r="D737" t="str">
        <f>VLOOKUP($A737,[1]Table!$A$2:$N907,D$1,FALSE)</f>
        <v>NIET-STEROIDE ANTI-INFLAMMATOIRE EN ANTIREUMATISCHE MIDD.</v>
      </c>
      <c r="E737" t="str">
        <f>VLOOKUP($A737,[1]Table!$A$2:$N907,E$1,FALSE)</f>
        <v>IBUPROFEN</v>
      </c>
      <c r="F737" t="str">
        <f>VLOOKUP($A737,[1]Table!$A$2:$N907,F$1,FALSE)</f>
        <v>IBUPROFEN 600 MG TABLET OMHULD</v>
      </c>
      <c r="G737" t="str">
        <f>VLOOKUP($A737,[1]Table!$A$2:$N907,G$1,FALSE)</f>
        <v>IBUPROFEN 600MG TABLET</v>
      </c>
      <c r="H737" t="str">
        <f>VLOOKUP($A737,[1]Table!$A$2:$N907,H$1,FALSE)</f>
        <v>tablet</v>
      </c>
      <c r="I737" t="str">
        <f>VLOOKUP($A737,[1]Table!$A$2:$N907,I$1,FALSE)</f>
        <v>or</v>
      </c>
      <c r="J737">
        <f>VLOOKUP($A737,[1]Table!$A$2:$N907,J$1,FALSE)</f>
        <v>600</v>
      </c>
      <c r="K737" t="str">
        <f>VLOOKUP($A737,[1]Table!$A$2:$N907,K$1,FALSE)</f>
        <v>mg/stuk</v>
      </c>
      <c r="L737">
        <f>VLOOKUP($A737,[1]Table!$A$2:$N907,L$1,FALSE)</f>
        <v>600</v>
      </c>
      <c r="M737" t="str">
        <f>VLOOKUP($A737,[1]Table!$A$2:$N907,M$1,FALSE)</f>
        <v>mg</v>
      </c>
      <c r="N737" t="str">
        <f>VLOOKUP($A737,[1]Table!$A$2:$N907,N$1,FALSE)</f>
        <v>Koorts en pijn||Preventie en behandeling acute pijn/post-operatieve pijn||Pijn, ontstekingsactiviteit en koorts bij Juveniele Idiopatische Arthritis (JIA)||Migraine aanval||Sluiten ductus arteriosus</v>
      </c>
      <c r="O737" t="str">
        <f>ConcatenateRange(AZ737:BU737,"||")</f>
        <v/>
      </c>
      <c r="AZ737" t="str">
        <f t="shared" si="286"/>
        <v/>
      </c>
      <c r="BA737" t="str">
        <f t="shared" si="287"/>
        <v/>
      </c>
      <c r="BB737" t="str">
        <f t="shared" si="288"/>
        <v/>
      </c>
      <c r="BC737" t="str">
        <f t="shared" si="289"/>
        <v/>
      </c>
      <c r="BD737" t="str">
        <f t="shared" si="290"/>
        <v/>
      </c>
      <c r="BE737" t="str">
        <f t="shared" si="291"/>
        <v/>
      </c>
      <c r="BF737" t="str">
        <f t="shared" si="292"/>
        <v/>
      </c>
      <c r="BG737" t="str">
        <f t="shared" si="293"/>
        <v/>
      </c>
      <c r="BH737" t="str">
        <f t="shared" si="294"/>
        <v/>
      </c>
      <c r="BI737" t="str">
        <f t="shared" si="295"/>
        <v/>
      </c>
      <c r="BJ737" t="str">
        <f t="shared" si="296"/>
        <v/>
      </c>
      <c r="BK737" t="str">
        <f t="shared" si="297"/>
        <v/>
      </c>
      <c r="BL737" t="str">
        <f t="shared" si="298"/>
        <v/>
      </c>
      <c r="BM737" t="str">
        <f t="shared" si="299"/>
        <v/>
      </c>
      <c r="BN737" t="str">
        <f t="shared" si="300"/>
        <v/>
      </c>
      <c r="BO737" t="str">
        <f t="shared" si="301"/>
        <v/>
      </c>
      <c r="BP737" t="str">
        <f t="shared" si="302"/>
        <v/>
      </c>
      <c r="BQ737" t="str">
        <f t="shared" si="303"/>
        <v/>
      </c>
      <c r="BR737" t="str">
        <f t="shared" si="304"/>
        <v/>
      </c>
      <c r="BS737" t="str">
        <f t="shared" si="305"/>
        <v/>
      </c>
      <c r="BT737" t="str">
        <f t="shared" si="306"/>
        <v/>
      </c>
      <c r="BU737" t="str">
        <f t="shared" si="307"/>
        <v/>
      </c>
    </row>
    <row r="738" spans="1:73">
      <c r="A738" s="1">
        <v>85200</v>
      </c>
      <c r="B738" t="str">
        <f>VLOOKUP($A738,[1]Table!$A$2:$N908,B$1,FALSE)</f>
        <v>M01AE01</v>
      </c>
      <c r="C738" t="str">
        <f>VLOOKUP($A738,[1]Table!$A$2:$N908,C$1,FALSE)</f>
        <v>ANTI-INFLAMMATOIRE EN ANTIREUMATISCHE MIDDELEN</v>
      </c>
      <c r="D738" t="str">
        <f>VLOOKUP($A738,[1]Table!$A$2:$N908,D$1,FALSE)</f>
        <v>NIET-STEROIDE ANTI-INFLAMMATOIRE EN ANTIREUMATISCHE MIDD.</v>
      </c>
      <c r="E738" t="s">
        <v>105</v>
      </c>
      <c r="F738" t="str">
        <f>VLOOKUP($A738,[1]Table!$A$2:$N908,F$1,FALSE)</f>
        <v>BRUFEN 800 MG TABLET MGA (RETARD)</v>
      </c>
      <c r="G738" t="str">
        <f>VLOOKUP($A738,[1]Table!$A$2:$N908,G$1,FALSE)</f>
        <v>IBUPROFEN 800MG TABLET MGA</v>
      </c>
      <c r="H738" t="str">
        <f>VLOOKUP($A738,[1]Table!$A$2:$N908,H$1,FALSE)</f>
        <v>tablet met gereguleerde afgifte</v>
      </c>
      <c r="I738" t="str">
        <f>VLOOKUP($A738,[1]Table!$A$2:$N908,I$1,FALSE)</f>
        <v>or</v>
      </c>
      <c r="J738">
        <f>VLOOKUP($A738,[1]Table!$A$2:$N908,J$1,FALSE)</f>
        <v>800</v>
      </c>
      <c r="K738" t="str">
        <f>VLOOKUP($A738,[1]Table!$A$2:$N908,K$1,FALSE)</f>
        <v>mg/stuk</v>
      </c>
      <c r="L738">
        <f>VLOOKUP($A738,[1]Table!$A$2:$N908,L$1,FALSE)</f>
        <v>800</v>
      </c>
      <c r="M738" t="str">
        <f>VLOOKUP($A738,[1]Table!$A$2:$N908,M$1,FALSE)</f>
        <v>mg</v>
      </c>
      <c r="N738" t="str">
        <f>VLOOKUP($A738,[1]Table!$A$2:$N908,N$1,FALSE)</f>
        <v>Koorts en pijn||Preventie en behandeling acute pijn/post-operatieve pijn||Pijn, ontstekingsactiviteit en koorts bij Juveniele Idiopatische Arthritis (JIA)||Migraine aanval||Sluiten ductus arteriosus</v>
      </c>
      <c r="O738" t="str">
        <f>ConcatenateRange(AZ738:BU738,"||")</f>
        <v/>
      </c>
      <c r="AZ738" t="str">
        <f t="shared" si="286"/>
        <v/>
      </c>
      <c r="BA738" t="str">
        <f t="shared" si="287"/>
        <v/>
      </c>
      <c r="BB738" t="str">
        <f t="shared" si="288"/>
        <v/>
      </c>
      <c r="BC738" t="str">
        <f t="shared" si="289"/>
        <v/>
      </c>
      <c r="BD738" t="str">
        <f t="shared" si="290"/>
        <v/>
      </c>
      <c r="BE738" t="str">
        <f t="shared" si="291"/>
        <v/>
      </c>
      <c r="BF738" t="str">
        <f t="shared" si="292"/>
        <v/>
      </c>
      <c r="BG738" t="str">
        <f t="shared" si="293"/>
        <v/>
      </c>
      <c r="BH738" t="str">
        <f t="shared" si="294"/>
        <v/>
      </c>
      <c r="BI738" t="str">
        <f t="shared" si="295"/>
        <v/>
      </c>
      <c r="BJ738" t="str">
        <f t="shared" si="296"/>
        <v/>
      </c>
      <c r="BK738" t="str">
        <f t="shared" si="297"/>
        <v/>
      </c>
      <c r="BL738" t="str">
        <f t="shared" si="298"/>
        <v/>
      </c>
      <c r="BM738" t="str">
        <f t="shared" si="299"/>
        <v/>
      </c>
      <c r="BN738" t="str">
        <f t="shared" si="300"/>
        <v/>
      </c>
      <c r="BO738" t="str">
        <f t="shared" si="301"/>
        <v/>
      </c>
      <c r="BP738" t="str">
        <f t="shared" si="302"/>
        <v/>
      </c>
      <c r="BQ738" t="str">
        <f t="shared" si="303"/>
        <v/>
      </c>
      <c r="BR738" t="str">
        <f t="shared" si="304"/>
        <v/>
      </c>
      <c r="BS738" t="str">
        <f t="shared" si="305"/>
        <v/>
      </c>
      <c r="BT738" t="str">
        <f t="shared" si="306"/>
        <v/>
      </c>
      <c r="BU738" t="str">
        <f t="shared" si="307"/>
        <v/>
      </c>
    </row>
    <row r="739" spans="1:73">
      <c r="A739" s="1">
        <v>83305</v>
      </c>
      <c r="B739" t="str">
        <f>VLOOKUP($A739,[1]Table!$A$2:$N909,B$1,FALSE)</f>
        <v>L01DB06</v>
      </c>
      <c r="C739" t="str">
        <f>VLOOKUP($A739,[1]Table!$A$2:$N909,C$1,FALSE)</f>
        <v>ONCOLYTICA</v>
      </c>
      <c r="D739" t="str">
        <f>VLOOKUP($A739,[1]Table!$A$2:$N909,D$1,FALSE)</f>
        <v>CYTOTOXISCHE ANTIBIOTICA  EN VERWANTE VERBINDINGEN</v>
      </c>
      <c r="E739" t="str">
        <f>VLOOKUP($A739,[1]Table!$A$2:$N909,E$1,FALSE)</f>
        <v>IDARUBICINE</v>
      </c>
      <c r="F739" t="str">
        <f>VLOOKUP($A739,[1]Table!$A$2:$N909,F$1,FALSE)</f>
        <v>ZAVEDOS 5MG INJPDR</v>
      </c>
      <c r="G739" t="str">
        <f>VLOOKUP($A739,[1]Table!$A$2:$N909,G$1,FALSE)</f>
        <v>IDARUBICINE 5MG INJPDR</v>
      </c>
      <c r="H739" t="str">
        <f>VLOOKUP($A739,[1]Table!$A$2:$N909,H$1,FALSE)</f>
        <v>poeder voor injectievloeistof</v>
      </c>
      <c r="I739" t="str">
        <f>VLOOKUP($A739,[1]Table!$A$2:$N909,I$1,FALSE)</f>
        <v>iv</v>
      </c>
      <c r="J739">
        <f>VLOOKUP($A739,[1]Table!$A$2:$N909,J$1,FALSE)</f>
        <v>5</v>
      </c>
      <c r="K739" t="str">
        <f>VLOOKUP($A739,[1]Table!$A$2:$N909,K$1,FALSE)</f>
        <v>mg/stuk</v>
      </c>
      <c r="L739">
        <f>VLOOKUP($A739,[1]Table!$A$2:$N909,L$1,FALSE)</f>
        <v>5</v>
      </c>
      <c r="M739" t="str">
        <f>VLOOKUP($A739,[1]Table!$A$2:$N909,M$1,FALSE)</f>
        <v>mg</v>
      </c>
      <c r="N739" t="str">
        <f>VLOOKUP($A739,[1]Table!$A$2:$N909,N$1,FALSE)</f>
        <v>Oncologische aandoeningen</v>
      </c>
      <c r="O739" t="str">
        <f>ConcatenateRange(AZ739:BU739,"||")</f>
        <v/>
      </c>
      <c r="AZ739" t="str">
        <f t="shared" si="286"/>
        <v/>
      </c>
      <c r="BA739" t="str">
        <f t="shared" si="287"/>
        <v/>
      </c>
      <c r="BB739" t="str">
        <f t="shared" si="288"/>
        <v/>
      </c>
      <c r="BC739" t="str">
        <f t="shared" si="289"/>
        <v/>
      </c>
      <c r="BD739" t="str">
        <f t="shared" si="290"/>
        <v/>
      </c>
      <c r="BE739" t="str">
        <f t="shared" si="291"/>
        <v/>
      </c>
      <c r="BF739" t="str">
        <f t="shared" si="292"/>
        <v/>
      </c>
      <c r="BG739" t="str">
        <f t="shared" si="293"/>
        <v/>
      </c>
      <c r="BH739" t="str">
        <f t="shared" si="294"/>
        <v/>
      </c>
      <c r="BI739" t="str">
        <f t="shared" si="295"/>
        <v/>
      </c>
      <c r="BJ739" t="str">
        <f t="shared" si="296"/>
        <v/>
      </c>
      <c r="BK739" t="str">
        <f t="shared" si="297"/>
        <v/>
      </c>
      <c r="BL739" t="str">
        <f t="shared" si="298"/>
        <v/>
      </c>
      <c r="BM739" t="str">
        <f t="shared" si="299"/>
        <v/>
      </c>
      <c r="BN739" t="str">
        <f t="shared" si="300"/>
        <v/>
      </c>
      <c r="BO739" t="str">
        <f t="shared" si="301"/>
        <v/>
      </c>
      <c r="BP739" t="str">
        <f t="shared" si="302"/>
        <v/>
      </c>
      <c r="BQ739" t="str">
        <f t="shared" si="303"/>
        <v/>
      </c>
      <c r="BR739" t="str">
        <f t="shared" si="304"/>
        <v/>
      </c>
      <c r="BS739" t="str">
        <f t="shared" si="305"/>
        <v/>
      </c>
      <c r="BT739" t="str">
        <f t="shared" si="306"/>
        <v/>
      </c>
      <c r="BU739" t="str">
        <f t="shared" si="307"/>
        <v/>
      </c>
    </row>
    <row r="740" spans="1:73">
      <c r="A740" s="1">
        <v>88838</v>
      </c>
      <c r="B740" t="str">
        <f>VLOOKUP($A740,[1]Table!$A$2:$N910,B$1,FALSE)</f>
        <v>L01DB06</v>
      </c>
      <c r="C740" t="str">
        <f>VLOOKUP($A740,[1]Table!$A$2:$N910,C$1,FALSE)</f>
        <v>ONCOLYTICA</v>
      </c>
      <c r="D740" t="str">
        <f>VLOOKUP($A740,[1]Table!$A$2:$N910,D$1,FALSE)</f>
        <v>CYTOTOXISCHE ANTIBIOTICA  EN VERWANTE VERBINDINGEN</v>
      </c>
      <c r="E740" t="str">
        <f>VLOOKUP($A740,[1]Table!$A$2:$N910,E$1,FALSE)</f>
        <v>IDARUBICINE</v>
      </c>
      <c r="F740" t="str">
        <f>VLOOKUP($A740,[1]Table!$A$2:$N910,F$1,FALSE)</f>
        <v>ZAVEDOS 10MG INJPDR</v>
      </c>
      <c r="G740" t="str">
        <f>VLOOKUP($A740,[1]Table!$A$2:$N910,G$1,FALSE)</f>
        <v>IDARUBICINE 10MG INJPDR</v>
      </c>
      <c r="H740" t="str">
        <f>VLOOKUP($A740,[1]Table!$A$2:$N910,H$1,FALSE)</f>
        <v>poeder voor injectievloeistof</v>
      </c>
      <c r="I740" t="str">
        <f>VLOOKUP($A740,[1]Table!$A$2:$N910,I$1,FALSE)</f>
        <v>iv</v>
      </c>
      <c r="J740">
        <f>VLOOKUP($A740,[1]Table!$A$2:$N910,J$1,FALSE)</f>
        <v>10</v>
      </c>
      <c r="K740" t="str">
        <f>VLOOKUP($A740,[1]Table!$A$2:$N910,K$1,FALSE)</f>
        <v>mg/stuk</v>
      </c>
      <c r="L740">
        <f>VLOOKUP($A740,[1]Table!$A$2:$N910,L$1,FALSE)</f>
        <v>10</v>
      </c>
      <c r="M740" t="str">
        <f>VLOOKUP($A740,[1]Table!$A$2:$N910,M$1,FALSE)</f>
        <v>mg</v>
      </c>
      <c r="N740" t="str">
        <f>VLOOKUP($A740,[1]Table!$A$2:$N910,N$1,FALSE)</f>
        <v>Oncologische aandoeningen</v>
      </c>
      <c r="O740" t="str">
        <f>ConcatenateRange(AZ740:BU740,"||")</f>
        <v/>
      </c>
      <c r="AZ740" t="str">
        <f t="shared" si="286"/>
        <v/>
      </c>
      <c r="BA740" t="str">
        <f t="shared" si="287"/>
        <v/>
      </c>
      <c r="BB740" t="str">
        <f t="shared" si="288"/>
        <v/>
      </c>
      <c r="BC740" t="str">
        <f t="shared" si="289"/>
        <v/>
      </c>
      <c r="BD740" t="str">
        <f t="shared" si="290"/>
        <v/>
      </c>
      <c r="BE740" t="str">
        <f t="shared" si="291"/>
        <v/>
      </c>
      <c r="BF740" t="str">
        <f t="shared" si="292"/>
        <v/>
      </c>
      <c r="BG740" t="str">
        <f t="shared" si="293"/>
        <v/>
      </c>
      <c r="BH740" t="str">
        <f t="shared" si="294"/>
        <v/>
      </c>
      <c r="BI740" t="str">
        <f t="shared" si="295"/>
        <v/>
      </c>
      <c r="BJ740" t="str">
        <f t="shared" si="296"/>
        <v/>
      </c>
      <c r="BK740" t="str">
        <f t="shared" si="297"/>
        <v/>
      </c>
      <c r="BL740" t="str">
        <f t="shared" si="298"/>
        <v/>
      </c>
      <c r="BM740" t="str">
        <f t="shared" si="299"/>
        <v/>
      </c>
      <c r="BN740" t="str">
        <f t="shared" si="300"/>
        <v/>
      </c>
      <c r="BO740" t="str">
        <f t="shared" si="301"/>
        <v/>
      </c>
      <c r="BP740" t="str">
        <f t="shared" si="302"/>
        <v/>
      </c>
      <c r="BQ740" t="str">
        <f t="shared" si="303"/>
        <v/>
      </c>
      <c r="BR740" t="str">
        <f t="shared" si="304"/>
        <v/>
      </c>
      <c r="BS740" t="str">
        <f t="shared" si="305"/>
        <v/>
      </c>
      <c r="BT740" t="str">
        <f t="shared" si="306"/>
        <v/>
      </c>
      <c r="BU740" t="str">
        <f t="shared" si="307"/>
        <v/>
      </c>
    </row>
    <row r="741" spans="1:73">
      <c r="A741" s="1">
        <v>36455</v>
      </c>
      <c r="B741" t="str">
        <f>VLOOKUP($A741,[1]Table!$A$2:$N911,B$1,FALSE)</f>
        <v>L01AA06</v>
      </c>
      <c r="C741" t="str">
        <f>VLOOKUP($A741,[1]Table!$A$2:$N911,C$1,FALSE)</f>
        <v>ONCOLYTICA</v>
      </c>
      <c r="D741" t="str">
        <f>VLOOKUP($A741,[1]Table!$A$2:$N911,D$1,FALSE)</f>
        <v>ALKYLERENDE MIDDELEN</v>
      </c>
      <c r="E741" t="str">
        <f>VLOOKUP($A741,[1]Table!$A$2:$N911,E$1,FALSE)</f>
        <v>IFOSFAMIDE</v>
      </c>
      <c r="F741" t="str">
        <f>VLOOKUP($A741,[1]Table!$A$2:$N911,F$1,FALSE)</f>
        <v>HOLOXAN 1000MG INJPOEDER</v>
      </c>
      <c r="G741" t="str">
        <f>VLOOKUP($A741,[1]Table!$A$2:$N911,G$1,FALSE)</f>
        <v>IFOSFAMIDE 1G INJECTIEPDR</v>
      </c>
      <c r="H741" t="str">
        <f>VLOOKUP($A741,[1]Table!$A$2:$N911,H$1,FALSE)</f>
        <v>poeder voor injectievloeistof</v>
      </c>
      <c r="I741" t="str">
        <f>VLOOKUP($A741,[1]Table!$A$2:$N911,I$1,FALSE)</f>
        <v>iv</v>
      </c>
      <c r="J741">
        <f>VLOOKUP($A741,[1]Table!$A$2:$N911,J$1,FALSE)</f>
        <v>1</v>
      </c>
      <c r="K741" t="str">
        <f>VLOOKUP($A741,[1]Table!$A$2:$N911,K$1,FALSE)</f>
        <v>gr/stuk</v>
      </c>
      <c r="L741">
        <f>VLOOKUP($A741,[1]Table!$A$2:$N911,L$1,FALSE)</f>
        <v>1</v>
      </c>
      <c r="M741" t="str">
        <f>VLOOKUP($A741,[1]Table!$A$2:$N911,M$1,FALSE)</f>
        <v>gr</v>
      </c>
      <c r="N741" t="str">
        <f>VLOOKUP($A741,[1]Table!$A$2:$N911,N$1,FALSE)</f>
        <v>Oncologische aandoeningen</v>
      </c>
      <c r="O741" t="str">
        <f>ConcatenateRange(AZ741:BU741,"||")</f>
        <v/>
      </c>
      <c r="AZ741" t="str">
        <f t="shared" si="286"/>
        <v/>
      </c>
      <c r="BA741" t="str">
        <f t="shared" si="287"/>
        <v/>
      </c>
      <c r="BB741" t="str">
        <f t="shared" si="288"/>
        <v/>
      </c>
      <c r="BC741" t="str">
        <f t="shared" si="289"/>
        <v/>
      </c>
      <c r="BD741" t="str">
        <f t="shared" si="290"/>
        <v/>
      </c>
      <c r="BE741" t="str">
        <f t="shared" si="291"/>
        <v/>
      </c>
      <c r="BF741" t="str">
        <f t="shared" si="292"/>
        <v/>
      </c>
      <c r="BG741" t="str">
        <f t="shared" si="293"/>
        <v/>
      </c>
      <c r="BH741" t="str">
        <f t="shared" si="294"/>
        <v/>
      </c>
      <c r="BI741" t="str">
        <f t="shared" si="295"/>
        <v/>
      </c>
      <c r="BJ741" t="str">
        <f t="shared" si="296"/>
        <v/>
      </c>
      <c r="BK741" t="str">
        <f t="shared" si="297"/>
        <v/>
      </c>
      <c r="BL741" t="str">
        <f t="shared" si="298"/>
        <v/>
      </c>
      <c r="BM741" t="str">
        <f t="shared" si="299"/>
        <v/>
      </c>
      <c r="BN741" t="str">
        <f t="shared" si="300"/>
        <v/>
      </c>
      <c r="BO741" t="str">
        <f t="shared" si="301"/>
        <v/>
      </c>
      <c r="BP741" t="str">
        <f t="shared" si="302"/>
        <v/>
      </c>
      <c r="BQ741" t="str">
        <f t="shared" si="303"/>
        <v/>
      </c>
      <c r="BR741" t="str">
        <f t="shared" si="304"/>
        <v/>
      </c>
      <c r="BS741" t="str">
        <f t="shared" si="305"/>
        <v/>
      </c>
      <c r="BT741" t="str">
        <f t="shared" si="306"/>
        <v/>
      </c>
      <c r="BU741" t="str">
        <f t="shared" si="307"/>
        <v/>
      </c>
    </row>
    <row r="742" spans="1:73">
      <c r="A742" s="1">
        <v>36463</v>
      </c>
      <c r="B742" t="str">
        <f>VLOOKUP($A742,[1]Table!$A$2:$N912,B$1,FALSE)</f>
        <v>L01AA06</v>
      </c>
      <c r="C742" t="str">
        <f>VLOOKUP($A742,[1]Table!$A$2:$N912,C$1,FALSE)</f>
        <v>ONCOLYTICA</v>
      </c>
      <c r="D742" t="str">
        <f>VLOOKUP($A742,[1]Table!$A$2:$N912,D$1,FALSE)</f>
        <v>ALKYLERENDE MIDDELEN</v>
      </c>
      <c r="E742" t="str">
        <f>VLOOKUP($A742,[1]Table!$A$2:$N912,E$1,FALSE)</f>
        <v>IFOSFAMIDE</v>
      </c>
      <c r="F742" t="str">
        <f>VLOOKUP($A742,[1]Table!$A$2:$N912,F$1,FALSE)</f>
        <v>HOLOXAN 2000MG INJPOEDER</v>
      </c>
      <c r="G742" t="str">
        <f>VLOOKUP($A742,[1]Table!$A$2:$N912,G$1,FALSE)</f>
        <v>IFOSFAMIDE 2G INJECTIEPDR</v>
      </c>
      <c r="H742" t="str">
        <f>VLOOKUP($A742,[1]Table!$A$2:$N912,H$1,FALSE)</f>
        <v>poeder voor injectievloeistof</v>
      </c>
      <c r="I742" t="str">
        <f>VLOOKUP($A742,[1]Table!$A$2:$N912,I$1,FALSE)</f>
        <v>iv</v>
      </c>
      <c r="J742">
        <f>VLOOKUP($A742,[1]Table!$A$2:$N912,J$1,FALSE)</f>
        <v>2</v>
      </c>
      <c r="K742" t="str">
        <f>VLOOKUP($A742,[1]Table!$A$2:$N912,K$1,FALSE)</f>
        <v>gr/stuk</v>
      </c>
      <c r="L742">
        <f>VLOOKUP($A742,[1]Table!$A$2:$N912,L$1,FALSE)</f>
        <v>2</v>
      </c>
      <c r="M742" t="str">
        <f>VLOOKUP($A742,[1]Table!$A$2:$N912,M$1,FALSE)</f>
        <v>gr</v>
      </c>
      <c r="N742" t="str">
        <f>VLOOKUP($A742,[1]Table!$A$2:$N912,N$1,FALSE)</f>
        <v>Oncologische aandoeningen</v>
      </c>
      <c r="O742" t="str">
        <f>ConcatenateRange(AZ742:BU742,"||")</f>
        <v/>
      </c>
      <c r="AZ742" t="str">
        <f t="shared" si="286"/>
        <v/>
      </c>
      <c r="BA742" t="str">
        <f t="shared" si="287"/>
        <v/>
      </c>
      <c r="BB742" t="str">
        <f t="shared" si="288"/>
        <v/>
      </c>
      <c r="BC742" t="str">
        <f t="shared" si="289"/>
        <v/>
      </c>
      <c r="BD742" t="str">
        <f t="shared" si="290"/>
        <v/>
      </c>
      <c r="BE742" t="str">
        <f t="shared" si="291"/>
        <v/>
      </c>
      <c r="BF742" t="str">
        <f t="shared" si="292"/>
        <v/>
      </c>
      <c r="BG742" t="str">
        <f t="shared" si="293"/>
        <v/>
      </c>
      <c r="BH742" t="str">
        <f t="shared" si="294"/>
        <v/>
      </c>
      <c r="BI742" t="str">
        <f t="shared" si="295"/>
        <v/>
      </c>
      <c r="BJ742" t="str">
        <f t="shared" si="296"/>
        <v/>
      </c>
      <c r="BK742" t="str">
        <f t="shared" si="297"/>
        <v/>
      </c>
      <c r="BL742" t="str">
        <f t="shared" si="298"/>
        <v/>
      </c>
      <c r="BM742" t="str">
        <f t="shared" si="299"/>
        <v/>
      </c>
      <c r="BN742" t="str">
        <f t="shared" si="300"/>
        <v/>
      </c>
      <c r="BO742" t="str">
        <f t="shared" si="301"/>
        <v/>
      </c>
      <c r="BP742" t="str">
        <f t="shared" si="302"/>
        <v/>
      </c>
      <c r="BQ742" t="str">
        <f t="shared" si="303"/>
        <v/>
      </c>
      <c r="BR742" t="str">
        <f t="shared" si="304"/>
        <v/>
      </c>
      <c r="BS742" t="str">
        <f t="shared" si="305"/>
        <v/>
      </c>
      <c r="BT742" t="str">
        <f t="shared" si="306"/>
        <v/>
      </c>
      <c r="BU742" t="str">
        <f t="shared" si="307"/>
        <v/>
      </c>
    </row>
    <row r="743" spans="1:73">
      <c r="A743" s="1">
        <v>36447</v>
      </c>
      <c r="B743" t="str">
        <f>VLOOKUP($A743,[1]Table!$A$2:$N913,B$1,FALSE)</f>
        <v>L01AA06</v>
      </c>
      <c r="C743" t="str">
        <f>VLOOKUP($A743,[1]Table!$A$2:$N913,C$1,FALSE)</f>
        <v>ONCOLYTICA</v>
      </c>
      <c r="D743" t="str">
        <f>VLOOKUP($A743,[1]Table!$A$2:$N913,D$1,FALSE)</f>
        <v>ALKYLERENDE MIDDELEN</v>
      </c>
      <c r="E743" t="str">
        <f>VLOOKUP($A743,[1]Table!$A$2:$N913,E$1,FALSE)</f>
        <v>IFOSFAMIDE</v>
      </c>
      <c r="F743" t="str">
        <f>VLOOKUP($A743,[1]Table!$A$2:$N913,F$1,FALSE)</f>
        <v>HOLOXAN 500MG INJPOEDER</v>
      </c>
      <c r="G743" t="str">
        <f>VLOOKUP($A743,[1]Table!$A$2:$N913,G$1,FALSE)</f>
        <v>IFOSFAMIDE 500MG INJECTIEPD</v>
      </c>
      <c r="H743" t="str">
        <f>VLOOKUP($A743,[1]Table!$A$2:$N913,H$1,FALSE)</f>
        <v>poeder voor injectievloeistof</v>
      </c>
      <c r="I743" t="str">
        <f>VLOOKUP($A743,[1]Table!$A$2:$N913,I$1,FALSE)</f>
        <v>iv</v>
      </c>
      <c r="J743">
        <f>VLOOKUP($A743,[1]Table!$A$2:$N913,J$1,FALSE)</f>
        <v>500</v>
      </c>
      <c r="K743" t="str">
        <f>VLOOKUP($A743,[1]Table!$A$2:$N913,K$1,FALSE)</f>
        <v>mg/stuk</v>
      </c>
      <c r="L743">
        <f>VLOOKUP($A743,[1]Table!$A$2:$N913,L$1,FALSE)</f>
        <v>500</v>
      </c>
      <c r="M743" t="str">
        <f>VLOOKUP($A743,[1]Table!$A$2:$N913,M$1,FALSE)</f>
        <v>mg</v>
      </c>
      <c r="N743" t="str">
        <f>VLOOKUP($A743,[1]Table!$A$2:$N913,N$1,FALSE)</f>
        <v>Oncologische aandoeningen</v>
      </c>
      <c r="O743" t="str">
        <f>ConcatenateRange(AZ743:BU743,"||")</f>
        <v/>
      </c>
      <c r="AZ743" t="str">
        <f t="shared" si="286"/>
        <v/>
      </c>
      <c r="BA743" t="str">
        <f t="shared" si="287"/>
        <v/>
      </c>
      <c r="BB743" t="str">
        <f t="shared" si="288"/>
        <v/>
      </c>
      <c r="BC743" t="str">
        <f t="shared" si="289"/>
        <v/>
      </c>
      <c r="BD743" t="str">
        <f t="shared" si="290"/>
        <v/>
      </c>
      <c r="BE743" t="str">
        <f t="shared" si="291"/>
        <v/>
      </c>
      <c r="BF743" t="str">
        <f t="shared" si="292"/>
        <v/>
      </c>
      <c r="BG743" t="str">
        <f t="shared" si="293"/>
        <v/>
      </c>
      <c r="BH743" t="str">
        <f t="shared" si="294"/>
        <v/>
      </c>
      <c r="BI743" t="str">
        <f t="shared" si="295"/>
        <v/>
      </c>
      <c r="BJ743" t="str">
        <f t="shared" si="296"/>
        <v/>
      </c>
      <c r="BK743" t="str">
        <f t="shared" si="297"/>
        <v/>
      </c>
      <c r="BL743" t="str">
        <f t="shared" si="298"/>
        <v/>
      </c>
      <c r="BM743" t="str">
        <f t="shared" si="299"/>
        <v/>
      </c>
      <c r="BN743" t="str">
        <f t="shared" si="300"/>
        <v/>
      </c>
      <c r="BO743" t="str">
        <f t="shared" si="301"/>
        <v/>
      </c>
      <c r="BP743" t="str">
        <f t="shared" si="302"/>
        <v/>
      </c>
      <c r="BQ743" t="str">
        <f t="shared" si="303"/>
        <v/>
      </c>
      <c r="BR743" t="str">
        <f t="shared" si="304"/>
        <v/>
      </c>
      <c r="BS743" t="str">
        <f t="shared" si="305"/>
        <v/>
      </c>
      <c r="BT743" t="str">
        <f t="shared" si="306"/>
        <v/>
      </c>
      <c r="BU743" t="str">
        <f t="shared" si="307"/>
        <v/>
      </c>
    </row>
    <row r="744" spans="1:73">
      <c r="A744" s="1">
        <v>134813</v>
      </c>
      <c r="B744" t="str">
        <f>VLOOKUP($A744,[1]Table!$A$2:$N914,B$1,FALSE)</f>
        <v>B03AC</v>
      </c>
      <c r="C744">
        <f>VLOOKUP($A744,[1]Table!$A$2:$N914,C$1,FALSE)</f>
        <v>0</v>
      </c>
      <c r="D744">
        <f>VLOOKUP($A744,[1]Table!$A$2:$N914,D$1,FALSE)</f>
        <v>0</v>
      </c>
      <c r="E744" t="str">
        <f>VLOOKUP($A744,[1]Table!$A$2:$N914,E$1,FALSE)</f>
        <v>IJZER(III)ISOMALTOSIDE-1000</v>
      </c>
      <c r="F744" t="str">
        <f>VLOOKUP($A744,[1]Table!$A$2:$N914,F$1,FALSE)</f>
        <v>MONOFER 100 MG/ML INF/INJVLST FLACON 1 ML</v>
      </c>
      <c r="G744" t="str">
        <f>VLOOKUP($A744,[1]Table!$A$2:$N914,G$1,FALSE)</f>
        <v>IJZE(III)ISOMA-1000 100MG/M</v>
      </c>
      <c r="H744" t="str">
        <f>VLOOKUP($A744,[1]Table!$A$2:$N914,H$1,FALSE)</f>
        <v>injectie/infusieoplossing</v>
      </c>
      <c r="I744" t="str">
        <f>VLOOKUP($A744,[1]Table!$A$2:$N914,I$1,FALSE)</f>
        <v>iv</v>
      </c>
      <c r="J744">
        <f>VLOOKUP($A744,[1]Table!$A$2:$N914,J$1,FALSE)</f>
        <v>100</v>
      </c>
      <c r="K744" t="str">
        <f>VLOOKUP($A744,[1]Table!$A$2:$N914,K$1,FALSE)</f>
        <v>mg/ml</v>
      </c>
      <c r="L744">
        <f>VLOOKUP($A744,[1]Table!$A$2:$N914,L$1,FALSE)</f>
        <v>100</v>
      </c>
      <c r="M744" t="str">
        <f>VLOOKUP($A744,[1]Table!$A$2:$N914,M$1,FALSE)</f>
        <v>mg</v>
      </c>
      <c r="N744" t="str">
        <f>VLOOKUP($A744,[1]Table!$A$2:$N914,N$1,FALSE)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44" t="str">
        <f>ConcatenateRange(AZ744:BU744,"||")</f>
        <v/>
      </c>
      <c r="AZ744" t="str">
        <f t="shared" si="286"/>
        <v/>
      </c>
      <c r="BA744" t="str">
        <f t="shared" si="287"/>
        <v/>
      </c>
      <c r="BB744" t="str">
        <f t="shared" si="288"/>
        <v/>
      </c>
      <c r="BC744" t="str">
        <f t="shared" si="289"/>
        <v/>
      </c>
      <c r="BD744" t="str">
        <f t="shared" si="290"/>
        <v/>
      </c>
      <c r="BE744" t="str">
        <f t="shared" si="291"/>
        <v/>
      </c>
      <c r="BF744" t="str">
        <f t="shared" si="292"/>
        <v/>
      </c>
      <c r="BG744" t="str">
        <f t="shared" si="293"/>
        <v/>
      </c>
      <c r="BH744" t="str">
        <f t="shared" si="294"/>
        <v/>
      </c>
      <c r="BI744" t="str">
        <f t="shared" si="295"/>
        <v/>
      </c>
      <c r="BJ744" t="str">
        <f t="shared" si="296"/>
        <v/>
      </c>
      <c r="BK744" t="str">
        <f t="shared" si="297"/>
        <v/>
      </c>
      <c r="BL744" t="str">
        <f t="shared" si="298"/>
        <v/>
      </c>
      <c r="BM744" t="str">
        <f t="shared" si="299"/>
        <v/>
      </c>
      <c r="BN744" t="str">
        <f t="shared" si="300"/>
        <v/>
      </c>
      <c r="BO744" t="str">
        <f t="shared" si="301"/>
        <v/>
      </c>
      <c r="BP744" t="str">
        <f t="shared" si="302"/>
        <v/>
      </c>
      <c r="BQ744" t="str">
        <f t="shared" si="303"/>
        <v/>
      </c>
      <c r="BR744" t="str">
        <f t="shared" si="304"/>
        <v/>
      </c>
      <c r="BS744" t="str">
        <f t="shared" si="305"/>
        <v/>
      </c>
      <c r="BT744" t="str">
        <f t="shared" si="306"/>
        <v/>
      </c>
      <c r="BU744" t="str">
        <f t="shared" si="307"/>
        <v/>
      </c>
    </row>
    <row r="745" spans="1:73">
      <c r="A745" s="1">
        <v>116866</v>
      </c>
      <c r="B745" t="str">
        <f>VLOOKUP($A745,[1]Table!$A$2:$N915,B$1,FALSE)</f>
        <v>B03AC</v>
      </c>
      <c r="C745">
        <f>VLOOKUP($A745,[1]Table!$A$2:$N915,C$1,FALSE)</f>
        <v>0</v>
      </c>
      <c r="D745">
        <f>VLOOKUP($A745,[1]Table!$A$2:$N915,D$1,FALSE)</f>
        <v>0</v>
      </c>
      <c r="E745" t="str">
        <f>VLOOKUP($A745,[1]Table!$A$2:$N915,E$1,FALSE)</f>
        <v>IJZERDEXTRANCOMPLEX</v>
      </c>
      <c r="F745" t="str">
        <f>VLOOKUP($A745,[1]Table!$A$2:$N915,F$1,FALSE)</f>
        <v>COSMOFER 50MG/ML AMPUL 2ML</v>
      </c>
      <c r="G745" t="str">
        <f>VLOOKUP($A745,[1]Table!$A$2:$N915,G$1,FALSE)</f>
        <v>IJZERDEXTRANCOMPLEX 50MG/ML</v>
      </c>
      <c r="H745" t="str">
        <f>VLOOKUP($A745,[1]Table!$A$2:$N915,H$1,FALSE)</f>
        <v>injectievloeistof</v>
      </c>
      <c r="I745" t="str">
        <f>VLOOKUP($A745,[1]Table!$A$2:$N915,I$1,FALSE)</f>
        <v>im||iv</v>
      </c>
      <c r="J745">
        <f>VLOOKUP($A745,[1]Table!$A$2:$N915,J$1,FALSE)</f>
        <v>50</v>
      </c>
      <c r="K745" t="str">
        <f>VLOOKUP($A745,[1]Table!$A$2:$N915,K$1,FALSE)</f>
        <v>mg/ml</v>
      </c>
      <c r="L745">
        <f>VLOOKUP($A745,[1]Table!$A$2:$N915,L$1,FALSE)</f>
        <v>50</v>
      </c>
      <c r="M745" t="str">
        <f>VLOOKUP($A745,[1]Table!$A$2:$N915,M$1,FALSE)</f>
        <v>mg</v>
      </c>
      <c r="N745" t="str">
        <f>VLOOKUP($A745,[1]Table!$A$2:$N915,N$1,FALSE)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45" t="str">
        <f>ConcatenateRange(AZ745:BU745,"||")</f>
        <v/>
      </c>
      <c r="AZ745" t="str">
        <f t="shared" si="286"/>
        <v/>
      </c>
      <c r="BA745" t="str">
        <f t="shared" si="287"/>
        <v/>
      </c>
      <c r="BB745" t="str">
        <f t="shared" si="288"/>
        <v/>
      </c>
      <c r="BC745" t="str">
        <f t="shared" si="289"/>
        <v/>
      </c>
      <c r="BD745" t="str">
        <f t="shared" si="290"/>
        <v/>
      </c>
      <c r="BE745" t="str">
        <f t="shared" si="291"/>
        <v/>
      </c>
      <c r="BF745" t="str">
        <f t="shared" si="292"/>
        <v/>
      </c>
      <c r="BG745" t="str">
        <f t="shared" si="293"/>
        <v/>
      </c>
      <c r="BH745" t="str">
        <f t="shared" si="294"/>
        <v/>
      </c>
      <c r="BI745" t="str">
        <f t="shared" si="295"/>
        <v/>
      </c>
      <c r="BJ745" t="str">
        <f t="shared" si="296"/>
        <v/>
      </c>
      <c r="BK745" t="str">
        <f t="shared" si="297"/>
        <v/>
      </c>
      <c r="BL745" t="str">
        <f t="shared" si="298"/>
        <v/>
      </c>
      <c r="BM745" t="str">
        <f t="shared" si="299"/>
        <v/>
      </c>
      <c r="BN745" t="str">
        <f t="shared" si="300"/>
        <v/>
      </c>
      <c r="BO745" t="str">
        <f t="shared" si="301"/>
        <v/>
      </c>
      <c r="BP745" t="str">
        <f t="shared" si="302"/>
        <v/>
      </c>
      <c r="BQ745" t="str">
        <f t="shared" si="303"/>
        <v/>
      </c>
      <c r="BR745" t="str">
        <f t="shared" si="304"/>
        <v/>
      </c>
      <c r="BS745" t="str">
        <f t="shared" si="305"/>
        <v/>
      </c>
      <c r="BT745" t="str">
        <f t="shared" si="306"/>
        <v/>
      </c>
      <c r="BU745" t="str">
        <f t="shared" si="307"/>
        <v/>
      </c>
    </row>
    <row r="746" spans="1:73">
      <c r="A746" s="1">
        <v>118931</v>
      </c>
      <c r="B746" t="str">
        <f>VLOOKUP($A746,[1]Table!$A$2:$N916,B$1,FALSE)</f>
        <v>L01XE01</v>
      </c>
      <c r="C746" t="str">
        <f>VLOOKUP($A746,[1]Table!$A$2:$N916,C$1,FALSE)</f>
        <v>ONCOLYTICA</v>
      </c>
      <c r="D746" t="str">
        <f>VLOOKUP($A746,[1]Table!$A$2:$N916,D$1,FALSE)</f>
        <v>OVERIGE ONCOLYTICA</v>
      </c>
      <c r="E746" t="str">
        <f>VLOOKUP($A746,[1]Table!$A$2:$N916,E$1,FALSE)</f>
        <v>IMATINIB</v>
      </c>
      <c r="F746" t="str">
        <f>VLOOKUP($A746,[1]Table!$A$2:$N916,F$1,FALSE)</f>
        <v>GLIVEC 100MG TABLET FILMOMHULD</v>
      </c>
      <c r="G746" t="str">
        <f>VLOOKUP($A746,[1]Table!$A$2:$N916,G$1,FALSE)</f>
        <v>IMATINIB 100MG TABLET</v>
      </c>
      <c r="H746" t="str">
        <f>VLOOKUP($A746,[1]Table!$A$2:$N916,H$1,FALSE)</f>
        <v>tablet</v>
      </c>
      <c r="I746" t="str">
        <f>VLOOKUP($A746,[1]Table!$A$2:$N916,I$1,FALSE)</f>
        <v>or</v>
      </c>
      <c r="J746">
        <f>VLOOKUP($A746,[1]Table!$A$2:$N916,J$1,FALSE)</f>
        <v>100</v>
      </c>
      <c r="K746" t="str">
        <f>VLOOKUP($A746,[1]Table!$A$2:$N916,K$1,FALSE)</f>
        <v>mg/stuk</v>
      </c>
      <c r="L746">
        <f>VLOOKUP($A746,[1]Table!$A$2:$N916,L$1,FALSE)</f>
        <v>100</v>
      </c>
      <c r="M746" t="str">
        <f>VLOOKUP($A746,[1]Table!$A$2:$N916,M$1,FALSE)</f>
        <v>mg</v>
      </c>
      <c r="N746" t="str">
        <f>VLOOKUP($A746,[1]Table!$A$2:$N916,N$1,FALSE)</f>
        <v>Oncologische aandoeningen</v>
      </c>
      <c r="O746" t="str">
        <f>ConcatenateRange(AZ746:BU746,"||")</f>
        <v/>
      </c>
      <c r="AZ746" t="str">
        <f t="shared" si="286"/>
        <v/>
      </c>
      <c r="BA746" t="str">
        <f t="shared" si="287"/>
        <v/>
      </c>
      <c r="BB746" t="str">
        <f t="shared" si="288"/>
        <v/>
      </c>
      <c r="BC746" t="str">
        <f t="shared" si="289"/>
        <v/>
      </c>
      <c r="BD746" t="str">
        <f t="shared" si="290"/>
        <v/>
      </c>
      <c r="BE746" t="str">
        <f t="shared" si="291"/>
        <v/>
      </c>
      <c r="BF746" t="str">
        <f t="shared" si="292"/>
        <v/>
      </c>
      <c r="BG746" t="str">
        <f t="shared" si="293"/>
        <v/>
      </c>
      <c r="BH746" t="str">
        <f t="shared" si="294"/>
        <v/>
      </c>
      <c r="BI746" t="str">
        <f t="shared" si="295"/>
        <v/>
      </c>
      <c r="BJ746" t="str">
        <f t="shared" si="296"/>
        <v/>
      </c>
      <c r="BK746" t="str">
        <f t="shared" si="297"/>
        <v/>
      </c>
      <c r="BL746" t="str">
        <f t="shared" si="298"/>
        <v/>
      </c>
      <c r="BM746" t="str">
        <f t="shared" si="299"/>
        <v/>
      </c>
      <c r="BN746" t="str">
        <f t="shared" si="300"/>
        <v/>
      </c>
      <c r="BO746" t="str">
        <f t="shared" si="301"/>
        <v/>
      </c>
      <c r="BP746" t="str">
        <f t="shared" si="302"/>
        <v/>
      </c>
      <c r="BQ746" t="str">
        <f t="shared" si="303"/>
        <v/>
      </c>
      <c r="BR746" t="str">
        <f t="shared" si="304"/>
        <v/>
      </c>
      <c r="BS746" t="str">
        <f t="shared" si="305"/>
        <v/>
      </c>
      <c r="BT746" t="str">
        <f t="shared" si="306"/>
        <v/>
      </c>
      <c r="BU746" t="str">
        <f t="shared" si="307"/>
        <v/>
      </c>
    </row>
    <row r="747" spans="1:73">
      <c r="A747" s="1">
        <v>118958</v>
      </c>
      <c r="B747" t="str">
        <f>VLOOKUP($A747,[1]Table!$A$2:$N917,B$1,FALSE)</f>
        <v>L01XE01</v>
      </c>
      <c r="C747" t="str">
        <f>VLOOKUP($A747,[1]Table!$A$2:$N917,C$1,FALSE)</f>
        <v>ONCOLYTICA</v>
      </c>
      <c r="D747" t="str">
        <f>VLOOKUP($A747,[1]Table!$A$2:$N917,D$1,FALSE)</f>
        <v>OVERIGE ONCOLYTICA</v>
      </c>
      <c r="E747" t="str">
        <f>VLOOKUP($A747,[1]Table!$A$2:$N917,E$1,FALSE)</f>
        <v>IMATINIB</v>
      </c>
      <c r="F747" t="str">
        <f>VLOOKUP($A747,[1]Table!$A$2:$N917,F$1,FALSE)</f>
        <v>GLIVEC 400MG TABLET FILMOMHULD</v>
      </c>
      <c r="G747" t="str">
        <f>VLOOKUP($A747,[1]Table!$A$2:$N917,G$1,FALSE)</f>
        <v>IMATINIB 400MG TABLET</v>
      </c>
      <c r="H747" t="str">
        <f>VLOOKUP($A747,[1]Table!$A$2:$N917,H$1,FALSE)</f>
        <v>tablet</v>
      </c>
      <c r="I747" t="str">
        <f>VLOOKUP($A747,[1]Table!$A$2:$N917,I$1,FALSE)</f>
        <v>or</v>
      </c>
      <c r="J747">
        <f>VLOOKUP($A747,[1]Table!$A$2:$N917,J$1,FALSE)</f>
        <v>400</v>
      </c>
      <c r="K747" t="str">
        <f>VLOOKUP($A747,[1]Table!$A$2:$N917,K$1,FALSE)</f>
        <v>mg/stuk</v>
      </c>
      <c r="L747">
        <f>VLOOKUP($A747,[1]Table!$A$2:$N917,L$1,FALSE)</f>
        <v>400</v>
      </c>
      <c r="M747" t="str">
        <f>VLOOKUP($A747,[1]Table!$A$2:$N917,M$1,FALSE)</f>
        <v>mg</v>
      </c>
      <c r="N747" t="str">
        <f>VLOOKUP($A747,[1]Table!$A$2:$N917,N$1,FALSE)</f>
        <v>Oncologische aandoeningen</v>
      </c>
      <c r="O747" t="str">
        <f>ConcatenateRange(AZ747:BU747,"||")</f>
        <v/>
      </c>
      <c r="AZ747" t="str">
        <f t="shared" si="286"/>
        <v/>
      </c>
      <c r="BA747" t="str">
        <f t="shared" si="287"/>
        <v/>
      </c>
      <c r="BB747" t="str">
        <f t="shared" si="288"/>
        <v/>
      </c>
      <c r="BC747" t="str">
        <f t="shared" si="289"/>
        <v/>
      </c>
      <c r="BD747" t="str">
        <f t="shared" si="290"/>
        <v/>
      </c>
      <c r="BE747" t="str">
        <f t="shared" si="291"/>
        <v/>
      </c>
      <c r="BF747" t="str">
        <f t="shared" si="292"/>
        <v/>
      </c>
      <c r="BG747" t="str">
        <f t="shared" si="293"/>
        <v/>
      </c>
      <c r="BH747" t="str">
        <f t="shared" si="294"/>
        <v/>
      </c>
      <c r="BI747" t="str">
        <f t="shared" si="295"/>
        <v/>
      </c>
      <c r="BJ747" t="str">
        <f t="shared" si="296"/>
        <v/>
      </c>
      <c r="BK747" t="str">
        <f t="shared" si="297"/>
        <v/>
      </c>
      <c r="BL747" t="str">
        <f t="shared" si="298"/>
        <v/>
      </c>
      <c r="BM747" t="str">
        <f t="shared" si="299"/>
        <v/>
      </c>
      <c r="BN747" t="str">
        <f t="shared" si="300"/>
        <v/>
      </c>
      <c r="BO747" t="str">
        <f t="shared" si="301"/>
        <v/>
      </c>
      <c r="BP747" t="str">
        <f t="shared" si="302"/>
        <v/>
      </c>
      <c r="BQ747" t="str">
        <f t="shared" si="303"/>
        <v/>
      </c>
      <c r="BR747" t="str">
        <f t="shared" si="304"/>
        <v/>
      </c>
      <c r="BS747" t="str">
        <f t="shared" si="305"/>
        <v/>
      </c>
      <c r="BT747" t="str">
        <f t="shared" si="306"/>
        <v/>
      </c>
      <c r="BU747" t="str">
        <f t="shared" si="307"/>
        <v/>
      </c>
    </row>
    <row r="748" spans="1:73">
      <c r="A748" s="1">
        <v>55115</v>
      </c>
      <c r="B748" t="str">
        <f>VLOOKUP($A748,[1]Table!$A$2:$N462,B$1,FALSE)</f>
        <v>J01DH51</v>
      </c>
      <c r="C748" t="str">
        <f>VLOOKUP($A748,[1]Table!$A$2:$N462,C$1,FALSE)</f>
        <v>ANTIBACTERIELE MIDDELEN VOOR SYSTEMISCH GEBRUIK</v>
      </c>
      <c r="D748" t="str">
        <f>VLOOKUP($A748,[1]Table!$A$2:$N462,D$1,FALSE)</f>
        <v>OVERIGE BETALACTAM-ANTIBIOTICA</v>
      </c>
      <c r="E748" t="str">
        <f>VLOOKUP($A748,[1]Table!$A$2:$N462,E$1,FALSE)</f>
        <v>IMIPENEM/CILASTATINE</v>
      </c>
      <c r="F748" t="str">
        <f>VLOOKUP($A748,[1]Table!$A$2:$N462,F$1,FALSE)</f>
        <v>IMIPENEM 500 MG (+CILASTATINE 500MG)INF</v>
      </c>
      <c r="G748" t="str">
        <f>VLOOKUP($A748,[1]Table!$A$2:$N462,G$1,FALSE)</f>
        <v>IMIPENEM/CILAST 500/500 INF</v>
      </c>
      <c r="H748" t="str">
        <f>VLOOKUP($A748,[1]Table!$A$2:$N462,H$1,FALSE)</f>
        <v>poeder voor oplossing voor infusie</v>
      </c>
      <c r="I748" t="str">
        <f>VLOOKUP($A748,[1]Table!$A$2:$N462,I$1,FALSE)</f>
        <v>iv</v>
      </c>
      <c r="J748">
        <f>VLOOKUP($A748,[1]Table!$A$2:$N462,J$1,FALSE)</f>
        <v>500</v>
      </c>
      <c r="K748" t="str">
        <f>VLOOKUP($A748,[1]Table!$A$2:$N462,K$1,FALSE)</f>
        <v>mg/stuk</v>
      </c>
      <c r="L748">
        <f>VLOOKUP($A748,[1]Table!$A$2:$N462,L$1,FALSE)</f>
        <v>500</v>
      </c>
      <c r="M748" t="str">
        <f>VLOOKUP($A748,[1]Table!$A$2:$N462,M$1,FALSE)</f>
        <v>mg</v>
      </c>
      <c r="N748" t="str">
        <f>VLOOKUP($A748,[1]Table!$A$2:$N462,N$1,FALSE)</f>
        <v>Infecties||Infecties bij Cystic Fibrosis</v>
      </c>
      <c r="O748" t="str">
        <f>ConcatenateRange(AZ748:BU748,"||")</f>
        <v/>
      </c>
      <c r="AZ748" t="str">
        <f t="shared" si="286"/>
        <v/>
      </c>
      <c r="BA748" t="str">
        <f t="shared" si="287"/>
        <v/>
      </c>
      <c r="BB748" t="str">
        <f t="shared" si="288"/>
        <v/>
      </c>
      <c r="BC748" t="str">
        <f t="shared" si="289"/>
        <v/>
      </c>
      <c r="BD748" t="str">
        <f t="shared" si="290"/>
        <v/>
      </c>
      <c r="BE748" t="str">
        <f t="shared" si="291"/>
        <v/>
      </c>
      <c r="BF748" t="str">
        <f t="shared" si="292"/>
        <v/>
      </c>
      <c r="BG748" t="str">
        <f t="shared" si="293"/>
        <v/>
      </c>
      <c r="BH748" t="str">
        <f t="shared" si="294"/>
        <v/>
      </c>
      <c r="BI748" t="str">
        <f t="shared" si="295"/>
        <v/>
      </c>
      <c r="BJ748" t="str">
        <f t="shared" si="296"/>
        <v/>
      </c>
      <c r="BK748" t="str">
        <f t="shared" si="297"/>
        <v/>
      </c>
      <c r="BL748" t="str">
        <f t="shared" si="298"/>
        <v/>
      </c>
      <c r="BM748" t="str">
        <f t="shared" si="299"/>
        <v/>
      </c>
      <c r="BN748" t="str">
        <f t="shared" si="300"/>
        <v/>
      </c>
      <c r="BO748" t="str">
        <f t="shared" si="301"/>
        <v/>
      </c>
      <c r="BP748" t="str">
        <f t="shared" si="302"/>
        <v/>
      </c>
      <c r="BQ748" t="str">
        <f t="shared" si="303"/>
        <v/>
      </c>
      <c r="BR748" t="str">
        <f t="shared" si="304"/>
        <v/>
      </c>
      <c r="BS748" t="str">
        <f t="shared" si="305"/>
        <v/>
      </c>
      <c r="BT748" t="str">
        <f t="shared" si="306"/>
        <v/>
      </c>
      <c r="BU748" t="str">
        <f t="shared" si="307"/>
        <v/>
      </c>
    </row>
    <row r="749" spans="1:73">
      <c r="A749" s="1">
        <v>21296</v>
      </c>
      <c r="B749" t="str">
        <f>VLOOKUP($A749,[1]Table!$A$2:$N918,B$1,FALSE)</f>
        <v>N06AA02</v>
      </c>
      <c r="C749" t="str">
        <f>VLOOKUP($A749,[1]Table!$A$2:$N918,C$1,FALSE)</f>
        <v>PSYCHOANALEPTICA</v>
      </c>
      <c r="D749" t="str">
        <f>VLOOKUP($A749,[1]Table!$A$2:$N918,D$1,FALSE)</f>
        <v>ANTIDEPRESSIVA</v>
      </c>
      <c r="E749" t="str">
        <f>VLOOKUP($A749,[1]Table!$A$2:$N918,E$1,FALSE)</f>
        <v>IMIPRAMINE</v>
      </c>
      <c r="F749" t="str">
        <f>VLOOKUP($A749,[1]Table!$A$2:$N918,F$1,FALSE)</f>
        <v>IMIPRAMINE HCL 10 MG OMHULDE TABLET</v>
      </c>
      <c r="G749" t="str">
        <f>VLOOKUP($A749,[1]Table!$A$2:$N918,G$1,FALSE)</f>
        <v>IMIPRAMINE 10MG DRAGEE</v>
      </c>
      <c r="H749" t="str">
        <f>VLOOKUP($A749,[1]Table!$A$2:$N918,H$1,FALSE)</f>
        <v>dragee</v>
      </c>
      <c r="I749" t="str">
        <f>VLOOKUP($A749,[1]Table!$A$2:$N918,I$1,FALSE)</f>
        <v>or</v>
      </c>
      <c r="J749">
        <f>VLOOKUP($A749,[1]Table!$A$2:$N918,J$1,FALSE)</f>
        <v>10</v>
      </c>
      <c r="K749" t="str">
        <f>VLOOKUP($A749,[1]Table!$A$2:$N918,K$1,FALSE)</f>
        <v>mg/stuk</v>
      </c>
      <c r="L749">
        <f>VLOOKUP($A749,[1]Table!$A$2:$N918,L$1,FALSE)</f>
        <v>10</v>
      </c>
      <c r="M749" t="str">
        <f>VLOOKUP($A749,[1]Table!$A$2:$N918,M$1,FALSE)</f>
        <v>mg</v>
      </c>
      <c r="N749" t="str">
        <f>VLOOKUP($A749,[1]Table!$A$2:$N918,N$1,FALSE)</f>
        <v>Enuresis nocturna||Minstens één angststoornis plus depressie plus schoolweigeren in combinatie met cognitieve gedragstherapie</v>
      </c>
      <c r="O749" t="str">
        <f>ConcatenateRange(AZ749:BU749,"||")</f>
        <v/>
      </c>
      <c r="AZ749" t="str">
        <f t="shared" si="286"/>
        <v/>
      </c>
      <c r="BA749" t="str">
        <f t="shared" si="287"/>
        <v/>
      </c>
      <c r="BB749" t="str">
        <f t="shared" si="288"/>
        <v/>
      </c>
      <c r="BC749" t="str">
        <f t="shared" si="289"/>
        <v/>
      </c>
      <c r="BD749" t="str">
        <f t="shared" si="290"/>
        <v/>
      </c>
      <c r="BE749" t="str">
        <f t="shared" si="291"/>
        <v/>
      </c>
      <c r="BF749" t="str">
        <f t="shared" si="292"/>
        <v/>
      </c>
      <c r="BG749" t="str">
        <f t="shared" si="293"/>
        <v/>
      </c>
      <c r="BH749" t="str">
        <f t="shared" si="294"/>
        <v/>
      </c>
      <c r="BI749" t="str">
        <f t="shared" si="295"/>
        <v/>
      </c>
      <c r="BJ749" t="str">
        <f t="shared" si="296"/>
        <v/>
      </c>
      <c r="BK749" t="str">
        <f t="shared" si="297"/>
        <v/>
      </c>
      <c r="BL749" t="str">
        <f t="shared" si="298"/>
        <v/>
      </c>
      <c r="BM749" t="str">
        <f t="shared" si="299"/>
        <v/>
      </c>
      <c r="BN749" t="str">
        <f t="shared" si="300"/>
        <v/>
      </c>
      <c r="BO749" t="str">
        <f t="shared" si="301"/>
        <v/>
      </c>
      <c r="BP749" t="str">
        <f t="shared" si="302"/>
        <v/>
      </c>
      <c r="BQ749" t="str">
        <f t="shared" si="303"/>
        <v/>
      </c>
      <c r="BR749" t="str">
        <f t="shared" si="304"/>
        <v/>
      </c>
      <c r="BS749" t="str">
        <f t="shared" si="305"/>
        <v/>
      </c>
      <c r="BT749" t="str">
        <f t="shared" si="306"/>
        <v/>
      </c>
      <c r="BU749" t="str">
        <f t="shared" si="307"/>
        <v/>
      </c>
    </row>
    <row r="750" spans="1:73">
      <c r="A750" s="1">
        <v>21318</v>
      </c>
      <c r="B750" t="str">
        <f>VLOOKUP($A750,[1]Table!$A$2:$N919,B$1,FALSE)</f>
        <v>N06AA02</v>
      </c>
      <c r="C750" t="str">
        <f>VLOOKUP($A750,[1]Table!$A$2:$N919,C$1,FALSE)</f>
        <v>PSYCHOANALEPTICA</v>
      </c>
      <c r="D750" t="str">
        <f>VLOOKUP($A750,[1]Table!$A$2:$N919,D$1,FALSE)</f>
        <v>ANTIDEPRESSIVA</v>
      </c>
      <c r="E750" t="str">
        <f>VLOOKUP($A750,[1]Table!$A$2:$N919,E$1,FALSE)</f>
        <v>IMIPRAMINE</v>
      </c>
      <c r="F750" t="str">
        <f>VLOOKUP($A750,[1]Table!$A$2:$N919,F$1,FALSE)</f>
        <v>IMIPRAMINE HCL 25 MG DRAGEE</v>
      </c>
      <c r="G750" t="str">
        <f>VLOOKUP($A750,[1]Table!$A$2:$N919,G$1,FALSE)</f>
        <v>IMIPRAMINE 25MG DRAGEE</v>
      </c>
      <c r="H750" t="str">
        <f>VLOOKUP($A750,[1]Table!$A$2:$N919,H$1,FALSE)</f>
        <v>dragee</v>
      </c>
      <c r="I750" t="str">
        <f>VLOOKUP($A750,[1]Table!$A$2:$N919,I$1,FALSE)</f>
        <v>or</v>
      </c>
      <c r="J750">
        <f>VLOOKUP($A750,[1]Table!$A$2:$N919,J$1,FALSE)</f>
        <v>25</v>
      </c>
      <c r="K750" t="str">
        <f>VLOOKUP($A750,[1]Table!$A$2:$N919,K$1,FALSE)</f>
        <v>mg/stuk</v>
      </c>
      <c r="L750">
        <f>VLOOKUP($A750,[1]Table!$A$2:$N919,L$1,FALSE)</f>
        <v>25</v>
      </c>
      <c r="M750" t="str">
        <f>VLOOKUP($A750,[1]Table!$A$2:$N919,M$1,FALSE)</f>
        <v>mg</v>
      </c>
      <c r="N750" t="str">
        <f>VLOOKUP($A750,[1]Table!$A$2:$N919,N$1,FALSE)</f>
        <v>Enuresis nocturna||Minstens één angststoornis plus depressie plus schoolweigeren in combinatie met cognitieve gedragstherapie</v>
      </c>
      <c r="O750" t="str">
        <f>ConcatenateRange(AZ750:BU750,"||")</f>
        <v/>
      </c>
      <c r="AZ750" t="str">
        <f t="shared" si="286"/>
        <v/>
      </c>
      <c r="BA750" t="str">
        <f t="shared" si="287"/>
        <v/>
      </c>
      <c r="BB750" t="str">
        <f t="shared" si="288"/>
        <v/>
      </c>
      <c r="BC750" t="str">
        <f t="shared" si="289"/>
        <v/>
      </c>
      <c r="BD750" t="str">
        <f t="shared" si="290"/>
        <v/>
      </c>
      <c r="BE750" t="str">
        <f t="shared" si="291"/>
        <v/>
      </c>
      <c r="BF750" t="str">
        <f t="shared" si="292"/>
        <v/>
      </c>
      <c r="BG750" t="str">
        <f t="shared" si="293"/>
        <v/>
      </c>
      <c r="BH750" t="str">
        <f t="shared" si="294"/>
        <v/>
      </c>
      <c r="BI750" t="str">
        <f t="shared" si="295"/>
        <v/>
      </c>
      <c r="BJ750" t="str">
        <f t="shared" si="296"/>
        <v/>
      </c>
      <c r="BK750" t="str">
        <f t="shared" si="297"/>
        <v/>
      </c>
      <c r="BL750" t="str">
        <f t="shared" si="298"/>
        <v/>
      </c>
      <c r="BM750" t="str">
        <f t="shared" si="299"/>
        <v/>
      </c>
      <c r="BN750" t="str">
        <f t="shared" si="300"/>
        <v/>
      </c>
      <c r="BO750" t="str">
        <f t="shared" si="301"/>
        <v/>
      </c>
      <c r="BP750" t="str">
        <f t="shared" si="302"/>
        <v/>
      </c>
      <c r="BQ750" t="str">
        <f t="shared" si="303"/>
        <v/>
      </c>
      <c r="BR750" t="str">
        <f t="shared" si="304"/>
        <v/>
      </c>
      <c r="BS750" t="str">
        <f t="shared" si="305"/>
        <v/>
      </c>
      <c r="BT750" t="str">
        <f t="shared" si="306"/>
        <v/>
      </c>
      <c r="BU750" t="str">
        <f t="shared" si="307"/>
        <v/>
      </c>
    </row>
    <row r="751" spans="1:73">
      <c r="A751" s="1">
        <v>102024</v>
      </c>
      <c r="B751" t="str">
        <f>VLOOKUP($A751,[1]Table!$A$2:$N920,B$1,FALSE)</f>
        <v>J06BA02</v>
      </c>
      <c r="C751" t="str">
        <f>VLOOKUP($A751,[1]Table!$A$2:$N920,C$1,FALSE)</f>
        <v>SERA EN IMMUNOGLOBULINEN</v>
      </c>
      <c r="D751" t="str">
        <f>VLOOKUP($A751,[1]Table!$A$2:$N920,D$1,FALSE)</f>
        <v>IMMUNOGLOBULINEN</v>
      </c>
      <c r="E751" t="str">
        <f>VLOOKUP($A751,[1]Table!$A$2:$N920,E$1,FALSE)</f>
        <v>IMMUNOGLOBULINE NORMAAL</v>
      </c>
      <c r="F751" t="str">
        <f>VLOOKUP($A751,[1]Table!$A$2:$N920,F$1,FALSE)</f>
        <v>FLEBOGAMMA DIF 50MG/ML FLACON INFUSIEVLOEISTOF 100 ML</v>
      </c>
      <c r="G751" t="str">
        <f>VLOOKUP($A751,[1]Table!$A$2:$N920,G$1,FALSE)</f>
        <v>IMMUNOGLOB NORMAAL 50MG/ML</v>
      </c>
      <c r="H751" t="str">
        <f>VLOOKUP($A751,[1]Table!$A$2:$N920,H$1,FALSE)</f>
        <v>infusievloeistof</v>
      </c>
      <c r="I751" t="str">
        <f>VLOOKUP($A751,[1]Table!$A$2:$N920,I$1,FALSE)</f>
        <v>iv</v>
      </c>
      <c r="J751">
        <f>VLOOKUP($A751,[1]Table!$A$2:$N920,J$1,FALSE)</f>
        <v>50</v>
      </c>
      <c r="K751" t="str">
        <f>VLOOKUP($A751,[1]Table!$A$2:$N920,K$1,FALSE)</f>
        <v>mg/ml</v>
      </c>
      <c r="L751">
        <f>VLOOKUP($A751,[1]Table!$A$2:$N920,L$1,FALSE)</f>
        <v>50</v>
      </c>
      <c r="M751" t="str">
        <f>VLOOKUP($A751,[1]Table!$A$2:$N920,M$1,FALSE)</f>
        <v>mg</v>
      </c>
      <c r="N751" t="str">
        <f>VLOOKUP($A751,[1]Table!$A$2:$N920,N$1,FALSE)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1" t="str">
        <f>ConcatenateRange(AZ751:BU751,"||")</f>
        <v/>
      </c>
      <c r="AZ751" t="str">
        <f t="shared" si="286"/>
        <v/>
      </c>
      <c r="BA751" t="str">
        <f t="shared" si="287"/>
        <v/>
      </c>
      <c r="BB751" t="str">
        <f t="shared" si="288"/>
        <v/>
      </c>
      <c r="BC751" t="str">
        <f t="shared" si="289"/>
        <v/>
      </c>
      <c r="BD751" t="str">
        <f t="shared" si="290"/>
        <v/>
      </c>
      <c r="BE751" t="str">
        <f t="shared" si="291"/>
        <v/>
      </c>
      <c r="BF751" t="str">
        <f t="shared" si="292"/>
        <v/>
      </c>
      <c r="BG751" t="str">
        <f t="shared" si="293"/>
        <v/>
      </c>
      <c r="BH751" t="str">
        <f t="shared" si="294"/>
        <v/>
      </c>
      <c r="BI751" t="str">
        <f t="shared" si="295"/>
        <v/>
      </c>
      <c r="BJ751" t="str">
        <f t="shared" si="296"/>
        <v/>
      </c>
      <c r="BK751" t="str">
        <f t="shared" si="297"/>
        <v/>
      </c>
      <c r="BL751" t="str">
        <f t="shared" si="298"/>
        <v/>
      </c>
      <c r="BM751" t="str">
        <f t="shared" si="299"/>
        <v/>
      </c>
      <c r="BN751" t="str">
        <f t="shared" si="300"/>
        <v/>
      </c>
      <c r="BO751" t="str">
        <f t="shared" si="301"/>
        <v/>
      </c>
      <c r="BP751" t="str">
        <f t="shared" si="302"/>
        <v/>
      </c>
      <c r="BQ751" t="str">
        <f t="shared" si="303"/>
        <v/>
      </c>
      <c r="BR751" t="str">
        <f t="shared" si="304"/>
        <v/>
      </c>
      <c r="BS751" t="str">
        <f t="shared" si="305"/>
        <v/>
      </c>
      <c r="BT751" t="str">
        <f t="shared" si="306"/>
        <v/>
      </c>
      <c r="BU751" t="str">
        <f t="shared" si="307"/>
        <v/>
      </c>
    </row>
    <row r="752" spans="1:73">
      <c r="A752" s="1">
        <v>125008</v>
      </c>
      <c r="B752" t="str">
        <f>VLOOKUP($A752,[1]Table!$A$2:$N921,B$1,FALSE)</f>
        <v>J06BA02</v>
      </c>
      <c r="C752" t="str">
        <f>VLOOKUP($A752,[1]Table!$A$2:$N921,C$1,FALSE)</f>
        <v>SERA EN IMMUNOGLOBULINEN</v>
      </c>
      <c r="D752" t="str">
        <f>VLOOKUP($A752,[1]Table!$A$2:$N921,D$1,FALSE)</f>
        <v>IMMUNOGLOBULINEN</v>
      </c>
      <c r="E752" t="str">
        <f>VLOOKUP($A752,[1]Table!$A$2:$N921,E$1,FALSE)</f>
        <v>IMMUNOGLOBULINE NORMAAL</v>
      </c>
      <c r="F752" t="str">
        <f>VLOOKUP($A752,[1]Table!$A$2:$N921,F$1,FALSE)</f>
        <v>INTRATECT 100 MG/ML  INFUSIEVLOEISTOF FLACON 100 ML</v>
      </c>
      <c r="G752" t="str">
        <f>VLOOKUP($A752,[1]Table!$A$2:$N921,G$1,FALSE)</f>
        <v>IMMUNOGLOB 100MG/ML INFVLST</v>
      </c>
      <c r="H752" t="str">
        <f>VLOOKUP($A752,[1]Table!$A$2:$N921,H$1,FALSE)</f>
        <v>infusievloeistof</v>
      </c>
      <c r="I752" t="str">
        <f>VLOOKUP($A752,[1]Table!$A$2:$N921,I$1,FALSE)</f>
        <v>iv||sc</v>
      </c>
      <c r="J752">
        <f>VLOOKUP($A752,[1]Table!$A$2:$N921,J$1,FALSE)</f>
        <v>100</v>
      </c>
      <c r="K752" t="str">
        <f>VLOOKUP($A752,[1]Table!$A$2:$N921,K$1,FALSE)</f>
        <v>mg/ml</v>
      </c>
      <c r="L752">
        <f>VLOOKUP($A752,[1]Table!$A$2:$N921,L$1,FALSE)</f>
        <v>100</v>
      </c>
      <c r="M752" t="str">
        <f>VLOOKUP($A752,[1]Table!$A$2:$N921,M$1,FALSE)</f>
        <v>mg</v>
      </c>
      <c r="N752" t="str">
        <f>VLOOKUP($A752,[1]Table!$A$2:$N921,N$1,FALSE)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2" t="str">
        <f>ConcatenateRange(AZ752:BU752,"||")</f>
        <v/>
      </c>
      <c r="AZ752" t="str">
        <f t="shared" si="286"/>
        <v/>
      </c>
      <c r="BA752" t="str">
        <f t="shared" si="287"/>
        <v/>
      </c>
      <c r="BB752" t="str">
        <f t="shared" si="288"/>
        <v/>
      </c>
      <c r="BC752" t="str">
        <f t="shared" si="289"/>
        <v/>
      </c>
      <c r="BD752" t="str">
        <f t="shared" si="290"/>
        <v/>
      </c>
      <c r="BE752" t="str">
        <f t="shared" si="291"/>
        <v/>
      </c>
      <c r="BF752" t="str">
        <f t="shared" si="292"/>
        <v/>
      </c>
      <c r="BG752" t="str">
        <f t="shared" si="293"/>
        <v/>
      </c>
      <c r="BH752" t="str">
        <f t="shared" si="294"/>
        <v/>
      </c>
      <c r="BI752" t="str">
        <f t="shared" si="295"/>
        <v/>
      </c>
      <c r="BJ752" t="str">
        <f t="shared" si="296"/>
        <v/>
      </c>
      <c r="BK752" t="str">
        <f t="shared" si="297"/>
        <v/>
      </c>
      <c r="BL752" t="str">
        <f t="shared" si="298"/>
        <v/>
      </c>
      <c r="BM752" t="str">
        <f t="shared" si="299"/>
        <v/>
      </c>
      <c r="BN752" t="str">
        <f t="shared" si="300"/>
        <v/>
      </c>
      <c r="BO752" t="str">
        <f t="shared" si="301"/>
        <v/>
      </c>
      <c r="BP752" t="str">
        <f t="shared" si="302"/>
        <v/>
      </c>
      <c r="BQ752" t="str">
        <f t="shared" si="303"/>
        <v/>
      </c>
      <c r="BR752" t="str">
        <f t="shared" si="304"/>
        <v/>
      </c>
      <c r="BS752" t="str">
        <f t="shared" si="305"/>
        <v/>
      </c>
      <c r="BT752" t="str">
        <f t="shared" si="306"/>
        <v/>
      </c>
      <c r="BU752" t="str">
        <f t="shared" si="307"/>
        <v/>
      </c>
    </row>
    <row r="753" spans="1:73">
      <c r="A753" s="1">
        <v>40894</v>
      </c>
      <c r="B753" t="str">
        <f>VLOOKUP($A753,[1]Table!$A$2:$N922,B$1,FALSE)</f>
        <v>J06BA01</v>
      </c>
      <c r="C753" t="str">
        <f>VLOOKUP($A753,[1]Table!$A$2:$N922,C$1,FALSE)</f>
        <v>SERA EN IMMUNOGLOBULINEN</v>
      </c>
      <c r="D753" t="str">
        <f>VLOOKUP($A753,[1]Table!$A$2:$N922,D$1,FALSE)</f>
        <v>IMMUNOGLOBULINEN</v>
      </c>
      <c r="E753" t="str">
        <f>VLOOKUP($A753,[1]Table!$A$2:$N922,E$1,FALSE)</f>
        <v>IMMUNOGLOBULINE NORMAAL</v>
      </c>
      <c r="F753" t="str">
        <f>VLOOKUP($A753,[1]Table!$A$2:$N922,F$1,FALSE)</f>
        <v>GAMMAQUIN 160 MG/ML INJVLST 15 ML</v>
      </c>
      <c r="G753" t="str">
        <f>VLOOKUP($A753,[1]Table!$A$2:$N922,G$1,FALSE)</f>
        <v>IMMUNOGLOBULINE 160MG/ML IN</v>
      </c>
      <c r="H753" t="str">
        <f>VLOOKUP($A753,[1]Table!$A$2:$N922,H$1,FALSE)</f>
        <v>injectievloeistof</v>
      </c>
      <c r="I753" t="str">
        <f>VLOOKUP($A753,[1]Table!$A$2:$N922,I$1,FALSE)</f>
        <v>im||sc</v>
      </c>
      <c r="J753">
        <f>VLOOKUP($A753,[1]Table!$A$2:$N922,J$1,FALSE)</f>
        <v>160</v>
      </c>
      <c r="K753" t="str">
        <f>VLOOKUP($A753,[1]Table!$A$2:$N922,K$1,FALSE)</f>
        <v>mg/ml</v>
      </c>
      <c r="L753">
        <f>VLOOKUP($A753,[1]Table!$A$2:$N922,L$1,FALSE)</f>
        <v>160</v>
      </c>
      <c r="M753" t="str">
        <f>VLOOKUP($A753,[1]Table!$A$2:$N922,M$1,FALSE)</f>
        <v>mg</v>
      </c>
      <c r="N753" t="str">
        <f>VLOOKUP($A753,[1]Table!$A$2:$N922,N$1,FALSE)</f>
        <v>Primaire immuundeficientie</v>
      </c>
      <c r="O753" t="str">
        <f>ConcatenateRange(AZ753:BU753,"||")</f>
        <v/>
      </c>
      <c r="AZ753" t="str">
        <f t="shared" si="286"/>
        <v/>
      </c>
      <c r="BA753" t="str">
        <f t="shared" si="287"/>
        <v/>
      </c>
      <c r="BB753" t="str">
        <f t="shared" si="288"/>
        <v/>
      </c>
      <c r="BC753" t="str">
        <f t="shared" si="289"/>
        <v/>
      </c>
      <c r="BD753" t="str">
        <f t="shared" si="290"/>
        <v/>
      </c>
      <c r="BE753" t="str">
        <f t="shared" si="291"/>
        <v/>
      </c>
      <c r="BF753" t="str">
        <f t="shared" si="292"/>
        <v/>
      </c>
      <c r="BG753" t="str">
        <f t="shared" si="293"/>
        <v/>
      </c>
      <c r="BH753" t="str">
        <f t="shared" si="294"/>
        <v/>
      </c>
      <c r="BI753" t="str">
        <f t="shared" si="295"/>
        <v/>
      </c>
      <c r="BJ753" t="str">
        <f t="shared" si="296"/>
        <v/>
      </c>
      <c r="BK753" t="str">
        <f t="shared" si="297"/>
        <v/>
      </c>
      <c r="BL753" t="str">
        <f t="shared" si="298"/>
        <v/>
      </c>
      <c r="BM753" t="str">
        <f t="shared" si="299"/>
        <v/>
      </c>
      <c r="BN753" t="str">
        <f t="shared" si="300"/>
        <v/>
      </c>
      <c r="BO753" t="str">
        <f t="shared" si="301"/>
        <v/>
      </c>
      <c r="BP753" t="str">
        <f t="shared" si="302"/>
        <v/>
      </c>
      <c r="BQ753" t="str">
        <f t="shared" si="303"/>
        <v/>
      </c>
      <c r="BR753" t="str">
        <f t="shared" si="304"/>
        <v/>
      </c>
      <c r="BS753" t="str">
        <f t="shared" si="305"/>
        <v/>
      </c>
      <c r="BT753" t="str">
        <f t="shared" si="306"/>
        <v/>
      </c>
      <c r="BU753" t="str">
        <f t="shared" si="307"/>
        <v/>
      </c>
    </row>
    <row r="754" spans="1:73">
      <c r="A754" s="1">
        <v>124672</v>
      </c>
      <c r="B754" t="str">
        <f>VLOOKUP($A754,[1]Table!$A$2:$N923,B$1,FALSE)</f>
        <v>J06BA01</v>
      </c>
      <c r="C754" t="str">
        <f>VLOOKUP($A754,[1]Table!$A$2:$N923,C$1,FALSE)</f>
        <v>SERA EN IMMUNOGLOBULINEN</v>
      </c>
      <c r="D754" t="str">
        <f>VLOOKUP($A754,[1]Table!$A$2:$N923,D$1,FALSE)</f>
        <v>IMMUNOGLOBULINEN</v>
      </c>
      <c r="E754" t="str">
        <f>VLOOKUP($A754,[1]Table!$A$2:$N923,E$1,FALSE)</f>
        <v>IMMUNOGLOBULINE NORMAAL</v>
      </c>
      <c r="F754" t="str">
        <f>VLOOKUP($A754,[1]Table!$A$2:$N923,F$1,FALSE)</f>
        <v>GAMMANORM 165 MG/ML AMPUL 10ML</v>
      </c>
      <c r="G754" t="str">
        <f>VLOOKUP($A754,[1]Table!$A$2:$N923,G$1,FALSE)</f>
        <v>IMMUNOGLOB NORM 165MG/ML IN</v>
      </c>
      <c r="H754" t="str">
        <f>VLOOKUP($A754,[1]Table!$A$2:$N923,H$1,FALSE)</f>
        <v>injectievloeistof</v>
      </c>
      <c r="I754" t="str">
        <f>VLOOKUP($A754,[1]Table!$A$2:$N923,I$1,FALSE)</f>
        <v>im||sc</v>
      </c>
      <c r="J754">
        <f>VLOOKUP($A754,[1]Table!$A$2:$N923,J$1,FALSE)</f>
        <v>165</v>
      </c>
      <c r="K754" t="str">
        <f>VLOOKUP($A754,[1]Table!$A$2:$N923,K$1,FALSE)</f>
        <v>mg/ml</v>
      </c>
      <c r="L754">
        <f>VLOOKUP($A754,[1]Table!$A$2:$N923,L$1,FALSE)</f>
        <v>165</v>
      </c>
      <c r="M754" t="str">
        <f>VLOOKUP($A754,[1]Table!$A$2:$N923,M$1,FALSE)</f>
        <v>mg</v>
      </c>
      <c r="N754" t="str">
        <f>VLOOKUP($A754,[1]Table!$A$2:$N923,N$1,FALSE)</f>
        <v>Primaire immuundeficientie</v>
      </c>
      <c r="O754" t="str">
        <f>ConcatenateRange(AZ754:BU754,"||")</f>
        <v/>
      </c>
      <c r="AZ754" t="str">
        <f t="shared" si="286"/>
        <v/>
      </c>
      <c r="BA754" t="str">
        <f t="shared" si="287"/>
        <v/>
      </c>
      <c r="BB754" t="str">
        <f t="shared" si="288"/>
        <v/>
      </c>
      <c r="BC754" t="str">
        <f t="shared" si="289"/>
        <v/>
      </c>
      <c r="BD754" t="str">
        <f t="shared" si="290"/>
        <v/>
      </c>
      <c r="BE754" t="str">
        <f t="shared" si="291"/>
        <v/>
      </c>
      <c r="BF754" t="str">
        <f t="shared" si="292"/>
        <v/>
      </c>
      <c r="BG754" t="str">
        <f t="shared" si="293"/>
        <v/>
      </c>
      <c r="BH754" t="str">
        <f t="shared" si="294"/>
        <v/>
      </c>
      <c r="BI754" t="str">
        <f t="shared" si="295"/>
        <v/>
      </c>
      <c r="BJ754" t="str">
        <f t="shared" si="296"/>
        <v/>
      </c>
      <c r="BK754" t="str">
        <f t="shared" si="297"/>
        <v/>
      </c>
      <c r="BL754" t="str">
        <f t="shared" si="298"/>
        <v/>
      </c>
      <c r="BM754" t="str">
        <f t="shared" si="299"/>
        <v/>
      </c>
      <c r="BN754" t="str">
        <f t="shared" si="300"/>
        <v/>
      </c>
      <c r="BO754" t="str">
        <f t="shared" si="301"/>
        <v/>
      </c>
      <c r="BP754" t="str">
        <f t="shared" si="302"/>
        <v/>
      </c>
      <c r="BQ754" t="str">
        <f t="shared" si="303"/>
        <v/>
      </c>
      <c r="BR754" t="str">
        <f t="shared" si="304"/>
        <v/>
      </c>
      <c r="BS754" t="str">
        <f t="shared" si="305"/>
        <v/>
      </c>
      <c r="BT754" t="str">
        <f t="shared" si="306"/>
        <v/>
      </c>
      <c r="BU754" t="str">
        <f t="shared" si="307"/>
        <v/>
      </c>
    </row>
    <row r="755" spans="1:73">
      <c r="A755" s="1">
        <v>136255</v>
      </c>
      <c r="B755" t="str">
        <f>VLOOKUP($A755,[1]Table!$A$2:$N924,B$1,FALSE)</f>
        <v>J06BA01</v>
      </c>
      <c r="C755" t="str">
        <f>VLOOKUP($A755,[1]Table!$A$2:$N924,C$1,FALSE)</f>
        <v>SERA EN IMMUNOGLOBULINEN</v>
      </c>
      <c r="D755" t="str">
        <f>VLOOKUP($A755,[1]Table!$A$2:$N924,D$1,FALSE)</f>
        <v>IMMUNOGLOBULINEN</v>
      </c>
      <c r="E755" t="str">
        <f>VLOOKUP($A755,[1]Table!$A$2:$N924,E$1,FALSE)</f>
        <v>IMMUNOGLOBULINE NORMAAL</v>
      </c>
      <c r="F755" t="str">
        <f>VLOOKUP($A755,[1]Table!$A$2:$N924,F$1,FALSE)</f>
        <v>CUVITRU 200 MG/ML FLACON  5ML</v>
      </c>
      <c r="G755" t="str">
        <f>VLOOKUP($A755,[1]Table!$A$2:$N924,G$1,FALSE)</f>
        <v>IMMUNOGLOBULINE 200MG/ML IN</v>
      </c>
      <c r="H755" t="str">
        <f>VLOOKUP($A755,[1]Table!$A$2:$N924,H$1,FALSE)</f>
        <v>injectievloeistof</v>
      </c>
      <c r="I755" t="str">
        <f>VLOOKUP($A755,[1]Table!$A$2:$N924,I$1,FALSE)</f>
        <v>sc</v>
      </c>
      <c r="J755">
        <f>VLOOKUP($A755,[1]Table!$A$2:$N924,J$1,FALSE)</f>
        <v>200</v>
      </c>
      <c r="K755" t="str">
        <f>VLOOKUP($A755,[1]Table!$A$2:$N924,K$1,FALSE)</f>
        <v>mg/ml</v>
      </c>
      <c r="L755">
        <f>VLOOKUP($A755,[1]Table!$A$2:$N924,L$1,FALSE)</f>
        <v>200</v>
      </c>
      <c r="M755" t="str">
        <f>VLOOKUP($A755,[1]Table!$A$2:$N924,M$1,FALSE)</f>
        <v>mg</v>
      </c>
      <c r="N755" t="str">
        <f>VLOOKUP($A755,[1]Table!$A$2:$N924,N$1,FALSE)</f>
        <v>Primaire immuundeficientie</v>
      </c>
      <c r="O755" t="str">
        <f>ConcatenateRange(AZ755:BU755,"||")</f>
        <v/>
      </c>
      <c r="AZ755" t="str">
        <f t="shared" si="286"/>
        <v/>
      </c>
      <c r="BA755" t="str">
        <f t="shared" si="287"/>
        <v/>
      </c>
      <c r="BB755" t="str">
        <f t="shared" si="288"/>
        <v/>
      </c>
      <c r="BC755" t="str">
        <f t="shared" si="289"/>
        <v/>
      </c>
      <c r="BD755" t="str">
        <f t="shared" si="290"/>
        <v/>
      </c>
      <c r="BE755" t="str">
        <f t="shared" si="291"/>
        <v/>
      </c>
      <c r="BF755" t="str">
        <f t="shared" si="292"/>
        <v/>
      </c>
      <c r="BG755" t="str">
        <f t="shared" si="293"/>
        <v/>
      </c>
      <c r="BH755" t="str">
        <f t="shared" si="294"/>
        <v/>
      </c>
      <c r="BI755" t="str">
        <f t="shared" si="295"/>
        <v/>
      </c>
      <c r="BJ755" t="str">
        <f t="shared" si="296"/>
        <v/>
      </c>
      <c r="BK755" t="str">
        <f t="shared" si="297"/>
        <v/>
      </c>
      <c r="BL755" t="str">
        <f t="shared" si="298"/>
        <v/>
      </c>
      <c r="BM755" t="str">
        <f t="shared" si="299"/>
        <v/>
      </c>
      <c r="BN755" t="str">
        <f t="shared" si="300"/>
        <v/>
      </c>
      <c r="BO755" t="str">
        <f t="shared" si="301"/>
        <v/>
      </c>
      <c r="BP755" t="str">
        <f t="shared" si="302"/>
        <v/>
      </c>
      <c r="BQ755" t="str">
        <f t="shared" si="303"/>
        <v/>
      </c>
      <c r="BR755" t="str">
        <f t="shared" si="304"/>
        <v/>
      </c>
      <c r="BS755" t="str">
        <f t="shared" si="305"/>
        <v/>
      </c>
      <c r="BT755" t="str">
        <f t="shared" si="306"/>
        <v/>
      </c>
      <c r="BU755" t="str">
        <f t="shared" si="307"/>
        <v/>
      </c>
    </row>
    <row r="756" spans="1:73">
      <c r="A756" s="1">
        <v>79251</v>
      </c>
      <c r="B756" t="str">
        <f>VLOOKUP($A756,[1]Table!$A$2:$N925,B$1,FALSE)</f>
        <v>J06BA02</v>
      </c>
      <c r="C756" t="str">
        <f>VLOOKUP($A756,[1]Table!$A$2:$N925,C$1,FALSE)</f>
        <v>SERA EN IMMUNOGLOBULINEN</v>
      </c>
      <c r="D756" t="str">
        <f>VLOOKUP($A756,[1]Table!$A$2:$N925,D$1,FALSE)</f>
        <v>IMMUNOGLOBULINEN</v>
      </c>
      <c r="E756" t="str">
        <f>VLOOKUP($A756,[1]Table!$A$2:$N925,E$1,FALSE)</f>
        <v>IMMUNOGLOBULINE NORMAAL</v>
      </c>
      <c r="F756" t="str">
        <f>VLOOKUP($A756,[1]Table!$A$2:$N925,F$1,FALSE)</f>
        <v>GAMMAGARD S/D 5 GRAM</v>
      </c>
      <c r="G756" t="str">
        <f>VLOOKUP($A756,[1]Table!$A$2:$N925,G$1,FALSE)</f>
        <v>IMMUNOGLOBULINE 5G INFPDR</v>
      </c>
      <c r="H756" t="str">
        <f>VLOOKUP($A756,[1]Table!$A$2:$N925,H$1,FALSE)</f>
        <v>poeder voor oplossing voor infusie</v>
      </c>
      <c r="I756" t="str">
        <f>VLOOKUP($A756,[1]Table!$A$2:$N925,I$1,FALSE)</f>
        <v>iv</v>
      </c>
      <c r="J756">
        <f>VLOOKUP($A756,[1]Table!$A$2:$N925,J$1,FALSE)</f>
        <v>5</v>
      </c>
      <c r="K756" t="str">
        <f>VLOOKUP($A756,[1]Table!$A$2:$N925,K$1,FALSE)</f>
        <v>gr/stuk</v>
      </c>
      <c r="L756">
        <f>VLOOKUP($A756,[1]Table!$A$2:$N925,L$1,FALSE)</f>
        <v>5</v>
      </c>
      <c r="M756" t="str">
        <f>VLOOKUP($A756,[1]Table!$A$2:$N925,M$1,FALSE)</f>
        <v>gr</v>
      </c>
      <c r="N756" t="str">
        <f>VLOOKUP($A756,[1]Table!$A$2:$N925,N$1,FALSE)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6" t="str">
        <f>ConcatenateRange(AZ756:BU756,"||")</f>
        <v/>
      </c>
      <c r="AZ756" t="str">
        <f t="shared" si="286"/>
        <v/>
      </c>
      <c r="BA756" t="str">
        <f t="shared" si="287"/>
        <v/>
      </c>
      <c r="BB756" t="str">
        <f t="shared" si="288"/>
        <v/>
      </c>
      <c r="BC756" t="str">
        <f t="shared" si="289"/>
        <v/>
      </c>
      <c r="BD756" t="str">
        <f t="shared" si="290"/>
        <v/>
      </c>
      <c r="BE756" t="str">
        <f t="shared" si="291"/>
        <v/>
      </c>
      <c r="BF756" t="str">
        <f t="shared" si="292"/>
        <v/>
      </c>
      <c r="BG756" t="str">
        <f t="shared" si="293"/>
        <v/>
      </c>
      <c r="BH756" t="str">
        <f t="shared" si="294"/>
        <v/>
      </c>
      <c r="BI756" t="str">
        <f t="shared" si="295"/>
        <v/>
      </c>
      <c r="BJ756" t="str">
        <f t="shared" si="296"/>
        <v/>
      </c>
      <c r="BK756" t="str">
        <f t="shared" si="297"/>
        <v/>
      </c>
      <c r="BL756" t="str">
        <f t="shared" si="298"/>
        <v/>
      </c>
      <c r="BM756" t="str">
        <f t="shared" si="299"/>
        <v/>
      </c>
      <c r="BN756" t="str">
        <f t="shared" si="300"/>
        <v/>
      </c>
      <c r="BO756" t="str">
        <f t="shared" si="301"/>
        <v/>
      </c>
      <c r="BP756" t="str">
        <f t="shared" si="302"/>
        <v/>
      </c>
      <c r="BQ756" t="str">
        <f t="shared" si="303"/>
        <v/>
      </c>
      <c r="BR756" t="str">
        <f t="shared" si="304"/>
        <v/>
      </c>
      <c r="BS756" t="str">
        <f t="shared" si="305"/>
        <v/>
      </c>
      <c r="BT756" t="str">
        <f t="shared" si="306"/>
        <v/>
      </c>
      <c r="BU756" t="str">
        <f t="shared" si="307"/>
        <v/>
      </c>
    </row>
    <row r="757" spans="1:73">
      <c r="A757" s="1">
        <v>79278</v>
      </c>
      <c r="B757" t="str">
        <f>VLOOKUP($A757,[1]Table!$A$2:$N926,B$1,FALSE)</f>
        <v>J06BA02</v>
      </c>
      <c r="C757" t="str">
        <f>VLOOKUP($A757,[1]Table!$A$2:$N926,C$1,FALSE)</f>
        <v>SERA EN IMMUNOGLOBULINEN</v>
      </c>
      <c r="D757" t="str">
        <f>VLOOKUP($A757,[1]Table!$A$2:$N926,D$1,FALSE)</f>
        <v>IMMUNOGLOBULINEN</v>
      </c>
      <c r="E757" t="str">
        <f>VLOOKUP($A757,[1]Table!$A$2:$N926,E$1,FALSE)</f>
        <v>IMMUNOGLOBULINE NORMAAL</v>
      </c>
      <c r="F757" t="str">
        <f>VLOOKUP($A757,[1]Table!$A$2:$N926,F$1,FALSE)</f>
        <v>GAMMAGARD S/D 10 GRAM</v>
      </c>
      <c r="G757" t="str">
        <f>VLOOKUP($A757,[1]Table!$A$2:$N926,G$1,FALSE)</f>
        <v>IMMUNOGLOBULINE 10G INFPDR</v>
      </c>
      <c r="H757" t="str">
        <f>VLOOKUP($A757,[1]Table!$A$2:$N926,H$1,FALSE)</f>
        <v>poeder voor oplossing voor infusie</v>
      </c>
      <c r="I757" t="str">
        <f>VLOOKUP($A757,[1]Table!$A$2:$N926,I$1,FALSE)</f>
        <v>iv</v>
      </c>
      <c r="J757">
        <f>VLOOKUP($A757,[1]Table!$A$2:$N926,J$1,FALSE)</f>
        <v>10</v>
      </c>
      <c r="K757" t="str">
        <f>VLOOKUP($A757,[1]Table!$A$2:$N926,K$1,FALSE)</f>
        <v>gr/stuk</v>
      </c>
      <c r="L757">
        <f>VLOOKUP($A757,[1]Table!$A$2:$N926,L$1,FALSE)</f>
        <v>10</v>
      </c>
      <c r="M757" t="str">
        <f>VLOOKUP($A757,[1]Table!$A$2:$N926,M$1,FALSE)</f>
        <v>gr</v>
      </c>
      <c r="N757" t="str">
        <f>VLOOKUP($A757,[1]Table!$A$2:$N926,N$1,FALSE)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7" t="str">
        <f>ConcatenateRange(AZ757:BU757,"||")</f>
        <v/>
      </c>
      <c r="AZ757" t="str">
        <f t="shared" si="286"/>
        <v/>
      </c>
      <c r="BA757" t="str">
        <f t="shared" si="287"/>
        <v/>
      </c>
      <c r="BB757" t="str">
        <f t="shared" si="288"/>
        <v/>
      </c>
      <c r="BC757" t="str">
        <f t="shared" si="289"/>
        <v/>
      </c>
      <c r="BD757" t="str">
        <f t="shared" si="290"/>
        <v/>
      </c>
      <c r="BE757" t="str">
        <f t="shared" si="291"/>
        <v/>
      </c>
      <c r="BF757" t="str">
        <f t="shared" si="292"/>
        <v/>
      </c>
      <c r="BG757" t="str">
        <f t="shared" si="293"/>
        <v/>
      </c>
      <c r="BH757" t="str">
        <f t="shared" si="294"/>
        <v/>
      </c>
      <c r="BI757" t="str">
        <f t="shared" si="295"/>
        <v/>
      </c>
      <c r="BJ757" t="str">
        <f t="shared" si="296"/>
        <v/>
      </c>
      <c r="BK757" t="str">
        <f t="shared" si="297"/>
        <v/>
      </c>
      <c r="BL757" t="str">
        <f t="shared" si="298"/>
        <v/>
      </c>
      <c r="BM757" t="str">
        <f t="shared" si="299"/>
        <v/>
      </c>
      <c r="BN757" t="str">
        <f t="shared" si="300"/>
        <v/>
      </c>
      <c r="BO757" t="str">
        <f t="shared" si="301"/>
        <v/>
      </c>
      <c r="BP757" t="str">
        <f t="shared" si="302"/>
        <v/>
      </c>
      <c r="BQ757" t="str">
        <f t="shared" si="303"/>
        <v/>
      </c>
      <c r="BR757" t="str">
        <f t="shared" si="304"/>
        <v/>
      </c>
      <c r="BS757" t="str">
        <f t="shared" si="305"/>
        <v/>
      </c>
      <c r="BT757" t="str">
        <f t="shared" si="306"/>
        <v/>
      </c>
      <c r="BU757" t="str">
        <f t="shared" si="307"/>
        <v/>
      </c>
    </row>
    <row r="758" spans="1:73">
      <c r="A758" s="1">
        <v>175</v>
      </c>
      <c r="B758" t="str">
        <f>VLOOKUP($A758,[1]Table!$A$2:$N927,B$1,FALSE)</f>
        <v>M01AB01</v>
      </c>
      <c r="C758" t="str">
        <f>VLOOKUP($A758,[1]Table!$A$2:$N927,C$1,FALSE)</f>
        <v>ANTI-INFLAMMATOIRE EN ANTIREUMATISCHE MIDDELEN</v>
      </c>
      <c r="D758" t="str">
        <f>VLOOKUP($A758,[1]Table!$A$2:$N927,D$1,FALSE)</f>
        <v>NIET-STEROIDE ANTI-INFLAMMATOIRE EN ANTIREUMATISCHE MIDD.</v>
      </c>
      <c r="E758" t="str">
        <f>VLOOKUP($A758,[1]Table!$A$2:$N927,E$1,FALSE)</f>
        <v>INDOMETACINE</v>
      </c>
      <c r="F758" t="str">
        <f>VLOOKUP($A758,[1]Table!$A$2:$N927,F$1,FALSE)</f>
        <v>INDOMETACINE CF CAPSULE 25MG</v>
      </c>
      <c r="G758" t="str">
        <f>VLOOKUP($A758,[1]Table!$A$2:$N927,G$1,FALSE)</f>
        <v>INDOMETACINE 25MG CAPSULE</v>
      </c>
      <c r="H758" t="str">
        <f>VLOOKUP($A758,[1]Table!$A$2:$N927,H$1,FALSE)</f>
        <v>capsule</v>
      </c>
      <c r="I758" t="str">
        <f>VLOOKUP($A758,[1]Table!$A$2:$N927,I$1,FALSE)</f>
        <v>or</v>
      </c>
      <c r="J758">
        <f>VLOOKUP($A758,[1]Table!$A$2:$N927,J$1,FALSE)</f>
        <v>25</v>
      </c>
      <c r="K758" t="str">
        <f>VLOOKUP($A758,[1]Table!$A$2:$N927,K$1,FALSE)</f>
        <v>mg/stuk</v>
      </c>
      <c r="L758">
        <f>VLOOKUP($A758,[1]Table!$A$2:$N927,L$1,FALSE)</f>
        <v>25</v>
      </c>
      <c r="M758" t="str">
        <f>VLOOKUP($A758,[1]Table!$A$2:$N927,M$1,FALSE)</f>
        <v>mg</v>
      </c>
      <c r="N758" t="str">
        <f>VLOOKUP($A758,[1]Table!$A$2:$N927,N$1,FALSE)</f>
        <v>Pijnbestrijding||Pijn, ontstekingsactiviteit en koorts bij Juveniele Idiopatische Arthritis (JIA)||Sluiten ductus arteriosus</v>
      </c>
      <c r="O758" t="str">
        <f>ConcatenateRange(AZ758:BU758,"||")</f>
        <v/>
      </c>
      <c r="AZ758" t="str">
        <f t="shared" si="286"/>
        <v/>
      </c>
      <c r="BA758" t="str">
        <f t="shared" si="287"/>
        <v/>
      </c>
      <c r="BB758" t="str">
        <f t="shared" si="288"/>
        <v/>
      </c>
      <c r="BC758" t="str">
        <f t="shared" si="289"/>
        <v/>
      </c>
      <c r="BD758" t="str">
        <f t="shared" si="290"/>
        <v/>
      </c>
      <c r="BE758" t="str">
        <f t="shared" si="291"/>
        <v/>
      </c>
      <c r="BF758" t="str">
        <f t="shared" si="292"/>
        <v/>
      </c>
      <c r="BG758" t="str">
        <f t="shared" si="293"/>
        <v/>
      </c>
      <c r="BH758" t="str">
        <f t="shared" si="294"/>
        <v/>
      </c>
      <c r="BI758" t="str">
        <f t="shared" si="295"/>
        <v/>
      </c>
      <c r="BJ758" t="str">
        <f t="shared" si="296"/>
        <v/>
      </c>
      <c r="BK758" t="str">
        <f t="shared" si="297"/>
        <v/>
      </c>
      <c r="BL758" t="str">
        <f t="shared" si="298"/>
        <v/>
      </c>
      <c r="BM758" t="str">
        <f t="shared" si="299"/>
        <v/>
      </c>
      <c r="BN758" t="str">
        <f t="shared" si="300"/>
        <v/>
      </c>
      <c r="BO758" t="str">
        <f t="shared" si="301"/>
        <v/>
      </c>
      <c r="BP758" t="str">
        <f t="shared" si="302"/>
        <v/>
      </c>
      <c r="BQ758" t="str">
        <f t="shared" si="303"/>
        <v/>
      </c>
      <c r="BR758" t="str">
        <f t="shared" si="304"/>
        <v/>
      </c>
      <c r="BS758" t="str">
        <f t="shared" si="305"/>
        <v/>
      </c>
      <c r="BT758" t="str">
        <f t="shared" si="306"/>
        <v/>
      </c>
      <c r="BU758" t="str">
        <f t="shared" si="307"/>
        <v/>
      </c>
    </row>
    <row r="759" spans="1:73">
      <c r="A759" s="1">
        <v>16349</v>
      </c>
      <c r="B759" t="str">
        <f>VLOOKUP($A759,[1]Table!$A$2:$N928,B$1,FALSE)</f>
        <v>M01AB01</v>
      </c>
      <c r="C759" t="str">
        <f>VLOOKUP($A759,[1]Table!$A$2:$N928,C$1,FALSE)</f>
        <v>ANTI-INFLAMMATOIRE EN ANTIREUMATISCHE MIDDELEN</v>
      </c>
      <c r="D759" t="str">
        <f>VLOOKUP($A759,[1]Table!$A$2:$N928,D$1,FALSE)</f>
        <v>NIET-STEROIDE ANTI-INFLAMMATOIRE EN ANTIREUMATISCHE MIDD.</v>
      </c>
      <c r="E759" t="str">
        <f>VLOOKUP($A759,[1]Table!$A$2:$N928,E$1,FALSE)</f>
        <v>INDOMETACINE</v>
      </c>
      <c r="F759" t="str">
        <f>VLOOKUP($A759,[1]Table!$A$2:$N928,F$1,FALSE)</f>
        <v>INDOMETACINE 50 MG CAPSULE</v>
      </c>
      <c r="G759" t="str">
        <f>VLOOKUP($A759,[1]Table!$A$2:$N928,G$1,FALSE)</f>
        <v>INDOMETACINE 50MG CAPSULE</v>
      </c>
      <c r="H759" t="str">
        <f>VLOOKUP($A759,[1]Table!$A$2:$N928,H$1,FALSE)</f>
        <v>capsule</v>
      </c>
      <c r="I759" t="str">
        <f>VLOOKUP($A759,[1]Table!$A$2:$N928,I$1,FALSE)</f>
        <v>or</v>
      </c>
      <c r="J759">
        <f>VLOOKUP($A759,[1]Table!$A$2:$N928,J$1,FALSE)</f>
        <v>50</v>
      </c>
      <c r="K759" t="str">
        <f>VLOOKUP($A759,[1]Table!$A$2:$N928,K$1,FALSE)</f>
        <v>mg/stuk</v>
      </c>
      <c r="L759">
        <f>VLOOKUP($A759,[1]Table!$A$2:$N928,L$1,FALSE)</f>
        <v>50</v>
      </c>
      <c r="M759" t="str">
        <f>VLOOKUP($A759,[1]Table!$A$2:$N928,M$1,FALSE)</f>
        <v>mg</v>
      </c>
      <c r="N759" t="str">
        <f>VLOOKUP($A759,[1]Table!$A$2:$N928,N$1,FALSE)</f>
        <v>Pijnbestrijding||Pijn, ontstekingsactiviteit en koorts bij Juveniele Idiopatische Arthritis (JIA)||Sluiten ductus arteriosus</v>
      </c>
      <c r="O759" t="str">
        <f>ConcatenateRange(AZ759:BU759,"||")</f>
        <v/>
      </c>
      <c r="AZ759" t="str">
        <f t="shared" si="286"/>
        <v/>
      </c>
      <c r="BA759" t="str">
        <f t="shared" si="287"/>
        <v/>
      </c>
      <c r="BB759" t="str">
        <f t="shared" si="288"/>
        <v/>
      </c>
      <c r="BC759" t="str">
        <f t="shared" si="289"/>
        <v/>
      </c>
      <c r="BD759" t="str">
        <f t="shared" si="290"/>
        <v/>
      </c>
      <c r="BE759" t="str">
        <f t="shared" si="291"/>
        <v/>
      </c>
      <c r="BF759" t="str">
        <f t="shared" si="292"/>
        <v/>
      </c>
      <c r="BG759" t="str">
        <f t="shared" si="293"/>
        <v/>
      </c>
      <c r="BH759" t="str">
        <f t="shared" si="294"/>
        <v/>
      </c>
      <c r="BI759" t="str">
        <f t="shared" si="295"/>
        <v/>
      </c>
      <c r="BJ759" t="str">
        <f t="shared" si="296"/>
        <v/>
      </c>
      <c r="BK759" t="str">
        <f t="shared" si="297"/>
        <v/>
      </c>
      <c r="BL759" t="str">
        <f t="shared" si="298"/>
        <v/>
      </c>
      <c r="BM759" t="str">
        <f t="shared" si="299"/>
        <v/>
      </c>
      <c r="BN759" t="str">
        <f t="shared" si="300"/>
        <v/>
      </c>
      <c r="BO759" t="str">
        <f t="shared" si="301"/>
        <v/>
      </c>
      <c r="BP759" t="str">
        <f t="shared" si="302"/>
        <v/>
      </c>
      <c r="BQ759" t="str">
        <f t="shared" si="303"/>
        <v/>
      </c>
      <c r="BR759" t="str">
        <f t="shared" si="304"/>
        <v/>
      </c>
      <c r="BS759" t="str">
        <f t="shared" si="305"/>
        <v/>
      </c>
      <c r="BT759" t="str">
        <f t="shared" si="306"/>
        <v/>
      </c>
      <c r="BU759" t="str">
        <f t="shared" si="307"/>
        <v/>
      </c>
    </row>
    <row r="760" spans="1:73">
      <c r="A760" s="1">
        <v>16365</v>
      </c>
      <c r="B760" t="str">
        <f>VLOOKUP($A760,[1]Table!$A$2:$N929,B$1,FALSE)</f>
        <v>M01AB01</v>
      </c>
      <c r="C760" t="str">
        <f>VLOOKUP($A760,[1]Table!$A$2:$N929,C$1,FALSE)</f>
        <v>ANTI-INFLAMMATOIRE EN ANTIREUMATISCHE MIDDELEN</v>
      </c>
      <c r="D760" t="str">
        <f>VLOOKUP($A760,[1]Table!$A$2:$N929,D$1,FALSE)</f>
        <v>NIET-STEROIDE ANTI-INFLAMMATOIRE EN ANTIREUMATISCHE MIDD.</v>
      </c>
      <c r="E760" t="str">
        <f>VLOOKUP($A760,[1]Table!$A$2:$N929,E$1,FALSE)</f>
        <v>INDOMETACINE</v>
      </c>
      <c r="F760" t="str">
        <f>VLOOKUP($A760,[1]Table!$A$2:$N929,F$1,FALSE)</f>
        <v>INDOMETACINE 50 MG ZETPIL</v>
      </c>
      <c r="G760" t="str">
        <f>VLOOKUP($A760,[1]Table!$A$2:$N929,G$1,FALSE)</f>
        <v>INDOMETACINE 50MG ZETPIL</v>
      </c>
      <c r="H760" t="str">
        <f>VLOOKUP($A760,[1]Table!$A$2:$N929,H$1,FALSE)</f>
        <v>zetpil</v>
      </c>
      <c r="I760" t="str">
        <f>VLOOKUP($A760,[1]Table!$A$2:$N929,I$1,FALSE)</f>
        <v>rect</v>
      </c>
      <c r="J760">
        <f>VLOOKUP($A760,[1]Table!$A$2:$N929,J$1,FALSE)</f>
        <v>50</v>
      </c>
      <c r="K760" t="str">
        <f>VLOOKUP($A760,[1]Table!$A$2:$N929,K$1,FALSE)</f>
        <v>mg/stuk</v>
      </c>
      <c r="L760">
        <f>VLOOKUP($A760,[1]Table!$A$2:$N929,L$1,FALSE)</f>
        <v>25</v>
      </c>
      <c r="M760" t="str">
        <f>VLOOKUP($A760,[1]Table!$A$2:$N929,M$1,FALSE)</f>
        <v>mg</v>
      </c>
      <c r="N760" t="str">
        <f>VLOOKUP($A760,[1]Table!$A$2:$N929,N$1,FALSE)</f>
        <v>Pijnbestrijding||Pijn, ontstekingsactiviteit en koorts bij Juveniele Idiopatische Arthritis (JIA)||Sluiten ductus arteriosus</v>
      </c>
      <c r="O760" t="str">
        <f>ConcatenateRange(AZ760:BU760,"||")</f>
        <v/>
      </c>
      <c r="AZ760" t="str">
        <f t="shared" si="286"/>
        <v/>
      </c>
      <c r="BA760" t="str">
        <f t="shared" si="287"/>
        <v/>
      </c>
      <c r="BB760" t="str">
        <f t="shared" si="288"/>
        <v/>
      </c>
      <c r="BC760" t="str">
        <f t="shared" si="289"/>
        <v/>
      </c>
      <c r="BD760" t="str">
        <f t="shared" si="290"/>
        <v/>
      </c>
      <c r="BE760" t="str">
        <f t="shared" si="291"/>
        <v/>
      </c>
      <c r="BF760" t="str">
        <f t="shared" si="292"/>
        <v/>
      </c>
      <c r="BG760" t="str">
        <f t="shared" si="293"/>
        <v/>
      </c>
      <c r="BH760" t="str">
        <f t="shared" si="294"/>
        <v/>
      </c>
      <c r="BI760" t="str">
        <f t="shared" si="295"/>
        <v/>
      </c>
      <c r="BJ760" t="str">
        <f t="shared" si="296"/>
        <v/>
      </c>
      <c r="BK760" t="str">
        <f t="shared" si="297"/>
        <v/>
      </c>
      <c r="BL760" t="str">
        <f t="shared" si="298"/>
        <v/>
      </c>
      <c r="BM760" t="str">
        <f t="shared" si="299"/>
        <v/>
      </c>
      <c r="BN760" t="str">
        <f t="shared" si="300"/>
        <v/>
      </c>
      <c r="BO760" t="str">
        <f t="shared" si="301"/>
        <v/>
      </c>
      <c r="BP760" t="str">
        <f t="shared" si="302"/>
        <v/>
      </c>
      <c r="BQ760" t="str">
        <f t="shared" si="303"/>
        <v/>
      </c>
      <c r="BR760" t="str">
        <f t="shared" si="304"/>
        <v/>
      </c>
      <c r="BS760" t="str">
        <f t="shared" si="305"/>
        <v/>
      </c>
      <c r="BT760" t="str">
        <f t="shared" si="306"/>
        <v/>
      </c>
      <c r="BU760" t="str">
        <f t="shared" si="307"/>
        <v/>
      </c>
    </row>
    <row r="761" spans="1:73">
      <c r="A761" s="1">
        <v>16373</v>
      </c>
      <c r="B761" t="str">
        <f>VLOOKUP($A761,[1]Table!$A$2:$N930,B$1,FALSE)</f>
        <v>M01AB01</v>
      </c>
      <c r="C761" t="str">
        <f>VLOOKUP($A761,[1]Table!$A$2:$N930,C$1,FALSE)</f>
        <v>ANTI-INFLAMMATOIRE EN ANTIREUMATISCHE MIDDELEN</v>
      </c>
      <c r="D761" t="str">
        <f>VLOOKUP($A761,[1]Table!$A$2:$N930,D$1,FALSE)</f>
        <v>NIET-STEROIDE ANTI-INFLAMMATOIRE EN ANTIREUMATISCHE MIDD.</v>
      </c>
      <c r="E761" t="str">
        <f>VLOOKUP($A761,[1]Table!$A$2:$N930,E$1,FALSE)</f>
        <v>INDOMETACINE</v>
      </c>
      <c r="F761" t="str">
        <f>VLOOKUP($A761,[1]Table!$A$2:$N930,F$1,FALSE)</f>
        <v>INDOMETACINE 100 MG ZETPIL</v>
      </c>
      <c r="G761" t="str">
        <f>VLOOKUP($A761,[1]Table!$A$2:$N930,G$1,FALSE)</f>
        <v>INDOMETACINE 100MG ZETPIL</v>
      </c>
      <c r="H761" t="str">
        <f>VLOOKUP($A761,[1]Table!$A$2:$N930,H$1,FALSE)</f>
        <v>zetpil</v>
      </c>
      <c r="I761" t="str">
        <f>VLOOKUP($A761,[1]Table!$A$2:$N930,I$1,FALSE)</f>
        <v>rect</v>
      </c>
      <c r="J761">
        <f>VLOOKUP($A761,[1]Table!$A$2:$N930,J$1,FALSE)</f>
        <v>100</v>
      </c>
      <c r="K761" t="str">
        <f>VLOOKUP($A761,[1]Table!$A$2:$N930,K$1,FALSE)</f>
        <v>mg/stuk</v>
      </c>
      <c r="L761">
        <f>VLOOKUP($A761,[1]Table!$A$2:$N930,L$1,FALSE)</f>
        <v>100</v>
      </c>
      <c r="M761" t="str">
        <f>VLOOKUP($A761,[1]Table!$A$2:$N930,M$1,FALSE)</f>
        <v>mg</v>
      </c>
      <c r="N761" t="str">
        <f>VLOOKUP($A761,[1]Table!$A$2:$N930,N$1,FALSE)</f>
        <v>Pijnbestrijding||Pijn, ontstekingsactiviteit en koorts bij Juveniele Idiopatische Arthritis (JIA)||Sluiten ductus arteriosus</v>
      </c>
      <c r="O761" t="str">
        <f>ConcatenateRange(AZ761:BU761,"||")</f>
        <v/>
      </c>
      <c r="AZ761" t="str">
        <f t="shared" si="286"/>
        <v/>
      </c>
      <c r="BA761" t="str">
        <f t="shared" si="287"/>
        <v/>
      </c>
      <c r="BB761" t="str">
        <f t="shared" si="288"/>
        <v/>
      </c>
      <c r="BC761" t="str">
        <f t="shared" si="289"/>
        <v/>
      </c>
      <c r="BD761" t="str">
        <f t="shared" si="290"/>
        <v/>
      </c>
      <c r="BE761" t="str">
        <f t="shared" si="291"/>
        <v/>
      </c>
      <c r="BF761" t="str">
        <f t="shared" si="292"/>
        <v/>
      </c>
      <c r="BG761" t="str">
        <f t="shared" si="293"/>
        <v/>
      </c>
      <c r="BH761" t="str">
        <f t="shared" si="294"/>
        <v/>
      </c>
      <c r="BI761" t="str">
        <f t="shared" si="295"/>
        <v/>
      </c>
      <c r="BJ761" t="str">
        <f t="shared" si="296"/>
        <v/>
      </c>
      <c r="BK761" t="str">
        <f t="shared" si="297"/>
        <v/>
      </c>
      <c r="BL761" t="str">
        <f t="shared" si="298"/>
        <v/>
      </c>
      <c r="BM761" t="str">
        <f t="shared" si="299"/>
        <v/>
      </c>
      <c r="BN761" t="str">
        <f t="shared" si="300"/>
        <v/>
      </c>
      <c r="BO761" t="str">
        <f t="shared" si="301"/>
        <v/>
      </c>
      <c r="BP761" t="str">
        <f t="shared" si="302"/>
        <v/>
      </c>
      <c r="BQ761" t="str">
        <f t="shared" si="303"/>
        <v/>
      </c>
      <c r="BR761" t="str">
        <f t="shared" si="304"/>
        <v/>
      </c>
      <c r="BS761" t="str">
        <f t="shared" si="305"/>
        <v/>
      </c>
      <c r="BT761" t="str">
        <f t="shared" si="306"/>
        <v/>
      </c>
      <c r="BU761" t="str">
        <f t="shared" si="307"/>
        <v/>
      </c>
    </row>
    <row r="762" spans="1:73">
      <c r="A762" s="22">
        <v>98084925</v>
      </c>
      <c r="B762" t="str">
        <f>VLOOKUP($A762,[1]Table!$A$2:$N1710,B$1,FALSE)</f>
        <v>J07CA06</v>
      </c>
      <c r="C762" t="str">
        <f>VLOOKUP($A762,[1]Table!$A$2:$N1710,C$1,FALSE)</f>
        <v>VACCINS</v>
      </c>
      <c r="D762" t="str">
        <f>VLOOKUP($A762,[1]Table!$A$2:$N1710,D$1,FALSE)</f>
        <v>BACTERIELE VACCINS MET VIRALE VACCINS</v>
      </c>
      <c r="E762" t="str">
        <f>VLOOKUP($A762,[1]Table!$A$2:$N1710,E$1,FALSE)</f>
        <v>INFANRIX-IPV</v>
      </c>
      <c r="F762" t="str">
        <f>VLOOKUP($A762,[1]Table!$A$2:$N1710,F$1,FALSE)</f>
        <v>INFANRIX-IPV SUSPENSIE VOOR INJECTIE</v>
      </c>
      <c r="G762" t="str">
        <f>VLOOKUP($A762,[1]Table!$A$2:$N1710,G$1,FALSE)</f>
        <v>DKTP-HIB VACCIN (INFANRIX)</v>
      </c>
      <c r="H762" t="str">
        <f>VLOOKUP($A762,[1]Table!$A$2:$N1710,H$1,FALSE)</f>
        <v>suspensie voor injectie</v>
      </c>
      <c r="I762" t="str">
        <f>VLOOKUP($A762,[1]Table!$A$2:$N1710,I$1,FALSE)</f>
        <v>im</v>
      </c>
      <c r="J762">
        <f>VLOOKUP($A762,[1]Table!$A$2:$N1710,J$1,FALSE)</f>
        <v>60</v>
      </c>
      <c r="K762" t="str">
        <f>VLOOKUP($A762,[1]Table!$A$2:$N1710,K$1,FALSE)</f>
        <v>IE/ml</v>
      </c>
      <c r="L762">
        <f>VLOOKUP($A762,[1]Table!$A$2:$N1710,L$1,FALSE)</f>
        <v>0.5</v>
      </c>
      <c r="M762" t="str">
        <f>VLOOKUP($A762,[1]Table!$A$2:$N1710,M$1,FALSE)</f>
        <v>ml</v>
      </c>
      <c r="N762" t="str">
        <f>VLOOKUP($A762,[1]Table!$A$2:$N1710,N$1,FALSE)</f>
        <v>Vaccinatie Difterie, Kinkhoest, Tetanus, Poliomyelitis en infecties veroorzaakt door Haemophilus influenzae type B. (DKTP-HiB)</v>
      </c>
      <c r="AZ762" t="str">
        <f t="shared" si="286"/>
        <v/>
      </c>
      <c r="BA762" t="str">
        <f t="shared" si="287"/>
        <v/>
      </c>
      <c r="BB762" t="str">
        <f t="shared" si="288"/>
        <v/>
      </c>
      <c r="BC762" t="str">
        <f t="shared" si="289"/>
        <v/>
      </c>
      <c r="BD762" t="str">
        <f t="shared" si="290"/>
        <v/>
      </c>
      <c r="BE762" t="str">
        <f t="shared" si="291"/>
        <v/>
      </c>
      <c r="BF762" t="str">
        <f t="shared" si="292"/>
        <v/>
      </c>
      <c r="BG762" t="str">
        <f t="shared" si="293"/>
        <v/>
      </c>
      <c r="BH762" t="str">
        <f t="shared" si="294"/>
        <v/>
      </c>
      <c r="BI762" t="str">
        <f t="shared" si="295"/>
        <v/>
      </c>
      <c r="BJ762" t="str">
        <f t="shared" si="296"/>
        <v/>
      </c>
      <c r="BK762" t="str">
        <f t="shared" si="297"/>
        <v/>
      </c>
      <c r="BL762" t="str">
        <f t="shared" si="298"/>
        <v/>
      </c>
      <c r="BM762" t="str">
        <f t="shared" si="299"/>
        <v/>
      </c>
      <c r="BN762" t="str">
        <f t="shared" si="300"/>
        <v/>
      </c>
      <c r="BO762" t="str">
        <f t="shared" si="301"/>
        <v/>
      </c>
      <c r="BP762" t="str">
        <f t="shared" si="302"/>
        <v/>
      </c>
      <c r="BQ762" t="str">
        <f t="shared" si="303"/>
        <v/>
      </c>
      <c r="BR762" t="str">
        <f t="shared" si="304"/>
        <v/>
      </c>
      <c r="BS762" t="str">
        <f t="shared" si="305"/>
        <v/>
      </c>
      <c r="BT762" t="str">
        <f t="shared" si="306"/>
        <v/>
      </c>
      <c r="BU762" t="str">
        <f t="shared" si="307"/>
        <v/>
      </c>
    </row>
    <row r="763" spans="1:73">
      <c r="A763" s="20">
        <v>171832</v>
      </c>
      <c r="B763" t="str">
        <f>VLOOKUP($A763,[1]Table!$A$2:$N1714,B$1,FALSE)</f>
        <v>J07BB02</v>
      </c>
      <c r="C763" t="str">
        <f>VLOOKUP($A763,[1]Table!$A$2:$N1714,C$1,FALSE)</f>
        <v>VACCINS</v>
      </c>
      <c r="D763" t="str">
        <f>VLOOKUP($A763,[1]Table!$A$2:$N1714,D$1,FALSE)</f>
        <v>VIRALE VACCINS</v>
      </c>
      <c r="E763" t="str">
        <f>VLOOKUP($A763,[1]Table!$A$2:$N1714,E$1,FALSE)</f>
        <v>INFLUENZAVACCIN</v>
      </c>
      <c r="F763" t="str">
        <f>VLOOKUP($A763,[1]Table!$A$2:$N1714,F$1,FALSE)</f>
        <v>INFLUVAC 2017/2018 WWSP INJSUSP 0,5ML</v>
      </c>
      <c r="G763" t="str">
        <f>VLOOKUP($A763,[1]Table!$A$2:$N1714,G$1,FALSE)</f>
        <v>INFLUENZAVAC 2017/2018 SUBU</v>
      </c>
      <c r="H763" t="str">
        <f>VLOOKUP($A763,[1]Table!$A$2:$N1714,H$1,FALSE)</f>
        <v>suspensie voor injectie</v>
      </c>
      <c r="I763" t="str">
        <f>VLOOKUP($A763,[1]Table!$A$2:$N1714,I$1,FALSE)</f>
        <v>im||sc</v>
      </c>
      <c r="J763">
        <f>VLOOKUP($A763,[1]Table!$A$2:$N1714,J$1,FALSE)</f>
        <v>30</v>
      </c>
      <c r="K763" t="str">
        <f>VLOOKUP($A763,[1]Table!$A$2:$N1714,K$1,FALSE)</f>
        <v>mcg/ml</v>
      </c>
      <c r="L763">
        <f>VLOOKUP($A763,[1]Table!$A$2:$N1714,L$1,FALSE)</f>
        <v>0.5</v>
      </c>
      <c r="M763" t="str">
        <f>VLOOKUP($A763,[1]Table!$A$2:$N1714,M$1,FALSE)</f>
        <v>ml</v>
      </c>
      <c r="N763" t="str">
        <f>VLOOKUP($A763,[1]Table!$A$2:$N1714,N$1,FALSE)</f>
        <v>Jaarlijkse influenza vaccinatie||Profylaxe van influenza (in een officieel verklaarde pandemische situatie)</v>
      </c>
      <c r="AZ763" t="str">
        <f t="shared" si="286"/>
        <v/>
      </c>
      <c r="BA763" t="str">
        <f t="shared" si="287"/>
        <v/>
      </c>
      <c r="BB763" t="str">
        <f t="shared" si="288"/>
        <v/>
      </c>
      <c r="BC763" t="str">
        <f t="shared" si="289"/>
        <v/>
      </c>
      <c r="BD763" t="str">
        <f t="shared" si="290"/>
        <v/>
      </c>
      <c r="BE763" t="str">
        <f t="shared" si="291"/>
        <v/>
      </c>
      <c r="BF763" t="str">
        <f t="shared" si="292"/>
        <v/>
      </c>
      <c r="BG763" t="str">
        <f t="shared" si="293"/>
        <v/>
      </c>
      <c r="BH763" t="str">
        <f t="shared" si="294"/>
        <v/>
      </c>
      <c r="BI763" t="str">
        <f t="shared" si="295"/>
        <v/>
      </c>
      <c r="BJ763" t="str">
        <f t="shared" si="296"/>
        <v/>
      </c>
      <c r="BK763" t="str">
        <f t="shared" si="297"/>
        <v/>
      </c>
      <c r="BL763" t="str">
        <f t="shared" si="298"/>
        <v/>
      </c>
      <c r="BM763" t="str">
        <f t="shared" si="299"/>
        <v/>
      </c>
      <c r="BN763" t="str">
        <f t="shared" si="300"/>
        <v/>
      </c>
      <c r="BO763" t="str">
        <f t="shared" si="301"/>
        <v/>
      </c>
      <c r="BP763" t="str">
        <f t="shared" si="302"/>
        <v/>
      </c>
      <c r="BQ763" t="str">
        <f t="shared" si="303"/>
        <v/>
      </c>
      <c r="BR763" t="str">
        <f t="shared" si="304"/>
        <v/>
      </c>
      <c r="BS763" t="str">
        <f t="shared" si="305"/>
        <v/>
      </c>
      <c r="BT763" t="str">
        <f t="shared" si="306"/>
        <v/>
      </c>
      <c r="BU763" t="str">
        <f t="shared" si="307"/>
        <v/>
      </c>
    </row>
    <row r="764" spans="1:73">
      <c r="A764" s="1">
        <v>108251</v>
      </c>
      <c r="B764" t="str">
        <f>VLOOKUP($A764,[1]Table!$A$2:$N936,B$1,FALSE)</f>
        <v>A10AB05</v>
      </c>
      <c r="C764" t="str">
        <f>VLOOKUP($A764,[1]Table!$A$2:$N936,C$1,FALSE)</f>
        <v>DIABETESMIDDELEN</v>
      </c>
      <c r="D764" t="str">
        <f>VLOOKUP($A764,[1]Table!$A$2:$N936,D$1,FALSE)</f>
        <v>INSULINES EN ANALOGEN</v>
      </c>
      <c r="E764" t="str">
        <f>VLOOKUP($A764,[1]Table!$A$2:$N936,E$1,FALSE)</f>
        <v>INSULINE ASPART</v>
      </c>
      <c r="F764" t="str">
        <f>VLOOKUP($A764,[1]Table!$A$2:$N936,F$1,FALSE)</f>
        <v>INS NOVORAPID 100 IE/ML FLACON 10 ML</v>
      </c>
      <c r="G764" t="str">
        <f>VLOOKUP($A764,[1]Table!$A$2:$N936,G$1,FALSE)</f>
        <v>INSULINE ASPART 100E/ML INJ</v>
      </c>
      <c r="H764" t="str">
        <f>VLOOKUP($A764,[1]Table!$A$2:$N936,H$1,FALSE)</f>
        <v>injectievloeistof</v>
      </c>
      <c r="I764" t="str">
        <f>VLOOKUP($A764,[1]Table!$A$2:$N936,I$1,FALSE)</f>
        <v>iv||sc</v>
      </c>
      <c r="J764">
        <f>VLOOKUP($A764,[1]Table!$A$2:$N936,J$1,FALSE)</f>
        <v>100</v>
      </c>
      <c r="K764" t="str">
        <f>VLOOKUP($A764,[1]Table!$A$2:$N936,K$1,FALSE)</f>
        <v>E/ml</v>
      </c>
      <c r="L764">
        <f>VLOOKUP($A764,[1]Table!$A$2:$N936,L$1,FALSE)</f>
        <v>100</v>
      </c>
      <c r="M764" t="str">
        <f>VLOOKUP($A764,[1]Table!$A$2:$N936,M$1,FALSE)</f>
        <v>E</v>
      </c>
      <c r="N764" t="s">
        <v>61</v>
      </c>
      <c r="O764" t="str">
        <f>ConcatenateRange(AZ764:BU764,"||")</f>
        <v/>
      </c>
      <c r="AZ764" t="str">
        <f t="shared" si="286"/>
        <v/>
      </c>
      <c r="BA764" t="str">
        <f t="shared" si="287"/>
        <v/>
      </c>
      <c r="BB764" t="str">
        <f t="shared" si="288"/>
        <v/>
      </c>
      <c r="BC764" t="str">
        <f t="shared" si="289"/>
        <v/>
      </c>
      <c r="BD764" t="str">
        <f t="shared" si="290"/>
        <v/>
      </c>
      <c r="BE764" t="str">
        <f t="shared" si="291"/>
        <v/>
      </c>
      <c r="BF764" t="str">
        <f t="shared" si="292"/>
        <v/>
      </c>
      <c r="BG764" t="str">
        <f t="shared" si="293"/>
        <v/>
      </c>
      <c r="BH764" t="str">
        <f t="shared" si="294"/>
        <v/>
      </c>
      <c r="BI764" t="str">
        <f t="shared" si="295"/>
        <v/>
      </c>
      <c r="BJ764" t="str">
        <f t="shared" si="296"/>
        <v/>
      </c>
      <c r="BK764" t="str">
        <f t="shared" si="297"/>
        <v/>
      </c>
      <c r="BL764" t="str">
        <f t="shared" si="298"/>
        <v/>
      </c>
      <c r="BM764" t="str">
        <f t="shared" si="299"/>
        <v/>
      </c>
      <c r="BN764" t="str">
        <f t="shared" si="300"/>
        <v/>
      </c>
      <c r="BO764" t="str">
        <f t="shared" si="301"/>
        <v/>
      </c>
      <c r="BP764" t="str">
        <f t="shared" si="302"/>
        <v/>
      </c>
      <c r="BQ764" t="str">
        <f t="shared" si="303"/>
        <v/>
      </c>
      <c r="BR764" t="str">
        <f t="shared" si="304"/>
        <v/>
      </c>
      <c r="BS764" t="str">
        <f t="shared" si="305"/>
        <v/>
      </c>
      <c r="BT764" t="str">
        <f t="shared" si="306"/>
        <v/>
      </c>
      <c r="BU764" t="str">
        <f t="shared" si="307"/>
        <v/>
      </c>
    </row>
    <row r="765" spans="1:73">
      <c r="A765" s="1">
        <v>149403</v>
      </c>
      <c r="B765" t="str">
        <f>VLOOKUP($A765,[1]Table!$A$2:$N937,B$1,FALSE)</f>
        <v>A10AE06</v>
      </c>
      <c r="C765" t="str">
        <f>VLOOKUP($A765,[1]Table!$A$2:$N937,C$1,FALSE)</f>
        <v>DIABETESMIDDELEN</v>
      </c>
      <c r="D765" t="str">
        <f>VLOOKUP($A765,[1]Table!$A$2:$N937,D$1,FALSE)</f>
        <v>INSULINES EN ANALOGEN</v>
      </c>
      <c r="E765" t="str">
        <f>VLOOKUP($A765,[1]Table!$A$2:$N937,E$1,FALSE)</f>
        <v>INSULINE DEGLUDEC</v>
      </c>
      <c r="F765" t="str">
        <f>VLOOKUP($A765,[1]Table!$A$2:$N937,F$1,FALSE)</f>
        <v>TRESIBA 100 E/ML PENFIL3 ML</v>
      </c>
      <c r="G765" t="str">
        <f>VLOOKUP($A765,[1]Table!$A$2:$N937,G$1,FALSE)</f>
        <v>INSULI DEGLUDEC 100E/ML INJ</v>
      </c>
      <c r="H765" t="str">
        <f>VLOOKUP($A765,[1]Table!$A$2:$N937,H$1,FALSE)</f>
        <v>injectievloeistof</v>
      </c>
      <c r="I765" t="str">
        <f>VLOOKUP($A765,[1]Table!$A$2:$N937,I$1,FALSE)</f>
        <v>sc</v>
      </c>
      <c r="J765">
        <f>VLOOKUP($A765,[1]Table!$A$2:$N937,J$1,FALSE)</f>
        <v>100</v>
      </c>
      <c r="K765" t="str">
        <f>VLOOKUP($A765,[1]Table!$A$2:$N937,K$1,FALSE)</f>
        <v>E/ml</v>
      </c>
      <c r="L765">
        <f>VLOOKUP($A765,[1]Table!$A$2:$N937,L$1,FALSE)</f>
        <v>100</v>
      </c>
      <c r="M765" t="str">
        <f>VLOOKUP($A765,[1]Table!$A$2:$N937,M$1,FALSE)</f>
        <v>E</v>
      </c>
      <c r="N765" t="s">
        <v>60</v>
      </c>
      <c r="O765" t="str">
        <f>ConcatenateRange(AZ765:BU765,"||")</f>
        <v/>
      </c>
      <c r="AZ765" t="str">
        <f t="shared" si="286"/>
        <v/>
      </c>
      <c r="BA765" t="str">
        <f t="shared" si="287"/>
        <v/>
      </c>
      <c r="BB765" t="str">
        <f t="shared" si="288"/>
        <v/>
      </c>
      <c r="BC765" t="str">
        <f t="shared" si="289"/>
        <v/>
      </c>
      <c r="BD765" t="str">
        <f t="shared" si="290"/>
        <v/>
      </c>
      <c r="BE765" t="str">
        <f t="shared" si="291"/>
        <v/>
      </c>
      <c r="BF765" t="str">
        <f t="shared" si="292"/>
        <v/>
      </c>
      <c r="BG765" t="str">
        <f t="shared" si="293"/>
        <v/>
      </c>
      <c r="BH765" t="str">
        <f t="shared" si="294"/>
        <v/>
      </c>
      <c r="BI765" t="str">
        <f t="shared" si="295"/>
        <v/>
      </c>
      <c r="BJ765" t="str">
        <f t="shared" si="296"/>
        <v/>
      </c>
      <c r="BK765" t="str">
        <f t="shared" si="297"/>
        <v/>
      </c>
      <c r="BL765" t="str">
        <f t="shared" si="298"/>
        <v/>
      </c>
      <c r="BM765" t="str">
        <f t="shared" si="299"/>
        <v/>
      </c>
      <c r="BN765" t="str">
        <f t="shared" si="300"/>
        <v/>
      </c>
      <c r="BO765" t="str">
        <f t="shared" si="301"/>
        <v/>
      </c>
      <c r="BP765" t="str">
        <f t="shared" si="302"/>
        <v/>
      </c>
      <c r="BQ765" t="str">
        <f t="shared" si="303"/>
        <v/>
      </c>
      <c r="BR765" t="str">
        <f t="shared" si="304"/>
        <v/>
      </c>
      <c r="BS765" t="str">
        <f t="shared" si="305"/>
        <v/>
      </c>
      <c r="BT765" t="str">
        <f t="shared" si="306"/>
        <v/>
      </c>
      <c r="BU765" t="str">
        <f t="shared" si="307"/>
        <v/>
      </c>
    </row>
    <row r="766" spans="1:73">
      <c r="A766" s="1">
        <v>149411</v>
      </c>
      <c r="B766" t="str">
        <f>VLOOKUP($A766,[1]Table!$A$2:$N938,B$1,FALSE)</f>
        <v>A10AE06</v>
      </c>
      <c r="C766" t="str">
        <f>VLOOKUP($A766,[1]Table!$A$2:$N938,C$1,FALSE)</f>
        <v>DIABETESMIDDELEN</v>
      </c>
      <c r="D766" t="str">
        <f>VLOOKUP($A766,[1]Table!$A$2:$N938,D$1,FALSE)</f>
        <v>INSULINES EN ANALOGEN</v>
      </c>
      <c r="E766" t="str">
        <f>VLOOKUP($A766,[1]Table!$A$2:$N938,E$1,FALSE)</f>
        <v>INSULINE DEGLUDEC</v>
      </c>
      <c r="F766" t="str">
        <f>VLOOKUP($A766,[1]Table!$A$2:$N938,F$1,FALSE)</f>
        <v>TRESIBA 200 E/ML WWSP FLEXTOUCH3 ML</v>
      </c>
      <c r="G766" t="str">
        <f>VLOOKUP($A766,[1]Table!$A$2:$N938,G$1,FALSE)</f>
        <v>INSULI DEGLUDEC 200E/ML INJ</v>
      </c>
      <c r="H766" t="str">
        <f>VLOOKUP($A766,[1]Table!$A$2:$N938,H$1,FALSE)</f>
        <v>injectievloeistof</v>
      </c>
      <c r="I766" t="str">
        <f>VLOOKUP($A766,[1]Table!$A$2:$N938,I$1,FALSE)</f>
        <v>sc</v>
      </c>
      <c r="J766">
        <f>VLOOKUP($A766,[1]Table!$A$2:$N938,J$1,FALSE)</f>
        <v>200</v>
      </c>
      <c r="K766" t="str">
        <f>VLOOKUP($A766,[1]Table!$A$2:$N938,K$1,FALSE)</f>
        <v>E/ml</v>
      </c>
      <c r="L766">
        <f>VLOOKUP($A766,[1]Table!$A$2:$N938,L$1,FALSE)</f>
        <v>200</v>
      </c>
      <c r="M766" t="str">
        <f>VLOOKUP($A766,[1]Table!$A$2:$N938,M$1,FALSE)</f>
        <v>E</v>
      </c>
      <c r="N766" t="s">
        <v>60</v>
      </c>
      <c r="O766" t="str">
        <f>ConcatenateRange(AZ766:BU766,"||")</f>
        <v/>
      </c>
      <c r="AZ766" t="str">
        <f t="shared" si="286"/>
        <v/>
      </c>
      <c r="BA766" t="str">
        <f t="shared" si="287"/>
        <v/>
      </c>
      <c r="BB766" t="str">
        <f t="shared" si="288"/>
        <v/>
      </c>
      <c r="BC766" t="str">
        <f t="shared" si="289"/>
        <v/>
      </c>
      <c r="BD766" t="str">
        <f t="shared" si="290"/>
        <v/>
      </c>
      <c r="BE766" t="str">
        <f t="shared" si="291"/>
        <v/>
      </c>
      <c r="BF766" t="str">
        <f t="shared" si="292"/>
        <v/>
      </c>
      <c r="BG766" t="str">
        <f t="shared" si="293"/>
        <v/>
      </c>
      <c r="BH766" t="str">
        <f t="shared" si="294"/>
        <v/>
      </c>
      <c r="BI766" t="str">
        <f t="shared" si="295"/>
        <v/>
      </c>
      <c r="BJ766" t="str">
        <f t="shared" si="296"/>
        <v/>
      </c>
      <c r="BK766" t="str">
        <f t="shared" si="297"/>
        <v/>
      </c>
      <c r="BL766" t="str">
        <f t="shared" si="298"/>
        <v/>
      </c>
      <c r="BM766" t="str">
        <f t="shared" si="299"/>
        <v/>
      </c>
      <c r="BN766" t="str">
        <f t="shared" si="300"/>
        <v/>
      </c>
      <c r="BO766" t="str">
        <f t="shared" si="301"/>
        <v/>
      </c>
      <c r="BP766" t="str">
        <f t="shared" si="302"/>
        <v/>
      </c>
      <c r="BQ766" t="str">
        <f t="shared" si="303"/>
        <v/>
      </c>
      <c r="BR766" t="str">
        <f t="shared" si="304"/>
        <v/>
      </c>
      <c r="BS766" t="str">
        <f t="shared" si="305"/>
        <v/>
      </c>
      <c r="BT766" t="str">
        <f t="shared" si="306"/>
        <v/>
      </c>
      <c r="BU766" t="str">
        <f t="shared" si="307"/>
        <v/>
      </c>
    </row>
    <row r="767" spans="1:73">
      <c r="A767" s="1">
        <v>121819</v>
      </c>
      <c r="B767" t="str">
        <f>VLOOKUP($A767,[1]Table!$A$2:$N939,B$1,FALSE)</f>
        <v>A10AE05</v>
      </c>
      <c r="C767" t="str">
        <f>VLOOKUP($A767,[1]Table!$A$2:$N939,C$1,FALSE)</f>
        <v>DIABETESMIDDELEN</v>
      </c>
      <c r="D767" t="str">
        <f>VLOOKUP($A767,[1]Table!$A$2:$N939,D$1,FALSE)</f>
        <v>INSULINES EN ANALOGEN</v>
      </c>
      <c r="E767" t="str">
        <f>VLOOKUP($A767,[1]Table!$A$2:$N939,E$1,FALSE)</f>
        <v>INSULINE DETEMIR</v>
      </c>
      <c r="F767" t="str">
        <f>VLOOKUP($A767,[1]Table!$A$2:$N939,F$1,FALSE)</f>
        <v>LEVEMIR WEGWERPPEN 3ML</v>
      </c>
      <c r="G767" t="str">
        <f>VLOOKUP($A767,[1]Table!$A$2:$N939,G$1,FALSE)</f>
        <v>INSULINE DETEMI 100E/ML INJ</v>
      </c>
      <c r="H767" t="str">
        <f>VLOOKUP($A767,[1]Table!$A$2:$N939,H$1,FALSE)</f>
        <v>injectievloeistof</v>
      </c>
      <c r="I767" t="str">
        <f>VLOOKUP($A767,[1]Table!$A$2:$N939,I$1,FALSE)</f>
        <v>sc</v>
      </c>
      <c r="J767">
        <f>VLOOKUP($A767,[1]Table!$A$2:$N939,J$1,FALSE)</f>
        <v>100</v>
      </c>
      <c r="K767" t="str">
        <f>VLOOKUP($A767,[1]Table!$A$2:$N939,K$1,FALSE)</f>
        <v>E/ml</v>
      </c>
      <c r="L767">
        <f>VLOOKUP($A767,[1]Table!$A$2:$N939,L$1,FALSE)</f>
        <v>100</v>
      </c>
      <c r="M767" t="str">
        <f>VLOOKUP($A767,[1]Table!$A$2:$N939,M$1,FALSE)</f>
        <v>E</v>
      </c>
      <c r="N767" t="s">
        <v>60</v>
      </c>
      <c r="O767" t="str">
        <f>ConcatenateRange(AZ767:BU767,"||")</f>
        <v/>
      </c>
      <c r="AZ767" t="str">
        <f t="shared" si="286"/>
        <v/>
      </c>
      <c r="BA767" t="str">
        <f t="shared" si="287"/>
        <v/>
      </c>
      <c r="BB767" t="str">
        <f t="shared" si="288"/>
        <v/>
      </c>
      <c r="BC767" t="str">
        <f t="shared" si="289"/>
        <v/>
      </c>
      <c r="BD767" t="str">
        <f t="shared" si="290"/>
        <v/>
      </c>
      <c r="BE767" t="str">
        <f t="shared" si="291"/>
        <v/>
      </c>
      <c r="BF767" t="str">
        <f t="shared" si="292"/>
        <v/>
      </c>
      <c r="BG767" t="str">
        <f t="shared" si="293"/>
        <v/>
      </c>
      <c r="BH767" t="str">
        <f t="shared" si="294"/>
        <v/>
      </c>
      <c r="BI767" t="str">
        <f t="shared" si="295"/>
        <v/>
      </c>
      <c r="BJ767" t="str">
        <f t="shared" si="296"/>
        <v/>
      </c>
      <c r="BK767" t="str">
        <f t="shared" si="297"/>
        <v/>
      </c>
      <c r="BL767" t="str">
        <f t="shared" si="298"/>
        <v/>
      </c>
      <c r="BM767" t="str">
        <f t="shared" si="299"/>
        <v/>
      </c>
      <c r="BN767" t="str">
        <f t="shared" si="300"/>
        <v/>
      </c>
      <c r="BO767" t="str">
        <f t="shared" si="301"/>
        <v/>
      </c>
      <c r="BP767" t="str">
        <f t="shared" si="302"/>
        <v/>
      </c>
      <c r="BQ767" t="str">
        <f t="shared" si="303"/>
        <v/>
      </c>
      <c r="BR767" t="str">
        <f t="shared" si="304"/>
        <v/>
      </c>
      <c r="BS767" t="str">
        <f t="shared" si="305"/>
        <v/>
      </c>
      <c r="BT767" t="str">
        <f t="shared" si="306"/>
        <v/>
      </c>
      <c r="BU767" t="str">
        <f t="shared" si="307"/>
        <v/>
      </c>
    </row>
    <row r="768" spans="1:73">
      <c r="A768" s="1">
        <v>74136</v>
      </c>
      <c r="B768" t="str">
        <f>VLOOKUP($A768,[1]Table!$A$2:$N931,B$1,FALSE)</f>
        <v>A10AB01</v>
      </c>
      <c r="C768" t="str">
        <f>VLOOKUP($A768,[1]Table!$A$2:$N931,C$1,FALSE)</f>
        <v>DIABETESMIDDELEN</v>
      </c>
      <c r="D768" t="str">
        <f>VLOOKUP($A768,[1]Table!$A$2:$N931,D$1,FALSE)</f>
        <v>INSULINES EN ANALOGEN</v>
      </c>
      <c r="E768" t="str">
        <f>VLOOKUP($A768,[1]Table!$A$2:$N931,E$1,FALSE)</f>
        <v>INSULINE GEWOON</v>
      </c>
      <c r="F768" t="str">
        <f>VLOOKUP($A768,[1]Table!$A$2:$N931,F$1,FALSE)</f>
        <v>INSUMAN INFUSAT PENFILL 3.15 ML</v>
      </c>
      <c r="G768" t="str">
        <f>VLOOKUP($A768,[1]Table!$A$2:$N931,G$1,FALSE)</f>
        <v>INSULINE GEW 100IE/ML INFVL</v>
      </c>
      <c r="H768" t="str">
        <f>VLOOKUP($A768,[1]Table!$A$2:$N931,H$1,FALSE)</f>
        <v>infusievloeistof</v>
      </c>
      <c r="I768" t="str">
        <f>VLOOKUP($A768,[1]Table!$A$2:$N931,I$1,FALSE)</f>
        <v>sc</v>
      </c>
      <c r="J768">
        <f>VLOOKUP($A768,[1]Table!$A$2:$N931,J$1,FALSE)</f>
        <v>100</v>
      </c>
      <c r="K768" t="str">
        <f>VLOOKUP($A768,[1]Table!$A$2:$N931,K$1,FALSE)</f>
        <v>IE/ml</v>
      </c>
      <c r="L768">
        <f>VLOOKUP($A768,[1]Table!$A$2:$N931,L$1,FALSE)</f>
        <v>100</v>
      </c>
      <c r="M768" t="str">
        <f>VLOOKUP($A768,[1]Table!$A$2:$N931,M$1,FALSE)</f>
        <v>IE</v>
      </c>
      <c r="N768" t="str">
        <f>VLOOKUP($A768,[1]Table!$A$2:$N931,N$1,FALSE)</f>
        <v>Diabetes Mellitus, insuline afhankelijk||Acute diabetische keto-acidose</v>
      </c>
      <c r="O768" t="str">
        <f>ConcatenateRange(AZ768:BU768,"||")</f>
        <v/>
      </c>
      <c r="AZ768" t="str">
        <f t="shared" si="286"/>
        <v/>
      </c>
      <c r="BA768" t="str">
        <f t="shared" si="287"/>
        <v/>
      </c>
      <c r="BB768" t="str">
        <f t="shared" si="288"/>
        <v/>
      </c>
      <c r="BC768" t="str">
        <f t="shared" si="289"/>
        <v/>
      </c>
      <c r="BD768" t="str">
        <f t="shared" si="290"/>
        <v/>
      </c>
      <c r="BE768" t="str">
        <f t="shared" si="291"/>
        <v/>
      </c>
      <c r="BF768" t="str">
        <f t="shared" si="292"/>
        <v/>
      </c>
      <c r="BG768" t="str">
        <f t="shared" si="293"/>
        <v/>
      </c>
      <c r="BH768" t="str">
        <f t="shared" si="294"/>
        <v/>
      </c>
      <c r="BI768" t="str">
        <f t="shared" si="295"/>
        <v/>
      </c>
      <c r="BJ768" t="str">
        <f t="shared" si="296"/>
        <v/>
      </c>
      <c r="BK768" t="str">
        <f t="shared" si="297"/>
        <v/>
      </c>
      <c r="BL768" t="str">
        <f t="shared" si="298"/>
        <v/>
      </c>
      <c r="BM768" t="str">
        <f t="shared" si="299"/>
        <v/>
      </c>
      <c r="BN768" t="str">
        <f t="shared" si="300"/>
        <v/>
      </c>
      <c r="BO768" t="str">
        <f t="shared" si="301"/>
        <v/>
      </c>
      <c r="BP768" t="str">
        <f t="shared" si="302"/>
        <v/>
      </c>
      <c r="BQ768" t="str">
        <f t="shared" si="303"/>
        <v/>
      </c>
      <c r="BR768" t="str">
        <f t="shared" si="304"/>
        <v/>
      </c>
      <c r="BS768" t="str">
        <f t="shared" si="305"/>
        <v/>
      </c>
      <c r="BT768" t="str">
        <f t="shared" si="306"/>
        <v/>
      </c>
      <c r="BU768" t="str">
        <f t="shared" si="307"/>
        <v/>
      </c>
    </row>
    <row r="769" spans="1:73">
      <c r="A769" s="1">
        <v>67075</v>
      </c>
      <c r="B769" t="str">
        <f>VLOOKUP($A769,[1]Table!$A$2:$N932,B$1,FALSE)</f>
        <v>A10AB01</v>
      </c>
      <c r="C769" t="str">
        <f>VLOOKUP($A769,[1]Table!$A$2:$N932,C$1,FALSE)</f>
        <v>DIABETESMIDDELEN</v>
      </c>
      <c r="D769" t="str">
        <f>VLOOKUP($A769,[1]Table!$A$2:$N932,D$1,FALSE)</f>
        <v>INSULINES EN ANALOGEN</v>
      </c>
      <c r="E769" t="str">
        <f>VLOOKUP($A769,[1]Table!$A$2:$N932,E$1,FALSE)</f>
        <v>INSULINE GEWOON</v>
      </c>
      <c r="F769" t="str">
        <f>VLOOKUP($A769,[1]Table!$A$2:$N932,F$1,FALSE)</f>
        <v>INS HUMULINE REGULAR PENFILL 3ML</v>
      </c>
      <c r="G769" t="str">
        <f>VLOOKUP($A769,[1]Table!$A$2:$N932,G$1,FALSE)</f>
        <v>INSULINE GEW 100IE/ML INJVL</v>
      </c>
      <c r="H769" t="str">
        <f>VLOOKUP($A769,[1]Table!$A$2:$N932,H$1,FALSE)</f>
        <v>injectievloeistof</v>
      </c>
      <c r="I769" t="str">
        <f>VLOOKUP($A769,[1]Table!$A$2:$N932,I$1,FALSE)</f>
        <v>iv||sc||im</v>
      </c>
      <c r="J769">
        <f>VLOOKUP($A769,[1]Table!$A$2:$N932,J$1,FALSE)</f>
        <v>100</v>
      </c>
      <c r="K769" t="str">
        <f>VLOOKUP($A769,[1]Table!$A$2:$N932,K$1,FALSE)</f>
        <v>IE/ml</v>
      </c>
      <c r="L769">
        <f>VLOOKUP($A769,[1]Table!$A$2:$N932,L$1,FALSE)</f>
        <v>100</v>
      </c>
      <c r="M769" t="str">
        <f>VLOOKUP($A769,[1]Table!$A$2:$N932,M$1,FALSE)</f>
        <v>IE</v>
      </c>
      <c r="N769" t="str">
        <f>VLOOKUP($A769,[1]Table!$A$2:$N932,N$1,FALSE)</f>
        <v>Diabetes Mellitus, insuline afhankelijk||Acute diabetische keto-acidose</v>
      </c>
      <c r="O769" t="str">
        <f>ConcatenateRange(AZ769:BU769,"||")</f>
        <v/>
      </c>
      <c r="AZ769" t="str">
        <f t="shared" si="286"/>
        <v/>
      </c>
      <c r="BA769" t="str">
        <f t="shared" si="287"/>
        <v/>
      </c>
      <c r="BB769" t="str">
        <f t="shared" si="288"/>
        <v/>
      </c>
      <c r="BC769" t="str">
        <f t="shared" si="289"/>
        <v/>
      </c>
      <c r="BD769" t="str">
        <f t="shared" si="290"/>
        <v/>
      </c>
      <c r="BE769" t="str">
        <f t="shared" si="291"/>
        <v/>
      </c>
      <c r="BF769" t="str">
        <f t="shared" si="292"/>
        <v/>
      </c>
      <c r="BG769" t="str">
        <f t="shared" si="293"/>
        <v/>
      </c>
      <c r="BH769" t="str">
        <f t="shared" si="294"/>
        <v/>
      </c>
      <c r="BI769" t="str">
        <f t="shared" si="295"/>
        <v/>
      </c>
      <c r="BJ769" t="str">
        <f t="shared" si="296"/>
        <v/>
      </c>
      <c r="BK769" t="str">
        <f t="shared" si="297"/>
        <v/>
      </c>
      <c r="BL769" t="str">
        <f t="shared" si="298"/>
        <v/>
      </c>
      <c r="BM769" t="str">
        <f t="shared" si="299"/>
        <v/>
      </c>
      <c r="BN769" t="str">
        <f t="shared" si="300"/>
        <v/>
      </c>
      <c r="BO769" t="str">
        <f t="shared" si="301"/>
        <v/>
      </c>
      <c r="BP769" t="str">
        <f t="shared" si="302"/>
        <v/>
      </c>
      <c r="BQ769" t="str">
        <f t="shared" si="303"/>
        <v/>
      </c>
      <c r="BR769" t="str">
        <f t="shared" si="304"/>
        <v/>
      </c>
      <c r="BS769" t="str">
        <f t="shared" si="305"/>
        <v/>
      </c>
      <c r="BT769" t="str">
        <f t="shared" si="306"/>
        <v/>
      </c>
      <c r="BU769" t="str">
        <f t="shared" si="307"/>
        <v/>
      </c>
    </row>
    <row r="770" spans="1:73">
      <c r="A770" s="1">
        <v>115754</v>
      </c>
      <c r="B770" t="str">
        <f>VLOOKUP($A770,[1]Table!$A$2:$N933,B$1,FALSE)</f>
        <v>A10AD01</v>
      </c>
      <c r="C770" t="str">
        <f>VLOOKUP($A770,[1]Table!$A$2:$N933,C$1,FALSE)</f>
        <v>DIABETESMIDDELEN</v>
      </c>
      <c r="D770" t="str">
        <f>VLOOKUP($A770,[1]Table!$A$2:$N933,D$1,FALSE)</f>
        <v>INSULINES EN ANALOGEN</v>
      </c>
      <c r="E770" t="str">
        <f>VLOOKUP($A770,[1]Table!$A$2:$N933,E$1,FALSE)</f>
        <v>INSULINE GEWOON+ISOFAAN</v>
      </c>
      <c r="F770" t="str">
        <f>VLOOKUP($A770,[1]Table!$A$2:$N933,F$1,FALSE)</f>
        <v>INSUMAN COMB 25 SOLOSTAR 100IE/ML PEN 3 ML</v>
      </c>
      <c r="G770" t="str">
        <f>VLOOKUP($A770,[1]Table!$A$2:$N933,G$1,FALSE)</f>
        <v>INSULINE GEW+ISO 25/75IE/ML</v>
      </c>
      <c r="H770" t="str">
        <f>VLOOKUP($A770,[1]Table!$A$2:$N933,H$1,FALSE)</f>
        <v>suspensie voor injectie</v>
      </c>
      <c r="I770" t="str">
        <f>VLOOKUP($A770,[1]Table!$A$2:$N933,I$1,FALSE)</f>
        <v>sc</v>
      </c>
      <c r="J770">
        <f>VLOOKUP($A770,[1]Table!$A$2:$N933,J$1,FALSE)</f>
        <v>25</v>
      </c>
      <c r="K770" t="str">
        <f>VLOOKUP($A770,[1]Table!$A$2:$N933,K$1,FALSE)</f>
        <v>IE/ml</v>
      </c>
      <c r="L770">
        <f>VLOOKUP($A770,[1]Table!$A$2:$N933,L$1,FALSE)</f>
        <v>25</v>
      </c>
      <c r="M770" t="str">
        <f>VLOOKUP($A770,[1]Table!$A$2:$N933,M$1,FALSE)</f>
        <v>IE</v>
      </c>
      <c r="N770" t="str">
        <f>VLOOKUP($A770,[1]Table!$A$2:$N933,N$1,FALSE)</f>
        <v>Diabetes Mellitus, insuline afhankelijk</v>
      </c>
      <c r="O770" t="str">
        <f>ConcatenateRange(AZ770:BU770,"||")</f>
        <v/>
      </c>
      <c r="AZ770" t="str">
        <f t="shared" si="286"/>
        <v/>
      </c>
      <c r="BA770" t="str">
        <f t="shared" si="287"/>
        <v/>
      </c>
      <c r="BB770" t="str">
        <f t="shared" si="288"/>
        <v/>
      </c>
      <c r="BC770" t="str">
        <f t="shared" si="289"/>
        <v/>
      </c>
      <c r="BD770" t="str">
        <f t="shared" si="290"/>
        <v/>
      </c>
      <c r="BE770" t="str">
        <f t="shared" si="291"/>
        <v/>
      </c>
      <c r="BF770" t="str">
        <f t="shared" si="292"/>
        <v/>
      </c>
      <c r="BG770" t="str">
        <f t="shared" si="293"/>
        <v/>
      </c>
      <c r="BH770" t="str">
        <f t="shared" si="294"/>
        <v/>
      </c>
      <c r="BI770" t="str">
        <f t="shared" si="295"/>
        <v/>
      </c>
      <c r="BJ770" t="str">
        <f t="shared" si="296"/>
        <v/>
      </c>
      <c r="BK770" t="str">
        <f t="shared" si="297"/>
        <v/>
      </c>
      <c r="BL770" t="str">
        <f t="shared" si="298"/>
        <v/>
      </c>
      <c r="BM770" t="str">
        <f t="shared" si="299"/>
        <v/>
      </c>
      <c r="BN770" t="str">
        <f t="shared" si="300"/>
        <v/>
      </c>
      <c r="BO770" t="str">
        <f t="shared" si="301"/>
        <v/>
      </c>
      <c r="BP770" t="str">
        <f t="shared" si="302"/>
        <v/>
      </c>
      <c r="BQ770" t="str">
        <f t="shared" si="303"/>
        <v/>
      </c>
      <c r="BR770" t="str">
        <f t="shared" si="304"/>
        <v/>
      </c>
      <c r="BS770" t="str">
        <f t="shared" si="305"/>
        <v/>
      </c>
      <c r="BT770" t="str">
        <f t="shared" si="306"/>
        <v/>
      </c>
      <c r="BU770" t="str">
        <f t="shared" si="307"/>
        <v/>
      </c>
    </row>
    <row r="771" spans="1:73">
      <c r="A771" s="1">
        <v>111368</v>
      </c>
      <c r="B771" t="str">
        <f>VLOOKUP($A771,[1]Table!$A$2:$N934,B$1,FALSE)</f>
        <v>A10AD01</v>
      </c>
      <c r="C771" t="str">
        <f>VLOOKUP($A771,[1]Table!$A$2:$N934,C$1,FALSE)</f>
        <v>DIABETESMIDDELEN</v>
      </c>
      <c r="D771" t="str">
        <f>VLOOKUP($A771,[1]Table!$A$2:$N934,D$1,FALSE)</f>
        <v>INSULINES EN ANALOGEN</v>
      </c>
      <c r="E771" t="str">
        <f>VLOOKUP($A771,[1]Table!$A$2:$N934,E$1,FALSE)</f>
        <v>INSULINE GEWOON+ISOFAAN</v>
      </c>
      <c r="F771" t="str">
        <f>VLOOKUP($A771,[1]Table!$A$2:$N934,F$1,FALSE)</f>
        <v>INS HUMULINE 30/70 PENFILL 300IE</v>
      </c>
      <c r="G771" t="str">
        <f>VLOOKUP($A771,[1]Table!$A$2:$N934,G$1,FALSE)</f>
        <v>INSULINE GEW+ISO 30/70IE/ML</v>
      </c>
      <c r="H771" t="str">
        <f>VLOOKUP($A771,[1]Table!$A$2:$N934,H$1,FALSE)</f>
        <v>suspensie voor injectie</v>
      </c>
      <c r="I771" t="str">
        <f>VLOOKUP($A771,[1]Table!$A$2:$N934,I$1,FALSE)</f>
        <v>sc</v>
      </c>
      <c r="J771">
        <f>VLOOKUP($A771,[1]Table!$A$2:$N934,J$1,FALSE)</f>
        <v>30</v>
      </c>
      <c r="K771" t="str">
        <f>VLOOKUP($A771,[1]Table!$A$2:$N934,K$1,FALSE)</f>
        <v>IE/ml</v>
      </c>
      <c r="L771">
        <f>VLOOKUP($A771,[1]Table!$A$2:$N934,L$1,FALSE)</f>
        <v>30</v>
      </c>
      <c r="M771" t="str">
        <f>VLOOKUP($A771,[1]Table!$A$2:$N934,M$1,FALSE)</f>
        <v>IE</v>
      </c>
      <c r="N771" t="str">
        <f>VLOOKUP($A771,[1]Table!$A$2:$N934,N$1,FALSE)</f>
        <v>Diabetes Mellitus, insuline afhankelijk</v>
      </c>
      <c r="O771" t="str">
        <f>ConcatenateRange(AZ771:BU771,"||")</f>
        <v/>
      </c>
      <c r="AZ771" t="str">
        <f t="shared" si="286"/>
        <v/>
      </c>
      <c r="BA771" t="str">
        <f t="shared" si="287"/>
        <v/>
      </c>
      <c r="BB771" t="str">
        <f t="shared" si="288"/>
        <v/>
      </c>
      <c r="BC771" t="str">
        <f t="shared" si="289"/>
        <v/>
      </c>
      <c r="BD771" t="str">
        <f t="shared" si="290"/>
        <v/>
      </c>
      <c r="BE771" t="str">
        <f t="shared" si="291"/>
        <v/>
      </c>
      <c r="BF771" t="str">
        <f t="shared" si="292"/>
        <v/>
      </c>
      <c r="BG771" t="str">
        <f t="shared" si="293"/>
        <v/>
      </c>
      <c r="BH771" t="str">
        <f t="shared" si="294"/>
        <v/>
      </c>
      <c r="BI771" t="str">
        <f t="shared" si="295"/>
        <v/>
      </c>
      <c r="BJ771" t="str">
        <f t="shared" si="296"/>
        <v/>
      </c>
      <c r="BK771" t="str">
        <f t="shared" si="297"/>
        <v/>
      </c>
      <c r="BL771" t="str">
        <f t="shared" si="298"/>
        <v/>
      </c>
      <c r="BM771" t="str">
        <f t="shared" si="299"/>
        <v/>
      </c>
      <c r="BN771" t="str">
        <f t="shared" si="300"/>
        <v/>
      </c>
      <c r="BO771" t="str">
        <f t="shared" si="301"/>
        <v/>
      </c>
      <c r="BP771" t="str">
        <f t="shared" si="302"/>
        <v/>
      </c>
      <c r="BQ771" t="str">
        <f t="shared" si="303"/>
        <v/>
      </c>
      <c r="BR771" t="str">
        <f t="shared" si="304"/>
        <v/>
      </c>
      <c r="BS771" t="str">
        <f t="shared" si="305"/>
        <v/>
      </c>
      <c r="BT771" t="str">
        <f t="shared" si="306"/>
        <v/>
      </c>
      <c r="BU771" t="str">
        <f t="shared" si="307"/>
        <v/>
      </c>
    </row>
    <row r="772" spans="1:73">
      <c r="A772" s="1">
        <v>128651</v>
      </c>
      <c r="B772" t="str">
        <f>VLOOKUP($A772,[1]Table!$A$2:$N940,B$1,FALSE)</f>
        <v>A10AE04</v>
      </c>
      <c r="C772" t="str">
        <f>VLOOKUP($A772,[1]Table!$A$2:$N940,C$1,FALSE)</f>
        <v>DIABETESMIDDELEN</v>
      </c>
      <c r="D772" t="str">
        <f>VLOOKUP($A772,[1]Table!$A$2:$N940,D$1,FALSE)</f>
        <v>INSULINES EN ANALOGEN</v>
      </c>
      <c r="E772" t="str">
        <f>VLOOKUP($A772,[1]Table!$A$2:$N940,E$1,FALSE)</f>
        <v>INSULINE GLARGINE</v>
      </c>
      <c r="F772" t="str">
        <f>VLOOKUP($A772,[1]Table!$A$2:$N940,F$1,FALSE)</f>
        <v>INS LANTUS PENFILL 3ML</v>
      </c>
      <c r="G772" t="str">
        <f>VLOOKUP($A772,[1]Table!$A$2:$N940,G$1,FALSE)</f>
        <v>INSULINE GLARGINE 100E/ML I</v>
      </c>
      <c r="H772" t="str">
        <f>VLOOKUP($A772,[1]Table!$A$2:$N940,H$1,FALSE)</f>
        <v>injectievloeistof</v>
      </c>
      <c r="I772" t="str">
        <f>VLOOKUP($A772,[1]Table!$A$2:$N940,I$1,FALSE)</f>
        <v>sc</v>
      </c>
      <c r="J772">
        <f>VLOOKUP($A772,[1]Table!$A$2:$N940,J$1,FALSE)</f>
        <v>100</v>
      </c>
      <c r="K772" t="str">
        <f>VLOOKUP($A772,[1]Table!$A$2:$N940,K$1,FALSE)</f>
        <v>E/ml</v>
      </c>
      <c r="L772">
        <f>VLOOKUP($A772,[1]Table!$A$2:$N940,L$1,FALSE)</f>
        <v>100</v>
      </c>
      <c r="M772" t="str">
        <f>VLOOKUP($A772,[1]Table!$A$2:$N940,M$1,FALSE)</f>
        <v>E</v>
      </c>
      <c r="N772" t="s">
        <v>60</v>
      </c>
      <c r="O772" t="str">
        <f>ConcatenateRange(AZ772:BU772,"||")</f>
        <v/>
      </c>
      <c r="AZ772" t="str">
        <f t="shared" si="286"/>
        <v/>
      </c>
      <c r="BA772" t="str">
        <f t="shared" si="287"/>
        <v/>
      </c>
      <c r="BB772" t="str">
        <f t="shared" si="288"/>
        <v/>
      </c>
      <c r="BC772" t="str">
        <f t="shared" si="289"/>
        <v/>
      </c>
      <c r="BD772" t="str">
        <f t="shared" si="290"/>
        <v/>
      </c>
      <c r="BE772" t="str">
        <f t="shared" si="291"/>
        <v/>
      </c>
      <c r="BF772" t="str">
        <f t="shared" si="292"/>
        <v/>
      </c>
      <c r="BG772" t="str">
        <f t="shared" si="293"/>
        <v/>
      </c>
      <c r="BH772" t="str">
        <f t="shared" si="294"/>
        <v/>
      </c>
      <c r="BI772" t="str">
        <f t="shared" si="295"/>
        <v/>
      </c>
      <c r="BJ772" t="str">
        <f t="shared" si="296"/>
        <v/>
      </c>
      <c r="BK772" t="str">
        <f t="shared" si="297"/>
        <v/>
      </c>
      <c r="BL772" t="str">
        <f t="shared" si="298"/>
        <v/>
      </c>
      <c r="BM772" t="str">
        <f t="shared" si="299"/>
        <v/>
      </c>
      <c r="BN772" t="str">
        <f t="shared" si="300"/>
        <v/>
      </c>
      <c r="BO772" t="str">
        <f t="shared" si="301"/>
        <v/>
      </c>
      <c r="BP772" t="str">
        <f t="shared" si="302"/>
        <v/>
      </c>
      <c r="BQ772" t="str">
        <f t="shared" si="303"/>
        <v/>
      </c>
      <c r="BR772" t="str">
        <f t="shared" si="304"/>
        <v/>
      </c>
      <c r="BS772" t="str">
        <f t="shared" si="305"/>
        <v/>
      </c>
      <c r="BT772" t="str">
        <f t="shared" si="306"/>
        <v/>
      </c>
      <c r="BU772" t="str">
        <f t="shared" si="307"/>
        <v/>
      </c>
    </row>
    <row r="773" spans="1:73">
      <c r="A773" s="1">
        <v>157597</v>
      </c>
      <c r="B773" t="str">
        <f>VLOOKUP($A773,[1]Table!$A$2:$N941,B$1,FALSE)</f>
        <v>A10AE04</v>
      </c>
      <c r="C773" t="str">
        <f>VLOOKUP($A773,[1]Table!$A$2:$N941,C$1,FALSE)</f>
        <v>DIABETESMIDDELEN</v>
      </c>
      <c r="D773" t="str">
        <f>VLOOKUP($A773,[1]Table!$A$2:$N941,D$1,FALSE)</f>
        <v>INSULINES EN ANALOGEN</v>
      </c>
      <c r="E773" t="str">
        <f>VLOOKUP($A773,[1]Table!$A$2:$N941,E$1,FALSE)</f>
        <v>INSULINE GLARGINE</v>
      </c>
      <c r="F773" t="str">
        <f>VLOOKUP($A773,[1]Table!$A$2:$N941,F$1,FALSE)</f>
        <v>TOUJEO SOLOSTAR 300E/ML INJ PEN 1,5ML</v>
      </c>
      <c r="G773" t="str">
        <f>VLOOKUP($A773,[1]Table!$A$2:$N941,G$1,FALSE)</f>
        <v>INSULINE GLARGINE 300E/ML I</v>
      </c>
      <c r="H773" t="str">
        <f>VLOOKUP($A773,[1]Table!$A$2:$N941,H$1,FALSE)</f>
        <v>injectievloeistof</v>
      </c>
      <c r="I773" t="str">
        <f>VLOOKUP($A773,[1]Table!$A$2:$N941,I$1,FALSE)</f>
        <v>sc</v>
      </c>
      <c r="J773">
        <f>VLOOKUP($A773,[1]Table!$A$2:$N941,J$1,FALSE)</f>
        <v>300</v>
      </c>
      <c r="K773" t="str">
        <f>VLOOKUP($A773,[1]Table!$A$2:$N941,K$1,FALSE)</f>
        <v>E/ml</v>
      </c>
      <c r="L773">
        <f>VLOOKUP($A773,[1]Table!$A$2:$N941,L$1,FALSE)</f>
        <v>300</v>
      </c>
      <c r="M773" t="str">
        <f>VLOOKUP($A773,[1]Table!$A$2:$N941,M$1,FALSE)</f>
        <v>E</v>
      </c>
      <c r="N773" t="s">
        <v>60</v>
      </c>
      <c r="O773" t="str">
        <f>ConcatenateRange(AZ773:BU773,"||")</f>
        <v/>
      </c>
      <c r="AZ773" t="str">
        <f t="shared" si="286"/>
        <v/>
      </c>
      <c r="BA773" t="str">
        <f t="shared" si="287"/>
        <v/>
      </c>
      <c r="BB773" t="str">
        <f t="shared" si="288"/>
        <v/>
      </c>
      <c r="BC773" t="str">
        <f t="shared" si="289"/>
        <v/>
      </c>
      <c r="BD773" t="str">
        <f t="shared" si="290"/>
        <v/>
      </c>
      <c r="BE773" t="str">
        <f t="shared" si="291"/>
        <v/>
      </c>
      <c r="BF773" t="str">
        <f t="shared" si="292"/>
        <v/>
      </c>
      <c r="BG773" t="str">
        <f t="shared" si="293"/>
        <v/>
      </c>
      <c r="BH773" t="str">
        <f t="shared" si="294"/>
        <v/>
      </c>
      <c r="BI773" t="str">
        <f t="shared" si="295"/>
        <v/>
      </c>
      <c r="BJ773" t="str">
        <f t="shared" si="296"/>
        <v/>
      </c>
      <c r="BK773" t="str">
        <f t="shared" si="297"/>
        <v/>
      </c>
      <c r="BL773" t="str">
        <f t="shared" si="298"/>
        <v/>
      </c>
      <c r="BM773" t="str">
        <f t="shared" si="299"/>
        <v/>
      </c>
      <c r="BN773" t="str">
        <f t="shared" si="300"/>
        <v/>
      </c>
      <c r="BO773" t="str">
        <f t="shared" si="301"/>
        <v/>
      </c>
      <c r="BP773" t="str">
        <f t="shared" si="302"/>
        <v/>
      </c>
      <c r="BQ773" t="str">
        <f t="shared" si="303"/>
        <v/>
      </c>
      <c r="BR773" t="str">
        <f t="shared" si="304"/>
        <v/>
      </c>
      <c r="BS773" t="str">
        <f t="shared" si="305"/>
        <v/>
      </c>
      <c r="BT773" t="str">
        <f t="shared" si="306"/>
        <v/>
      </c>
      <c r="BU773" t="str">
        <f t="shared" si="307"/>
        <v/>
      </c>
    </row>
    <row r="774" spans="1:73">
      <c r="A774" s="1">
        <v>123625</v>
      </c>
      <c r="B774" t="str">
        <f>VLOOKUP($A774,[1]Table!$A$2:$N942,B$1,FALSE)</f>
        <v>A10AB06</v>
      </c>
      <c r="C774" t="str">
        <f>VLOOKUP($A774,[1]Table!$A$2:$N942,C$1,FALSE)</f>
        <v>DIABETESMIDDELEN</v>
      </c>
      <c r="D774" t="str">
        <f>VLOOKUP($A774,[1]Table!$A$2:$N942,D$1,FALSE)</f>
        <v>INSULINES EN ANALOGEN</v>
      </c>
      <c r="E774" t="str">
        <f>VLOOKUP($A774,[1]Table!$A$2:$N942,E$1,FALSE)</f>
        <v>INSULINE GLULISINE</v>
      </c>
      <c r="F774" t="str">
        <f>VLOOKUP($A774,[1]Table!$A$2:$N942,F$1,FALSE)</f>
        <v>APIDRA 100E/ML INJVLST PATROON 3ML</v>
      </c>
      <c r="G774" t="str">
        <f>VLOOKUP($A774,[1]Table!$A$2:$N942,G$1,FALSE)</f>
        <v>INSULINE GLULISINE 100E/ML</v>
      </c>
      <c r="H774" t="str">
        <f>VLOOKUP($A774,[1]Table!$A$2:$N942,H$1,FALSE)</f>
        <v>injectievloeistof</v>
      </c>
      <c r="I774" t="str">
        <f>VLOOKUP($A774,[1]Table!$A$2:$N942,I$1,FALSE)</f>
        <v>sc</v>
      </c>
      <c r="J774">
        <f>VLOOKUP($A774,[1]Table!$A$2:$N942,J$1,FALSE)</f>
        <v>100</v>
      </c>
      <c r="K774" t="str">
        <f>VLOOKUP($A774,[1]Table!$A$2:$N942,K$1,FALSE)</f>
        <v>E/ml</v>
      </c>
      <c r="L774">
        <f>VLOOKUP($A774,[1]Table!$A$2:$N942,L$1,FALSE)</f>
        <v>100</v>
      </c>
      <c r="M774" t="str">
        <f>VLOOKUP($A774,[1]Table!$A$2:$N942,M$1,FALSE)</f>
        <v>E</v>
      </c>
      <c r="N774" t="s">
        <v>60</v>
      </c>
      <c r="O774" t="str">
        <f>ConcatenateRange(AZ774:BU774,"||")</f>
        <v/>
      </c>
      <c r="AZ774" t="str">
        <f t="shared" si="286"/>
        <v/>
      </c>
      <c r="BA774" t="str">
        <f t="shared" si="287"/>
        <v/>
      </c>
      <c r="BB774" t="str">
        <f t="shared" si="288"/>
        <v/>
      </c>
      <c r="BC774" t="str">
        <f t="shared" si="289"/>
        <v/>
      </c>
      <c r="BD774" t="str">
        <f t="shared" si="290"/>
        <v/>
      </c>
      <c r="BE774" t="str">
        <f t="shared" si="291"/>
        <v/>
      </c>
      <c r="BF774" t="str">
        <f t="shared" si="292"/>
        <v/>
      </c>
      <c r="BG774" t="str">
        <f t="shared" si="293"/>
        <v/>
      </c>
      <c r="BH774" t="str">
        <f t="shared" si="294"/>
        <v/>
      </c>
      <c r="BI774" t="str">
        <f t="shared" si="295"/>
        <v/>
      </c>
      <c r="BJ774" t="str">
        <f t="shared" si="296"/>
        <v/>
      </c>
      <c r="BK774" t="str">
        <f t="shared" si="297"/>
        <v/>
      </c>
      <c r="BL774" t="str">
        <f t="shared" si="298"/>
        <v/>
      </c>
      <c r="BM774" t="str">
        <f t="shared" si="299"/>
        <v/>
      </c>
      <c r="BN774" t="str">
        <f t="shared" si="300"/>
        <v/>
      </c>
      <c r="BO774" t="str">
        <f t="shared" si="301"/>
        <v/>
      </c>
      <c r="BP774" t="str">
        <f t="shared" si="302"/>
        <v/>
      </c>
      <c r="BQ774" t="str">
        <f t="shared" si="303"/>
        <v/>
      </c>
      <c r="BR774" t="str">
        <f t="shared" si="304"/>
        <v/>
      </c>
      <c r="BS774" t="str">
        <f t="shared" si="305"/>
        <v/>
      </c>
      <c r="BT774" t="str">
        <f t="shared" si="306"/>
        <v/>
      </c>
      <c r="BU774" t="str">
        <f t="shared" si="307"/>
        <v/>
      </c>
    </row>
    <row r="775" spans="1:73">
      <c r="A775" s="1">
        <v>111325</v>
      </c>
      <c r="B775" t="str">
        <f>VLOOKUP($A775,[1]Table!$A$2:$N935,B$1,FALSE)</f>
        <v>A10AC01</v>
      </c>
      <c r="C775" t="str">
        <f>VLOOKUP($A775,[1]Table!$A$2:$N935,C$1,FALSE)</f>
        <v>DIABETESMIDDELEN</v>
      </c>
      <c r="D775" t="str">
        <f>VLOOKUP($A775,[1]Table!$A$2:$N935,D$1,FALSE)</f>
        <v>INSULINES EN ANALOGEN</v>
      </c>
      <c r="E775" t="str">
        <f>VLOOKUP($A775,[1]Table!$A$2:$N935,E$1,FALSE)</f>
        <v>INSULINE ISOFAAN</v>
      </c>
      <c r="F775" t="str">
        <f>VLOOKUP($A775,[1]Table!$A$2:$N935,F$1,FALSE)</f>
        <v>INS HUMULINE NPH PENFILL 3ML</v>
      </c>
      <c r="G775" t="str">
        <f>VLOOKUP($A775,[1]Table!$A$2:$N935,G$1,FALSE)</f>
        <v>INSULINE ISOFAAN 100IE/ML</v>
      </c>
      <c r="H775" t="str">
        <f>VLOOKUP($A775,[1]Table!$A$2:$N935,H$1,FALSE)</f>
        <v>suspensie voor injectie</v>
      </c>
      <c r="I775" t="str">
        <f>VLOOKUP($A775,[1]Table!$A$2:$N935,I$1,FALSE)</f>
        <v>sc||im</v>
      </c>
      <c r="J775">
        <f>VLOOKUP($A775,[1]Table!$A$2:$N935,J$1,FALSE)</f>
        <v>100</v>
      </c>
      <c r="K775" t="str">
        <f>VLOOKUP($A775,[1]Table!$A$2:$N935,K$1,FALSE)</f>
        <v>IE/ml</v>
      </c>
      <c r="L775">
        <f>VLOOKUP($A775,[1]Table!$A$2:$N935,L$1,FALSE)</f>
        <v>100</v>
      </c>
      <c r="M775" t="str">
        <f>VLOOKUP($A775,[1]Table!$A$2:$N935,M$1,FALSE)</f>
        <v>IE</v>
      </c>
      <c r="N775" t="str">
        <f>VLOOKUP($A775,[1]Table!$A$2:$N935,N$1,FALSE)</f>
        <v>Diabetes Mellitus, insuline afhankelijk</v>
      </c>
      <c r="O775" t="str">
        <f>ConcatenateRange(AZ775:BU775,"||")</f>
        <v/>
      </c>
      <c r="AZ775" t="str">
        <f t="shared" si="286"/>
        <v/>
      </c>
      <c r="BA775" t="str">
        <f t="shared" si="287"/>
        <v/>
      </c>
      <c r="BB775" t="str">
        <f t="shared" si="288"/>
        <v/>
      </c>
      <c r="BC775" t="str">
        <f t="shared" si="289"/>
        <v/>
      </c>
      <c r="BD775" t="str">
        <f t="shared" si="290"/>
        <v/>
      </c>
      <c r="BE775" t="str">
        <f t="shared" si="291"/>
        <v/>
      </c>
      <c r="BF775" t="str">
        <f t="shared" si="292"/>
        <v/>
      </c>
      <c r="BG775" t="str">
        <f t="shared" si="293"/>
        <v/>
      </c>
      <c r="BH775" t="str">
        <f t="shared" si="294"/>
        <v/>
      </c>
      <c r="BI775" t="str">
        <f t="shared" si="295"/>
        <v/>
      </c>
      <c r="BJ775" t="str">
        <f t="shared" si="296"/>
        <v/>
      </c>
      <c r="BK775" t="str">
        <f t="shared" si="297"/>
        <v/>
      </c>
      <c r="BL775" t="str">
        <f t="shared" si="298"/>
        <v/>
      </c>
      <c r="BM775" t="str">
        <f t="shared" si="299"/>
        <v/>
      </c>
      <c r="BN775" t="str">
        <f t="shared" si="300"/>
        <v/>
      </c>
      <c r="BO775" t="str">
        <f t="shared" si="301"/>
        <v/>
      </c>
      <c r="BP775" t="str">
        <f t="shared" si="302"/>
        <v/>
      </c>
      <c r="BQ775" t="str">
        <f t="shared" si="303"/>
        <v/>
      </c>
      <c r="BR775" t="str">
        <f t="shared" si="304"/>
        <v/>
      </c>
      <c r="BS775" t="str">
        <f t="shared" si="305"/>
        <v/>
      </c>
      <c r="BT775" t="str">
        <f t="shared" si="306"/>
        <v/>
      </c>
      <c r="BU775" t="str">
        <f t="shared" si="307"/>
        <v/>
      </c>
    </row>
    <row r="776" spans="1:73">
      <c r="A776" s="1">
        <v>115738</v>
      </c>
      <c r="B776" t="str">
        <f>VLOOKUP($A776,[1]Table!$A$2:$N943,B$1,FALSE)</f>
        <v>A10AB04</v>
      </c>
      <c r="C776" t="str">
        <f>VLOOKUP($A776,[1]Table!$A$2:$N943,C$1,FALSE)</f>
        <v>DIABETESMIDDELEN</v>
      </c>
      <c r="D776" t="str">
        <f>VLOOKUP($A776,[1]Table!$A$2:$N943,D$1,FALSE)</f>
        <v>INSULINES EN ANALOGEN</v>
      </c>
      <c r="E776" t="str">
        <f>VLOOKUP($A776,[1]Table!$A$2:$N943,E$1,FALSE)</f>
        <v>INSULINE LISPRO</v>
      </c>
      <c r="F776" t="str">
        <f>VLOOKUP($A776,[1]Table!$A$2:$N943,F$1,FALSE)</f>
        <v>HUMALOG 100E/ML INJVLST FLACON 10 ML</v>
      </c>
      <c r="G776" t="str">
        <f>VLOOKUP($A776,[1]Table!$A$2:$N943,G$1,FALSE)</f>
        <v>INSULINE LISPRO 100E/ML INJ</v>
      </c>
      <c r="H776" t="str">
        <f>VLOOKUP($A776,[1]Table!$A$2:$N943,H$1,FALSE)</f>
        <v>injectievloeistof</v>
      </c>
      <c r="I776" t="str">
        <f>VLOOKUP($A776,[1]Table!$A$2:$N943,I$1,FALSE)</f>
        <v>im||iv||sc</v>
      </c>
      <c r="J776">
        <f>VLOOKUP($A776,[1]Table!$A$2:$N943,J$1,FALSE)</f>
        <v>100</v>
      </c>
      <c r="K776" t="str">
        <f>VLOOKUP($A776,[1]Table!$A$2:$N943,K$1,FALSE)</f>
        <v>E/ml</v>
      </c>
      <c r="L776">
        <f>VLOOKUP($A776,[1]Table!$A$2:$N943,L$1,FALSE)</f>
        <v>100</v>
      </c>
      <c r="M776" t="str">
        <f>VLOOKUP($A776,[1]Table!$A$2:$N943,M$1,FALSE)</f>
        <v>E</v>
      </c>
      <c r="N776" t="s">
        <v>60</v>
      </c>
      <c r="O776" t="str">
        <f>ConcatenateRange(AZ776:BU776,"||")</f>
        <v/>
      </c>
      <c r="AZ776" t="str">
        <f t="shared" si="286"/>
        <v/>
      </c>
      <c r="BA776" t="str">
        <f t="shared" si="287"/>
        <v/>
      </c>
      <c r="BB776" t="str">
        <f t="shared" si="288"/>
        <v/>
      </c>
      <c r="BC776" t="str">
        <f t="shared" si="289"/>
        <v/>
      </c>
      <c r="BD776" t="str">
        <f t="shared" si="290"/>
        <v/>
      </c>
      <c r="BE776" t="str">
        <f t="shared" si="291"/>
        <v/>
      </c>
      <c r="BF776" t="str">
        <f t="shared" si="292"/>
        <v/>
      </c>
      <c r="BG776" t="str">
        <f t="shared" si="293"/>
        <v/>
      </c>
      <c r="BH776" t="str">
        <f t="shared" si="294"/>
        <v/>
      </c>
      <c r="BI776" t="str">
        <f t="shared" si="295"/>
        <v/>
      </c>
      <c r="BJ776" t="str">
        <f t="shared" si="296"/>
        <v/>
      </c>
      <c r="BK776" t="str">
        <f t="shared" si="297"/>
        <v/>
      </c>
      <c r="BL776" t="str">
        <f t="shared" si="298"/>
        <v/>
      </c>
      <c r="BM776" t="str">
        <f t="shared" si="299"/>
        <v/>
      </c>
      <c r="BN776" t="str">
        <f t="shared" si="300"/>
        <v/>
      </c>
      <c r="BO776" t="str">
        <f t="shared" si="301"/>
        <v/>
      </c>
      <c r="BP776" t="str">
        <f t="shared" si="302"/>
        <v/>
      </c>
      <c r="BQ776" t="str">
        <f t="shared" si="303"/>
        <v/>
      </c>
      <c r="BR776" t="str">
        <f t="shared" si="304"/>
        <v/>
      </c>
      <c r="BS776" t="str">
        <f t="shared" si="305"/>
        <v/>
      </c>
      <c r="BT776" t="str">
        <f t="shared" si="306"/>
        <v/>
      </c>
      <c r="BU776" t="str">
        <f t="shared" si="307"/>
        <v/>
      </c>
    </row>
    <row r="777" spans="1:73">
      <c r="A777" s="1">
        <v>92126</v>
      </c>
      <c r="B777" t="str">
        <f>VLOOKUP($A777,[1]Table!$A$2:$N944,B$1,FALSE)</f>
        <v>R03BB01</v>
      </c>
      <c r="C777" t="str">
        <f>VLOOKUP($A777,[1]Table!$A$2:$N944,C$1,FALSE)</f>
        <v>MIDDELEN BIJ ASTMA/COPD</v>
      </c>
      <c r="D777" t="str">
        <f>VLOOKUP($A777,[1]Table!$A$2:$N944,D$1,FALSE)</f>
        <v>OVERIGE MIDDELEN BIJ ASTMA/COPD VOOR INHALATIE</v>
      </c>
      <c r="E777" t="str">
        <f>VLOOKUP($A777,[1]Table!$A$2:$N944,E$1,FALSE)</f>
        <v>IPRATROPIUM</v>
      </c>
      <c r="F777" t="str">
        <f>VLOOKUP($A777,[1]Table!$A$2:$N944,F$1,FALSE)</f>
        <v>ATROVENT 20 MICROG/DOSIS AEROSOL 200 DS</v>
      </c>
      <c r="G777" t="str">
        <f>VLOOKUP($A777,[1]Table!$A$2:$N944,G$1,FALSE)</f>
        <v>IPRATROPIUM 20UG/DO AEROSOL</v>
      </c>
      <c r="H777" t="str">
        <f>VLOOKUP($A777,[1]Table!$A$2:$N944,H$1,FALSE)</f>
        <v>aerosol</v>
      </c>
      <c r="I777" t="str">
        <f>VLOOKUP($A777,[1]Table!$A$2:$N944,I$1,FALSE)</f>
        <v>inh</v>
      </c>
      <c r="J777">
        <f>VLOOKUP($A777,[1]Table!$A$2:$N944,J$1,FALSE)</f>
        <v>20</v>
      </c>
      <c r="K777" t="str">
        <f>VLOOKUP($A777,[1]Table!$A$2:$N944,K$1,FALSE)</f>
        <v>mcg/dose</v>
      </c>
      <c r="L777">
        <f>VLOOKUP($A777,[1]Table!$A$2:$N944,L$1,FALSE)</f>
        <v>20</v>
      </c>
      <c r="M777" t="str">
        <f>VLOOKUP($A777,[1]Table!$A$2:$N944,M$1,FALSE)</f>
        <v>mcg</v>
      </c>
      <c r="N777" t="str">
        <f>VLOOKUP($A777,[1]Table!$A$2:$N944,N$1,FALSE)</f>
        <v>Bronchusverwijding (kortwerkend)||Acute astma aanval</v>
      </c>
      <c r="O777" t="str">
        <f>ConcatenateRange(AZ777:BU777,"||")</f>
        <v/>
      </c>
      <c r="AZ777" t="str">
        <f t="shared" si="286"/>
        <v/>
      </c>
      <c r="BA777" t="str">
        <f t="shared" si="287"/>
        <v/>
      </c>
      <c r="BB777" t="str">
        <f t="shared" si="288"/>
        <v/>
      </c>
      <c r="BC777" t="str">
        <f t="shared" si="289"/>
        <v/>
      </c>
      <c r="BD777" t="str">
        <f t="shared" si="290"/>
        <v/>
      </c>
      <c r="BE777" t="str">
        <f t="shared" si="291"/>
        <v/>
      </c>
      <c r="BF777" t="str">
        <f t="shared" si="292"/>
        <v/>
      </c>
      <c r="BG777" t="str">
        <f t="shared" si="293"/>
        <v/>
      </c>
      <c r="BH777" t="str">
        <f t="shared" si="294"/>
        <v/>
      </c>
      <c r="BI777" t="str">
        <f t="shared" si="295"/>
        <v/>
      </c>
      <c r="BJ777" t="str">
        <f t="shared" si="296"/>
        <v/>
      </c>
      <c r="BK777" t="str">
        <f t="shared" si="297"/>
        <v/>
      </c>
      <c r="BL777" t="str">
        <f t="shared" si="298"/>
        <v/>
      </c>
      <c r="BM777" t="str">
        <f t="shared" si="299"/>
        <v/>
      </c>
      <c r="BN777" t="str">
        <f t="shared" si="300"/>
        <v/>
      </c>
      <c r="BO777" t="str">
        <f t="shared" si="301"/>
        <v/>
      </c>
      <c r="BP777" t="str">
        <f t="shared" si="302"/>
        <v/>
      </c>
      <c r="BQ777" t="str">
        <f t="shared" si="303"/>
        <v/>
      </c>
      <c r="BR777" t="str">
        <f t="shared" si="304"/>
        <v/>
      </c>
      <c r="BS777" t="str">
        <f t="shared" si="305"/>
        <v/>
      </c>
      <c r="BT777" t="str">
        <f t="shared" si="306"/>
        <v/>
      </c>
      <c r="BU777" t="str">
        <f t="shared" si="307"/>
        <v/>
      </c>
    </row>
    <row r="778" spans="1:73">
      <c r="A778" s="1">
        <v>92118</v>
      </c>
      <c r="B778" t="str">
        <f>VLOOKUP($A778,[1]Table!$A$2:$N945,B$1,FALSE)</f>
        <v>R03BB01</v>
      </c>
      <c r="C778" t="str">
        <f>VLOOKUP($A778,[1]Table!$A$2:$N945,C$1,FALSE)</f>
        <v>MIDDELEN BIJ ASTMA/COPD</v>
      </c>
      <c r="D778" t="str">
        <f>VLOOKUP($A778,[1]Table!$A$2:$N945,D$1,FALSE)</f>
        <v>OVERIGE MIDDELEN BIJ ASTMA/COPD VOOR INHALATIE</v>
      </c>
      <c r="E778" t="str">
        <f>VLOOKUP($A778,[1]Table!$A$2:$N945,E$1,FALSE)</f>
        <v>IPRATROPIUM</v>
      </c>
      <c r="F778" t="str">
        <f>VLOOKUP($A778,[1]Table!$A$2:$N945,F$1,FALSE)</f>
        <v>IPRATROPIUM 40 MICROG CYCLOCAPSULE INHALATIEPOEDER</v>
      </c>
      <c r="G778" t="str">
        <f>VLOOKUP($A778,[1]Table!$A$2:$N945,G$1,FALSE)</f>
        <v>IPRATROPIUM 40UG INHALCAPS</v>
      </c>
      <c r="H778" t="str">
        <f>VLOOKUP($A778,[1]Table!$A$2:$N945,H$1,FALSE)</f>
        <v>inhalatiepoeder</v>
      </c>
      <c r="I778" t="str">
        <f>VLOOKUP($A778,[1]Table!$A$2:$N945,I$1,FALSE)</f>
        <v>inh</v>
      </c>
      <c r="J778">
        <f>VLOOKUP($A778,[1]Table!$A$2:$N945,J$1,FALSE)</f>
        <v>40</v>
      </c>
      <c r="K778" t="str">
        <f>VLOOKUP($A778,[1]Table!$A$2:$N945,K$1,FALSE)</f>
        <v>mcg/stuk</v>
      </c>
      <c r="L778">
        <f>VLOOKUP($A778,[1]Table!$A$2:$N945,L$1,FALSE)</f>
        <v>40</v>
      </c>
      <c r="M778" t="str">
        <f>VLOOKUP($A778,[1]Table!$A$2:$N945,M$1,FALSE)</f>
        <v>mcg</v>
      </c>
      <c r="N778" t="str">
        <f>VLOOKUP($A778,[1]Table!$A$2:$N945,N$1,FALSE)</f>
        <v>Bronchusverwijding (kortwerkend)||Acute astma aanval</v>
      </c>
      <c r="O778" t="str">
        <f>ConcatenateRange(AZ778:BU778,"||")</f>
        <v/>
      </c>
      <c r="AZ778" t="str">
        <f t="shared" si="286"/>
        <v/>
      </c>
      <c r="BA778" t="str">
        <f t="shared" si="287"/>
        <v/>
      </c>
      <c r="BB778" t="str">
        <f t="shared" si="288"/>
        <v/>
      </c>
      <c r="BC778" t="str">
        <f t="shared" si="289"/>
        <v/>
      </c>
      <c r="BD778" t="str">
        <f t="shared" si="290"/>
        <v/>
      </c>
      <c r="BE778" t="str">
        <f t="shared" si="291"/>
        <v/>
      </c>
      <c r="BF778" t="str">
        <f t="shared" si="292"/>
        <v/>
      </c>
      <c r="BG778" t="str">
        <f t="shared" si="293"/>
        <v/>
      </c>
      <c r="BH778" t="str">
        <f t="shared" si="294"/>
        <v/>
      </c>
      <c r="BI778" t="str">
        <f t="shared" si="295"/>
        <v/>
      </c>
      <c r="BJ778" t="str">
        <f t="shared" si="296"/>
        <v/>
      </c>
      <c r="BK778" t="str">
        <f t="shared" si="297"/>
        <v/>
      </c>
      <c r="BL778" t="str">
        <f t="shared" si="298"/>
        <v/>
      </c>
      <c r="BM778" t="str">
        <f t="shared" si="299"/>
        <v/>
      </c>
      <c r="BN778" t="str">
        <f t="shared" si="300"/>
        <v/>
      </c>
      <c r="BO778" t="str">
        <f t="shared" si="301"/>
        <v/>
      </c>
      <c r="BP778" t="str">
        <f t="shared" si="302"/>
        <v/>
      </c>
      <c r="BQ778" t="str">
        <f t="shared" si="303"/>
        <v/>
      </c>
      <c r="BR778" t="str">
        <f t="shared" si="304"/>
        <v/>
      </c>
      <c r="BS778" t="str">
        <f t="shared" si="305"/>
        <v/>
      </c>
      <c r="BT778" t="str">
        <f t="shared" si="306"/>
        <v/>
      </c>
      <c r="BU778" t="str">
        <f t="shared" si="307"/>
        <v/>
      </c>
    </row>
    <row r="779" spans="1:73">
      <c r="A779" s="1">
        <v>92088</v>
      </c>
      <c r="B779" t="str">
        <f>VLOOKUP($A779,[1]Table!$A$2:$N946,B$1,FALSE)</f>
        <v>R03BB01</v>
      </c>
      <c r="C779" t="str">
        <f>VLOOKUP($A779,[1]Table!$A$2:$N946,C$1,FALSE)</f>
        <v>MIDDELEN BIJ ASTMA/COPD</v>
      </c>
      <c r="D779" t="str">
        <f>VLOOKUP($A779,[1]Table!$A$2:$N946,D$1,FALSE)</f>
        <v>OVERIGE MIDDELEN BIJ ASTMA/COPD VOOR INHALATIE</v>
      </c>
      <c r="E779" t="str">
        <f>VLOOKUP($A779,[1]Table!$A$2:$N946,E$1,FALSE)</f>
        <v>IPRATROPIUM</v>
      </c>
      <c r="F779" t="str">
        <f>VLOOKUP($A779,[1]Table!$A$2:$N946,F$1,FALSE)</f>
        <v>ATROVENT 0.250 MG/2ML UNIT DOSE 2ML</v>
      </c>
      <c r="G779" t="str">
        <f>VLOOKUP($A779,[1]Table!$A$2:$N946,G$1,FALSE)</f>
        <v>IPRATROPIUM 125UG/ML VERNEV</v>
      </c>
      <c r="H779" t="str">
        <f>VLOOKUP($A779,[1]Table!$A$2:$N946,H$1,FALSE)</f>
        <v>vernevelvloeistof</v>
      </c>
      <c r="I779" t="str">
        <f>VLOOKUP($A779,[1]Table!$A$2:$N946,I$1,FALSE)</f>
        <v>inh</v>
      </c>
      <c r="J779">
        <f>VLOOKUP($A779,[1]Table!$A$2:$N946,J$1,FALSE)</f>
        <v>125</v>
      </c>
      <c r="K779" t="str">
        <f>VLOOKUP($A779,[1]Table!$A$2:$N946,K$1,FALSE)</f>
        <v>mcg/ml</v>
      </c>
      <c r="L779">
        <f>VLOOKUP($A779,[1]Table!$A$2:$N946,L$1,FALSE)</f>
        <v>125</v>
      </c>
      <c r="M779" t="str">
        <f>VLOOKUP($A779,[1]Table!$A$2:$N946,M$1,FALSE)</f>
        <v>mcg</v>
      </c>
      <c r="N779" t="str">
        <f>VLOOKUP($A779,[1]Table!$A$2:$N946,N$1,FALSE)</f>
        <v>Bronchusverwijding (kortwerkend)||Acute astma aanval</v>
      </c>
      <c r="O779" t="str">
        <f>ConcatenateRange(AZ779:BU779,"||")</f>
        <v/>
      </c>
      <c r="AZ779" t="str">
        <f t="shared" si="286"/>
        <v/>
      </c>
      <c r="BA779" t="str">
        <f t="shared" si="287"/>
        <v/>
      </c>
      <c r="BB779" t="str">
        <f t="shared" si="288"/>
        <v/>
      </c>
      <c r="BC779" t="str">
        <f t="shared" si="289"/>
        <v/>
      </c>
      <c r="BD779" t="str">
        <f t="shared" si="290"/>
        <v/>
      </c>
      <c r="BE779" t="str">
        <f t="shared" si="291"/>
        <v/>
      </c>
      <c r="BF779" t="str">
        <f t="shared" si="292"/>
        <v/>
      </c>
      <c r="BG779" t="str">
        <f t="shared" si="293"/>
        <v/>
      </c>
      <c r="BH779" t="str">
        <f t="shared" si="294"/>
        <v/>
      </c>
      <c r="BI779" t="str">
        <f t="shared" si="295"/>
        <v/>
      </c>
      <c r="BJ779" t="str">
        <f t="shared" si="296"/>
        <v/>
      </c>
      <c r="BK779" t="str">
        <f t="shared" si="297"/>
        <v/>
      </c>
      <c r="BL779" t="str">
        <f t="shared" si="298"/>
        <v/>
      </c>
      <c r="BM779" t="str">
        <f t="shared" si="299"/>
        <v/>
      </c>
      <c r="BN779" t="str">
        <f t="shared" si="300"/>
        <v/>
      </c>
      <c r="BO779" t="str">
        <f t="shared" si="301"/>
        <v/>
      </c>
      <c r="BP779" t="str">
        <f t="shared" si="302"/>
        <v/>
      </c>
      <c r="BQ779" t="str">
        <f t="shared" si="303"/>
        <v/>
      </c>
      <c r="BR779" t="str">
        <f t="shared" si="304"/>
        <v/>
      </c>
      <c r="BS779" t="str">
        <f t="shared" si="305"/>
        <v/>
      </c>
      <c r="BT779" t="str">
        <f t="shared" si="306"/>
        <v/>
      </c>
      <c r="BU779" t="str">
        <f t="shared" si="307"/>
        <v/>
      </c>
    </row>
    <row r="780" spans="1:73">
      <c r="A780" s="1">
        <v>92096</v>
      </c>
      <c r="B780" t="str">
        <f>VLOOKUP($A780,[1]Table!$A$2:$N947,B$1,FALSE)</f>
        <v>R03BB01</v>
      </c>
      <c r="C780" t="str">
        <f>VLOOKUP($A780,[1]Table!$A$2:$N947,C$1,FALSE)</f>
        <v>MIDDELEN BIJ ASTMA/COPD</v>
      </c>
      <c r="D780" t="str">
        <f>VLOOKUP($A780,[1]Table!$A$2:$N947,D$1,FALSE)</f>
        <v>OVERIGE MIDDELEN BIJ ASTMA/COPD VOOR INHALATIE</v>
      </c>
      <c r="E780" t="str">
        <f>VLOOKUP($A780,[1]Table!$A$2:$N947,E$1,FALSE)</f>
        <v>IPRATROPIUM</v>
      </c>
      <c r="F780" t="str">
        <f>VLOOKUP($A780,[1]Table!$A$2:$N947,F$1,FALSE)</f>
        <v>ATROVENT 0.500 MG/2ML UNIT DOSE 2ML</v>
      </c>
      <c r="G780" t="str">
        <f>VLOOKUP($A780,[1]Table!$A$2:$N947,G$1,FALSE)</f>
        <v>IPRATROPIUM 250UG/ML VERNEV</v>
      </c>
      <c r="H780" t="str">
        <f>VLOOKUP($A780,[1]Table!$A$2:$N947,H$1,FALSE)</f>
        <v>vernevelvloeistof</v>
      </c>
      <c r="I780" t="str">
        <f>VLOOKUP($A780,[1]Table!$A$2:$N947,I$1,FALSE)</f>
        <v>inh</v>
      </c>
      <c r="J780">
        <f>VLOOKUP($A780,[1]Table!$A$2:$N947,J$1,FALSE)</f>
        <v>250</v>
      </c>
      <c r="K780" t="str">
        <f>VLOOKUP($A780,[1]Table!$A$2:$N947,K$1,FALSE)</f>
        <v>mcg/ml</v>
      </c>
      <c r="L780">
        <f>VLOOKUP($A780,[1]Table!$A$2:$N947,L$1,FALSE)</f>
        <v>250</v>
      </c>
      <c r="M780" t="str">
        <f>VLOOKUP($A780,[1]Table!$A$2:$N947,M$1,FALSE)</f>
        <v>mcg</v>
      </c>
      <c r="N780" t="str">
        <f>VLOOKUP($A780,[1]Table!$A$2:$N947,N$1,FALSE)</f>
        <v>Bronchusverwijding (kortwerkend)||Acute astma aanval</v>
      </c>
      <c r="O780" t="str">
        <f>ConcatenateRange(AZ780:BU780,"||")</f>
        <v/>
      </c>
      <c r="AZ780" t="str">
        <f t="shared" si="286"/>
        <v/>
      </c>
      <c r="BA780" t="str">
        <f t="shared" si="287"/>
        <v/>
      </c>
      <c r="BB780" t="str">
        <f t="shared" si="288"/>
        <v/>
      </c>
      <c r="BC780" t="str">
        <f t="shared" si="289"/>
        <v/>
      </c>
      <c r="BD780" t="str">
        <f t="shared" si="290"/>
        <v/>
      </c>
      <c r="BE780" t="str">
        <f t="shared" si="291"/>
        <v/>
      </c>
      <c r="BF780" t="str">
        <f t="shared" si="292"/>
        <v/>
      </c>
      <c r="BG780" t="str">
        <f t="shared" si="293"/>
        <v/>
      </c>
      <c r="BH780" t="str">
        <f t="shared" si="294"/>
        <v/>
      </c>
      <c r="BI780" t="str">
        <f t="shared" si="295"/>
        <v/>
      </c>
      <c r="BJ780" t="str">
        <f t="shared" si="296"/>
        <v/>
      </c>
      <c r="BK780" t="str">
        <f t="shared" si="297"/>
        <v/>
      </c>
      <c r="BL780" t="str">
        <f t="shared" si="298"/>
        <v/>
      </c>
      <c r="BM780" t="str">
        <f t="shared" si="299"/>
        <v/>
      </c>
      <c r="BN780" t="str">
        <f t="shared" si="300"/>
        <v/>
      </c>
      <c r="BO780" t="str">
        <f t="shared" si="301"/>
        <v/>
      </c>
      <c r="BP780" t="str">
        <f t="shared" si="302"/>
        <v/>
      </c>
      <c r="BQ780" t="str">
        <f t="shared" si="303"/>
        <v/>
      </c>
      <c r="BR780" t="str">
        <f t="shared" si="304"/>
        <v/>
      </c>
      <c r="BS780" t="str">
        <f t="shared" si="305"/>
        <v/>
      </c>
      <c r="BT780" t="str">
        <f t="shared" si="306"/>
        <v/>
      </c>
      <c r="BU780" t="str">
        <f t="shared" si="307"/>
        <v/>
      </c>
    </row>
    <row r="781" spans="1:73">
      <c r="A781" s="1">
        <v>105120</v>
      </c>
      <c r="B781" t="str">
        <f>VLOOKUP($A781,[1]Table!$A$2:$N950,B$1,FALSE)</f>
        <v>L01XX19</v>
      </c>
      <c r="C781" t="str">
        <f>VLOOKUP($A781,[1]Table!$A$2:$N950,C$1,FALSE)</f>
        <v>ONCOLYTICA</v>
      </c>
      <c r="D781" t="str">
        <f>VLOOKUP($A781,[1]Table!$A$2:$N950,D$1,FALSE)</f>
        <v>OVERIGE ONCOLYTICA</v>
      </c>
      <c r="E781" t="str">
        <f>VLOOKUP($A781,[1]Table!$A$2:$N950,E$1,FALSE)</f>
        <v>IRINOTECAN</v>
      </c>
      <c r="F781" t="str">
        <f>VLOOKUP($A781,[1]Table!$A$2:$N950,F$1,FALSE)</f>
        <v>IRINOTECAN HCL 100 MG = 5 ML INFVLST</v>
      </c>
      <c r="G781" t="str">
        <f>VLOOKUP($A781,[1]Table!$A$2:$N950,G$1,FALSE)</f>
        <v>IRINOTECAN 20MG/ML INF CONC</v>
      </c>
      <c r="H781" t="str">
        <f>VLOOKUP($A781,[1]Table!$A$2:$N950,H$1,FALSE)</f>
        <v>concentraat voor oplossing voor infusie</v>
      </c>
      <c r="I781" t="str">
        <f>VLOOKUP($A781,[1]Table!$A$2:$N950,I$1,FALSE)</f>
        <v>iv</v>
      </c>
      <c r="J781">
        <f>VLOOKUP($A781,[1]Table!$A$2:$N950,J$1,FALSE)</f>
        <v>20</v>
      </c>
      <c r="K781" t="str">
        <f>VLOOKUP($A781,[1]Table!$A$2:$N950,K$1,FALSE)</f>
        <v>mg/ml</v>
      </c>
      <c r="L781">
        <f>VLOOKUP($A781,[1]Table!$A$2:$N950,L$1,FALSE)</f>
        <v>20</v>
      </c>
      <c r="M781" t="str">
        <f>VLOOKUP($A781,[1]Table!$A$2:$N950,M$1,FALSE)</f>
        <v>mg</v>
      </c>
      <c r="N781" t="str">
        <f>VLOOKUP($A781,[1]Table!$A$2:$N950,N$1,FALSE)</f>
        <v>Recidiverende of refractaire solide tumoren, waaronder neuroblastoom, hepatoblastoom, Ewing sarcoom, rhabdomyosarcoom en Wilms' tumor</v>
      </c>
      <c r="O781" t="str">
        <f>ConcatenateRange(AZ781:BU781,"||")</f>
        <v/>
      </c>
      <c r="AZ781" t="str">
        <f t="shared" si="286"/>
        <v/>
      </c>
      <c r="BA781" t="str">
        <f t="shared" si="287"/>
        <v/>
      </c>
      <c r="BB781" t="str">
        <f t="shared" si="288"/>
        <v/>
      </c>
      <c r="BC781" t="str">
        <f t="shared" si="289"/>
        <v/>
      </c>
      <c r="BD781" t="str">
        <f t="shared" si="290"/>
        <v/>
      </c>
      <c r="BE781" t="str">
        <f t="shared" si="291"/>
        <v/>
      </c>
      <c r="BF781" t="str">
        <f t="shared" si="292"/>
        <v/>
      </c>
      <c r="BG781" t="str">
        <f t="shared" si="293"/>
        <v/>
      </c>
      <c r="BH781" t="str">
        <f t="shared" si="294"/>
        <v/>
      </c>
      <c r="BI781" t="str">
        <f t="shared" si="295"/>
        <v/>
      </c>
      <c r="BJ781" t="str">
        <f t="shared" si="296"/>
        <v/>
      </c>
      <c r="BK781" t="str">
        <f t="shared" si="297"/>
        <v/>
      </c>
      <c r="BL781" t="str">
        <f t="shared" si="298"/>
        <v/>
      </c>
      <c r="BM781" t="str">
        <f t="shared" si="299"/>
        <v/>
      </c>
      <c r="BN781" t="str">
        <f t="shared" si="300"/>
        <v/>
      </c>
      <c r="BO781" t="str">
        <f t="shared" si="301"/>
        <v/>
      </c>
      <c r="BP781" t="str">
        <f t="shared" si="302"/>
        <v/>
      </c>
      <c r="BQ781" t="str">
        <f t="shared" si="303"/>
        <v/>
      </c>
      <c r="BR781" t="str">
        <f t="shared" si="304"/>
        <v/>
      </c>
      <c r="BS781" t="str">
        <f t="shared" si="305"/>
        <v/>
      </c>
      <c r="BT781" t="str">
        <f t="shared" si="306"/>
        <v/>
      </c>
      <c r="BU781" t="str">
        <f t="shared" si="307"/>
        <v/>
      </c>
    </row>
    <row r="782" spans="1:73">
      <c r="A782" s="1">
        <v>72796</v>
      </c>
      <c r="B782" t="str">
        <f>VLOOKUP($A782,[1]Table!$A$2:$N951,B$1,FALSE)</f>
        <v>N01AB06</v>
      </c>
      <c r="C782" t="str">
        <f>VLOOKUP($A782,[1]Table!$A$2:$N951,C$1,FALSE)</f>
        <v>ANAESTHETICA</v>
      </c>
      <c r="D782" t="str">
        <f>VLOOKUP($A782,[1]Table!$A$2:$N951,D$1,FALSE)</f>
        <v>ALGEMENE ANAESTHETICA</v>
      </c>
      <c r="E782" t="str">
        <f>VLOOKUP($A782,[1]Table!$A$2:$N951,E$1,FALSE)</f>
        <v>ISOFLURAAN</v>
      </c>
      <c r="F782" t="str">
        <f>VLOOKUP($A782,[1]Table!$A$2:$N951,F$1,FALSE)</f>
        <v>ISOFLURAAN FLACON 100 ML</v>
      </c>
      <c r="G782" t="str">
        <f>VLOOKUP($A782,[1]Table!$A$2:$N951,G$1,FALSE)</f>
        <v>ISOFLURAAN INHALATIEGAS</v>
      </c>
      <c r="H782" t="str">
        <f>VLOOKUP($A782,[1]Table!$A$2:$N951,H$1,FALSE)</f>
        <v>inhalatiegas</v>
      </c>
      <c r="I782" t="str">
        <f>VLOOKUP($A782,[1]Table!$A$2:$N951,I$1,FALSE)</f>
        <v>inh</v>
      </c>
      <c r="J782">
        <f>VLOOKUP($A782,[1]Table!$A$2:$N951,J$1,FALSE)</f>
        <v>0</v>
      </c>
      <c r="K782" t="str">
        <f>VLOOKUP($A782,[1]Table!$A$2:$N951,K$1,FALSE)</f>
        <v>/ml</v>
      </c>
      <c r="L782">
        <f>VLOOKUP($A782,[1]Table!$A$2:$N951,L$1,FALSE)</f>
        <v>0</v>
      </c>
      <c r="M782">
        <f>VLOOKUP($A782,[1]Table!$A$2:$N951,M$1,FALSE)</f>
        <v>0</v>
      </c>
      <c r="N782" t="str">
        <f>VLOOKUP($A782,[1]Table!$A$2:$N951,N$1,FALSE)</f>
        <v>Inhalatie anaesthesie</v>
      </c>
      <c r="O782" t="str">
        <f>ConcatenateRange(AZ782:BU782,"||")</f>
        <v/>
      </c>
      <c r="AZ782" t="str">
        <f t="shared" si="286"/>
        <v/>
      </c>
      <c r="BA782" t="str">
        <f t="shared" si="287"/>
        <v/>
      </c>
      <c r="BB782" t="str">
        <f t="shared" si="288"/>
        <v/>
      </c>
      <c r="BC782" t="str">
        <f t="shared" si="289"/>
        <v/>
      </c>
      <c r="BD782" t="str">
        <f t="shared" si="290"/>
        <v/>
      </c>
      <c r="BE782" t="str">
        <f t="shared" si="291"/>
        <v/>
      </c>
      <c r="BF782" t="str">
        <f t="shared" si="292"/>
        <v/>
      </c>
      <c r="BG782" t="str">
        <f t="shared" si="293"/>
        <v/>
      </c>
      <c r="BH782" t="str">
        <f t="shared" si="294"/>
        <v/>
      </c>
      <c r="BI782" t="str">
        <f t="shared" si="295"/>
        <v/>
      </c>
      <c r="BJ782" t="str">
        <f t="shared" si="296"/>
        <v/>
      </c>
      <c r="BK782" t="str">
        <f t="shared" si="297"/>
        <v/>
      </c>
      <c r="BL782" t="str">
        <f t="shared" si="298"/>
        <v/>
      </c>
      <c r="BM782" t="str">
        <f t="shared" si="299"/>
        <v/>
      </c>
      <c r="BN782" t="str">
        <f t="shared" si="300"/>
        <v/>
      </c>
      <c r="BO782" t="str">
        <f t="shared" si="301"/>
        <v/>
      </c>
      <c r="BP782" t="str">
        <f t="shared" si="302"/>
        <v/>
      </c>
      <c r="BQ782" t="str">
        <f t="shared" si="303"/>
        <v/>
      </c>
      <c r="BR782" t="str">
        <f t="shared" si="304"/>
        <v/>
      </c>
      <c r="BS782" t="str">
        <f t="shared" si="305"/>
        <v/>
      </c>
      <c r="BT782" t="str">
        <f t="shared" si="306"/>
        <v/>
      </c>
      <c r="BU782" t="str">
        <f t="shared" si="307"/>
        <v/>
      </c>
    </row>
    <row r="783" spans="1:73">
      <c r="A783" s="1">
        <v>121606</v>
      </c>
      <c r="B783" t="str">
        <f>VLOOKUP($A783,[1]Table!$A$2:$N952,B$1,FALSE)</f>
        <v>J04AC01</v>
      </c>
      <c r="C783" t="str">
        <f>VLOOKUP($A783,[1]Table!$A$2:$N952,C$1,FALSE)</f>
        <v>ANTIMYCOBACTERIELE MIDDELEN</v>
      </c>
      <c r="D783" t="str">
        <f>VLOOKUP($A783,[1]Table!$A$2:$N952,D$1,FALSE)</f>
        <v>TUBERCULOSEMIDDELEN</v>
      </c>
      <c r="E783" t="str">
        <f>VLOOKUP($A783,[1]Table!$A$2:$N952,E$1,FALSE)</f>
        <v>ISONIAZIDE</v>
      </c>
      <c r="F783" t="str">
        <f>VLOOKUP($A783,[1]Table!$A$2:$N952,F$1,FALSE)</f>
        <v>ISONIAZIDE 200 MG = 2 ML FNA AMPUL</v>
      </c>
      <c r="G783" t="str">
        <f>VLOOKUP($A783,[1]Table!$A$2:$N952,G$1,FALSE)</f>
        <v>ISONIAZIDE 100MG/ML INJVLST</v>
      </c>
      <c r="H783" t="str">
        <f>VLOOKUP($A783,[1]Table!$A$2:$N952,H$1,FALSE)</f>
        <v>injectievloeistof</v>
      </c>
      <c r="I783" t="str">
        <f>VLOOKUP($A783,[1]Table!$A$2:$N952,I$1,FALSE)</f>
        <v>im||iv</v>
      </c>
      <c r="J783">
        <f>VLOOKUP($A783,[1]Table!$A$2:$N952,J$1,FALSE)</f>
        <v>100</v>
      </c>
      <c r="K783" t="str">
        <f>VLOOKUP($A783,[1]Table!$A$2:$N952,K$1,FALSE)</f>
        <v>mg/ml</v>
      </c>
      <c r="L783">
        <f>VLOOKUP($A783,[1]Table!$A$2:$N952,L$1,FALSE)</f>
        <v>100</v>
      </c>
      <c r="M783" t="str">
        <f>VLOOKUP($A783,[1]Table!$A$2:$N952,M$1,FALSE)</f>
        <v>mg</v>
      </c>
      <c r="N783" t="str">
        <f>VLOOKUP($A783,[1]Table!$A$2:$N952,N$1,FALSE)</f>
        <v>Tuberculose, (verdenking) Tuberculeuze meningitis / miliaire TBC / gewricht- of bot TBC</v>
      </c>
      <c r="O783" t="str">
        <f>ConcatenateRange(AZ783:BU783,"||")</f>
        <v/>
      </c>
      <c r="AZ783" t="str">
        <f t="shared" si="286"/>
        <v/>
      </c>
      <c r="BA783" t="str">
        <f t="shared" si="287"/>
        <v/>
      </c>
      <c r="BB783" t="str">
        <f t="shared" si="288"/>
        <v/>
      </c>
      <c r="BC783" t="str">
        <f t="shared" si="289"/>
        <v/>
      </c>
      <c r="BD783" t="str">
        <f t="shared" si="290"/>
        <v/>
      </c>
      <c r="BE783" t="str">
        <f t="shared" si="291"/>
        <v/>
      </c>
      <c r="BF783" t="str">
        <f t="shared" si="292"/>
        <v/>
      </c>
      <c r="BG783" t="str">
        <f t="shared" si="293"/>
        <v/>
      </c>
      <c r="BH783" t="str">
        <f t="shared" si="294"/>
        <v/>
      </c>
      <c r="BI783" t="str">
        <f t="shared" si="295"/>
        <v/>
      </c>
      <c r="BJ783" t="str">
        <f t="shared" si="296"/>
        <v/>
      </c>
      <c r="BK783" t="str">
        <f t="shared" si="297"/>
        <v/>
      </c>
      <c r="BL783" t="str">
        <f t="shared" si="298"/>
        <v/>
      </c>
      <c r="BM783" t="str">
        <f t="shared" si="299"/>
        <v/>
      </c>
      <c r="BN783" t="str">
        <f t="shared" si="300"/>
        <v/>
      </c>
      <c r="BO783" t="str">
        <f t="shared" si="301"/>
        <v/>
      </c>
      <c r="BP783" t="str">
        <f t="shared" si="302"/>
        <v/>
      </c>
      <c r="BQ783" t="str">
        <f t="shared" si="303"/>
        <v/>
      </c>
      <c r="BR783" t="str">
        <f t="shared" si="304"/>
        <v/>
      </c>
      <c r="BS783" t="str">
        <f t="shared" si="305"/>
        <v/>
      </c>
      <c r="BT783" t="str">
        <f t="shared" si="306"/>
        <v/>
      </c>
      <c r="BU783" t="str">
        <f t="shared" si="307"/>
        <v/>
      </c>
    </row>
    <row r="784" spans="1:73">
      <c r="A784" s="1">
        <v>82724</v>
      </c>
      <c r="B784" t="str">
        <f>VLOOKUP($A784,[1]Table!$A$2:$N953,B$1,FALSE)</f>
        <v>J02AC02</v>
      </c>
      <c r="C784" t="str">
        <f>VLOOKUP($A784,[1]Table!$A$2:$N953,C$1,FALSE)</f>
        <v>ANTIMYCOTICA VOOR SYSTEMISCH GEBRUIK</v>
      </c>
      <c r="D784" t="str">
        <f>VLOOKUP($A784,[1]Table!$A$2:$N953,D$1,FALSE)</f>
        <v>ANTIMYCOTICA VOOR SYSTEMISCH GEBRUIK</v>
      </c>
      <c r="E784" t="str">
        <f>VLOOKUP($A784,[1]Table!$A$2:$N953,E$1,FALSE)</f>
        <v>ITRACONAZOL</v>
      </c>
      <c r="F784" t="str">
        <f>VLOOKUP($A784,[1]Table!$A$2:$N953,F$1,FALSE)</f>
        <v>ITRACONAZOL 100 MG CAPSULE</v>
      </c>
      <c r="G784" t="str">
        <f>VLOOKUP($A784,[1]Table!$A$2:$N953,G$1,FALSE)</f>
        <v>ITRACONAZOL 100MG CAPSULE</v>
      </c>
      <c r="H784" t="str">
        <f>VLOOKUP($A784,[1]Table!$A$2:$N953,H$1,FALSE)</f>
        <v>capsule</v>
      </c>
      <c r="I784" t="str">
        <f>VLOOKUP($A784,[1]Table!$A$2:$N953,I$1,FALSE)</f>
        <v>or</v>
      </c>
      <c r="J784">
        <f>VLOOKUP($A784,[1]Table!$A$2:$N953,J$1,FALSE)</f>
        <v>100</v>
      </c>
      <c r="K784" t="str">
        <f>VLOOKUP($A784,[1]Table!$A$2:$N953,K$1,FALSE)</f>
        <v>mg/stuk</v>
      </c>
      <c r="L784">
        <f>VLOOKUP($A784,[1]Table!$A$2:$N953,L$1,FALSE)</f>
        <v>100</v>
      </c>
      <c r="M784" t="str">
        <f>VLOOKUP($A784,[1]Table!$A$2:$N953,M$1,FALSE)</f>
        <v>mg</v>
      </c>
      <c r="N784" t="str">
        <f>VLOOKUP($A784,[1]Table!$A$2:$N953,N$1,FALSE)</f>
        <v>Orale en/of oesofageale candidose, profylaxe van systemische schimmelinfecties, dermatomycosen, onychomycosen, tinea capitis en systemische aspergillose</v>
      </c>
      <c r="O784" t="str">
        <f>ConcatenateRange(AZ784:BU784,"||")</f>
        <v/>
      </c>
      <c r="AZ784" t="str">
        <f t="shared" si="286"/>
        <v/>
      </c>
      <c r="BA784" t="str">
        <f t="shared" si="287"/>
        <v/>
      </c>
      <c r="BB784" t="str">
        <f t="shared" si="288"/>
        <v/>
      </c>
      <c r="BC784" t="str">
        <f t="shared" si="289"/>
        <v/>
      </c>
      <c r="BD784" t="str">
        <f t="shared" si="290"/>
        <v/>
      </c>
      <c r="BE784" t="str">
        <f t="shared" si="291"/>
        <v/>
      </c>
      <c r="BF784" t="str">
        <f t="shared" si="292"/>
        <v/>
      </c>
      <c r="BG784" t="str">
        <f t="shared" si="293"/>
        <v/>
      </c>
      <c r="BH784" t="str">
        <f t="shared" si="294"/>
        <v/>
      </c>
      <c r="BI784" t="str">
        <f t="shared" si="295"/>
        <v/>
      </c>
      <c r="BJ784" t="str">
        <f t="shared" si="296"/>
        <v/>
      </c>
      <c r="BK784" t="str">
        <f t="shared" si="297"/>
        <v/>
      </c>
      <c r="BL784" t="str">
        <f t="shared" si="298"/>
        <v/>
      </c>
      <c r="BM784" t="str">
        <f t="shared" si="299"/>
        <v/>
      </c>
      <c r="BN784" t="str">
        <f t="shared" si="300"/>
        <v/>
      </c>
      <c r="BO784" t="str">
        <f t="shared" si="301"/>
        <v/>
      </c>
      <c r="BP784" t="str">
        <f t="shared" si="302"/>
        <v/>
      </c>
      <c r="BQ784" t="str">
        <f t="shared" si="303"/>
        <v/>
      </c>
      <c r="BR784" t="str">
        <f t="shared" si="304"/>
        <v/>
      </c>
      <c r="BS784" t="str">
        <f t="shared" si="305"/>
        <v/>
      </c>
      <c r="BT784" t="str">
        <f t="shared" si="306"/>
        <v/>
      </c>
      <c r="BU784" t="str">
        <f t="shared" si="307"/>
        <v/>
      </c>
    </row>
    <row r="785" spans="1:73">
      <c r="A785" s="1">
        <v>108960</v>
      </c>
      <c r="B785" t="str">
        <f>VLOOKUP($A785,[1]Table!$A$2:$N954,B$1,FALSE)</f>
        <v>J02AC02</v>
      </c>
      <c r="C785" t="str">
        <f>VLOOKUP($A785,[1]Table!$A$2:$N954,C$1,FALSE)</f>
        <v>ANTIMYCOTICA VOOR SYSTEMISCH GEBRUIK</v>
      </c>
      <c r="D785" t="str">
        <f>VLOOKUP($A785,[1]Table!$A$2:$N954,D$1,FALSE)</f>
        <v>ANTIMYCOTICA VOOR SYSTEMISCH GEBRUIK</v>
      </c>
      <c r="E785" t="str">
        <f>VLOOKUP($A785,[1]Table!$A$2:$N954,E$1,FALSE)</f>
        <v>ITRACONAZOL</v>
      </c>
      <c r="F785" t="str">
        <f>VLOOKUP($A785,[1]Table!$A$2:$N954,F$1,FALSE)</f>
        <v>TRISPORAL 10 MG/ML AMPUL 25ML</v>
      </c>
      <c r="G785" t="str">
        <f>VLOOKUP($A785,[1]Table!$A$2:$N954,G$1,FALSE)</f>
        <v>ITRACONAZOL 10MG/ML INFCONC</v>
      </c>
      <c r="H785" t="str">
        <f>VLOOKUP($A785,[1]Table!$A$2:$N954,H$1,FALSE)</f>
        <v>concentraat voor oplossing voor infusie</v>
      </c>
      <c r="I785" t="str">
        <f>VLOOKUP($A785,[1]Table!$A$2:$N954,I$1,FALSE)</f>
        <v>iv</v>
      </c>
      <c r="J785">
        <f>VLOOKUP($A785,[1]Table!$A$2:$N954,J$1,FALSE)</f>
        <v>10</v>
      </c>
      <c r="K785" t="str">
        <f>VLOOKUP($A785,[1]Table!$A$2:$N954,K$1,FALSE)</f>
        <v>mg/ml</v>
      </c>
      <c r="L785">
        <f>VLOOKUP($A785,[1]Table!$A$2:$N954,L$1,FALSE)</f>
        <v>10</v>
      </c>
      <c r="M785" t="str">
        <f>VLOOKUP($A785,[1]Table!$A$2:$N954,M$1,FALSE)</f>
        <v>mg</v>
      </c>
      <c r="N785" t="str">
        <f>VLOOKUP($A785,[1]Table!$A$2:$N954,N$1,FALSE)</f>
        <v>Orale en/of oesofageale candidose, profylaxe van systemische schimmelinfecties, dermatomycosen, onychomycosen, tinea capitis en systemische aspergillose</v>
      </c>
      <c r="O785" t="str">
        <f>ConcatenateRange(AZ785:BU785,"||")</f>
        <v/>
      </c>
      <c r="AZ785" t="str">
        <f t="shared" si="286"/>
        <v/>
      </c>
      <c r="BA785" t="str">
        <f t="shared" si="287"/>
        <v/>
      </c>
      <c r="BB785" t="str">
        <f t="shared" si="288"/>
        <v/>
      </c>
      <c r="BC785" t="str">
        <f t="shared" si="289"/>
        <v/>
      </c>
      <c r="BD785" t="str">
        <f t="shared" si="290"/>
        <v/>
      </c>
      <c r="BE785" t="str">
        <f t="shared" si="291"/>
        <v/>
      </c>
      <c r="BF785" t="str">
        <f t="shared" si="292"/>
        <v/>
      </c>
      <c r="BG785" t="str">
        <f t="shared" si="293"/>
        <v/>
      </c>
      <c r="BH785" t="str">
        <f t="shared" si="294"/>
        <v/>
      </c>
      <c r="BI785" t="str">
        <f t="shared" si="295"/>
        <v/>
      </c>
      <c r="BJ785" t="str">
        <f t="shared" si="296"/>
        <v/>
      </c>
      <c r="BK785" t="str">
        <f t="shared" si="297"/>
        <v/>
      </c>
      <c r="BL785" t="str">
        <f t="shared" si="298"/>
        <v/>
      </c>
      <c r="BM785" t="str">
        <f t="shared" si="299"/>
        <v/>
      </c>
      <c r="BN785" t="str">
        <f t="shared" si="300"/>
        <v/>
      </c>
      <c r="BO785" t="str">
        <f t="shared" si="301"/>
        <v/>
      </c>
      <c r="BP785" t="str">
        <f t="shared" si="302"/>
        <v/>
      </c>
      <c r="BQ785" t="str">
        <f t="shared" si="303"/>
        <v/>
      </c>
      <c r="BR785" t="str">
        <f t="shared" si="304"/>
        <v/>
      </c>
      <c r="BS785" t="str">
        <f t="shared" si="305"/>
        <v/>
      </c>
      <c r="BT785" t="str">
        <f t="shared" si="306"/>
        <v/>
      </c>
      <c r="BU785" t="str">
        <f t="shared" si="307"/>
        <v/>
      </c>
    </row>
    <row r="786" spans="1:73">
      <c r="A786" s="1">
        <v>102652</v>
      </c>
      <c r="B786" t="str">
        <f>VLOOKUP($A786,[1]Table!$A$2:$N955,B$1,FALSE)</f>
        <v>J02AC02</v>
      </c>
      <c r="C786" t="str">
        <f>VLOOKUP($A786,[1]Table!$A$2:$N955,C$1,FALSE)</f>
        <v>ANTIMYCOTICA VOOR SYSTEMISCH GEBRUIK</v>
      </c>
      <c r="D786" t="str">
        <f>VLOOKUP($A786,[1]Table!$A$2:$N955,D$1,FALSE)</f>
        <v>ANTIMYCOTICA VOOR SYSTEMISCH GEBRUIK</v>
      </c>
      <c r="E786" t="str">
        <f>VLOOKUP($A786,[1]Table!$A$2:$N955,E$1,FALSE)</f>
        <v>ITRACONAZOL</v>
      </c>
      <c r="F786" t="str">
        <f>VLOOKUP($A786,[1]Table!$A$2:$N955,F$1,FALSE)</f>
        <v>TRISPORAL OS 10MG/ML DRANK 150ML</v>
      </c>
      <c r="G786" t="str">
        <f>VLOOKUP($A786,[1]Table!$A$2:$N955,G$1,FALSE)</f>
        <v>ITRACONAZOL 10MG/ML DRANK</v>
      </c>
      <c r="H786" t="str">
        <f>VLOOKUP($A786,[1]Table!$A$2:$N955,H$1,FALSE)</f>
        <v>drank</v>
      </c>
      <c r="I786" t="str">
        <f>VLOOKUP($A786,[1]Table!$A$2:$N955,I$1,FALSE)</f>
        <v>or</v>
      </c>
      <c r="J786">
        <f>VLOOKUP($A786,[1]Table!$A$2:$N955,J$1,FALSE)</f>
        <v>10</v>
      </c>
      <c r="K786" t="str">
        <f>VLOOKUP($A786,[1]Table!$A$2:$N955,K$1,FALSE)</f>
        <v>mg/ml</v>
      </c>
      <c r="L786">
        <f>VLOOKUP($A786,[1]Table!$A$2:$N955,L$1,FALSE)</f>
        <v>10</v>
      </c>
      <c r="M786" t="str">
        <f>VLOOKUP($A786,[1]Table!$A$2:$N955,M$1,FALSE)</f>
        <v>mg</v>
      </c>
      <c r="N786" t="str">
        <f>VLOOKUP($A786,[1]Table!$A$2:$N955,N$1,FALSE)</f>
        <v>Orale en/of oesofageale candidose, profylaxe van systemische schimmelinfecties, dermatomycosen, onychomycosen, tinea capitis en systemische aspergillose</v>
      </c>
      <c r="O786" t="str">
        <f>ConcatenateRange(AZ786:BU786,"||")</f>
        <v/>
      </c>
      <c r="AZ786" t="str">
        <f t="shared" si="286"/>
        <v/>
      </c>
      <c r="BA786" t="str">
        <f t="shared" si="287"/>
        <v/>
      </c>
      <c r="BB786" t="str">
        <f t="shared" si="288"/>
        <v/>
      </c>
      <c r="BC786" t="str">
        <f t="shared" si="289"/>
        <v/>
      </c>
      <c r="BD786" t="str">
        <f t="shared" si="290"/>
        <v/>
      </c>
      <c r="BE786" t="str">
        <f t="shared" si="291"/>
        <v/>
      </c>
      <c r="BF786" t="str">
        <f t="shared" si="292"/>
        <v/>
      </c>
      <c r="BG786" t="str">
        <f t="shared" si="293"/>
        <v/>
      </c>
      <c r="BH786" t="str">
        <f t="shared" si="294"/>
        <v/>
      </c>
      <c r="BI786" t="str">
        <f t="shared" si="295"/>
        <v/>
      </c>
      <c r="BJ786" t="str">
        <f t="shared" si="296"/>
        <v/>
      </c>
      <c r="BK786" t="str">
        <f t="shared" si="297"/>
        <v/>
      </c>
      <c r="BL786" t="str">
        <f t="shared" si="298"/>
        <v/>
      </c>
      <c r="BM786" t="str">
        <f t="shared" si="299"/>
        <v/>
      </c>
      <c r="BN786" t="str">
        <f t="shared" si="300"/>
        <v/>
      </c>
      <c r="BO786" t="str">
        <f t="shared" si="301"/>
        <v/>
      </c>
      <c r="BP786" t="str">
        <f t="shared" si="302"/>
        <v/>
      </c>
      <c r="BQ786" t="str">
        <f t="shared" si="303"/>
        <v/>
      </c>
      <c r="BR786" t="str">
        <f t="shared" si="304"/>
        <v/>
      </c>
      <c r="BS786" t="str">
        <f t="shared" si="305"/>
        <v/>
      </c>
      <c r="BT786" t="str">
        <f t="shared" si="306"/>
        <v/>
      </c>
      <c r="BU786" t="str">
        <f t="shared" si="307"/>
        <v/>
      </c>
    </row>
    <row r="787" spans="1:73">
      <c r="A787" s="1">
        <v>149349</v>
      </c>
      <c r="B787" t="str">
        <f>VLOOKUP($A787,[1]Table!$A$2:$N956,B$1,FALSE)</f>
        <v>R07AX02</v>
      </c>
      <c r="C787" t="str">
        <f>VLOOKUP($A787,[1]Table!$A$2:$N956,C$1,FALSE)</f>
        <v>OVERIGE MIDDELEN VOOR HET ADEMHALINGSSTELSEL</v>
      </c>
      <c r="D787" t="str">
        <f>VLOOKUP($A787,[1]Table!$A$2:$N956,D$1,FALSE)</f>
        <v>OVERIGE MIDDELEN VOOR HET ADEMHALINGSSTELSEL</v>
      </c>
      <c r="E787" t="str">
        <f>VLOOKUP($A787,[1]Table!$A$2:$N956,E$1,FALSE)</f>
        <v>IVACAFTOR</v>
      </c>
      <c r="F787" t="str">
        <f>VLOOKUP($A787,[1]Table!$A$2:$N956,F$1,FALSE)</f>
        <v>KALYDECO 150MG TABLET FILMOMHULD</v>
      </c>
      <c r="G787" t="str">
        <f>VLOOKUP($A787,[1]Table!$A$2:$N956,G$1,FALSE)</f>
        <v>IVACAFTOR 150MG TABLET</v>
      </c>
      <c r="H787" t="str">
        <f>VLOOKUP($A787,[1]Table!$A$2:$N956,H$1,FALSE)</f>
        <v>tablet</v>
      </c>
      <c r="I787" t="str">
        <f>VLOOKUP($A787,[1]Table!$A$2:$N956,I$1,FALSE)</f>
        <v>or</v>
      </c>
      <c r="J787">
        <f>VLOOKUP($A787,[1]Table!$A$2:$N956,J$1,FALSE)</f>
        <v>150</v>
      </c>
      <c r="K787" t="str">
        <f>VLOOKUP($A787,[1]Table!$A$2:$N956,K$1,FALSE)</f>
        <v>mg/stuk</v>
      </c>
      <c r="L787">
        <f>VLOOKUP($A787,[1]Table!$A$2:$N956,L$1,FALSE)</f>
        <v>150</v>
      </c>
      <c r="M787" t="str">
        <f>VLOOKUP($A787,[1]Table!$A$2:$N956,M$1,FALSE)</f>
        <v>mg</v>
      </c>
      <c r="N787" t="str">
        <f>VLOOKUP($A787,[1]Table!$A$2:$N956,N$1,FALSE)</f>
        <v>Cystische fibrose op basis van een mutatie in een van volgende genen: G551D, G1244E, G1349D, G178R, G551S, S1251N, S1255P, S549N of S549R</v>
      </c>
      <c r="O787" t="str">
        <f>ConcatenateRange(AZ787:BU787,"||")</f>
        <v/>
      </c>
      <c r="AZ787" t="str">
        <f t="shared" si="286"/>
        <v/>
      </c>
      <c r="BA787" t="str">
        <f t="shared" si="287"/>
        <v/>
      </c>
      <c r="BB787" t="str">
        <f t="shared" si="288"/>
        <v/>
      </c>
      <c r="BC787" t="str">
        <f t="shared" si="289"/>
        <v/>
      </c>
      <c r="BD787" t="str">
        <f t="shared" si="290"/>
        <v/>
      </c>
      <c r="BE787" t="str">
        <f t="shared" si="291"/>
        <v/>
      </c>
      <c r="BF787" t="str">
        <f t="shared" si="292"/>
        <v/>
      </c>
      <c r="BG787" t="str">
        <f t="shared" si="293"/>
        <v/>
      </c>
      <c r="BH787" t="str">
        <f t="shared" si="294"/>
        <v/>
      </c>
      <c r="BI787" t="str">
        <f t="shared" si="295"/>
        <v/>
      </c>
      <c r="BJ787" t="str">
        <f t="shared" si="296"/>
        <v/>
      </c>
      <c r="BK787" t="str">
        <f t="shared" si="297"/>
        <v/>
      </c>
      <c r="BL787" t="str">
        <f t="shared" si="298"/>
        <v/>
      </c>
      <c r="BM787" t="str">
        <f t="shared" si="299"/>
        <v/>
      </c>
      <c r="BN787" t="str">
        <f t="shared" si="300"/>
        <v/>
      </c>
      <c r="BO787" t="str">
        <f t="shared" si="301"/>
        <v/>
      </c>
      <c r="BP787" t="str">
        <f t="shared" si="302"/>
        <v/>
      </c>
      <c r="BQ787" t="str">
        <f t="shared" si="303"/>
        <v/>
      </c>
      <c r="BR787" t="str">
        <f t="shared" si="304"/>
        <v/>
      </c>
      <c r="BS787" t="str">
        <f t="shared" si="305"/>
        <v/>
      </c>
      <c r="BT787" t="str">
        <f t="shared" si="306"/>
        <v/>
      </c>
      <c r="BU787" t="str">
        <f t="shared" si="307"/>
        <v/>
      </c>
    </row>
    <row r="788" spans="1:73">
      <c r="A788" s="1">
        <v>30309</v>
      </c>
      <c r="B788" t="str">
        <f>VLOOKUP($A788,[1]Table!$A$2:$N957,B$1,FALSE)</f>
        <v>A12BA01</v>
      </c>
      <c r="C788" t="str">
        <f>VLOOKUP($A788,[1]Table!$A$2:$N957,C$1,FALSE)</f>
        <v>MINERAALSUPPLEMENTEN</v>
      </c>
      <c r="D788" t="str">
        <f>VLOOKUP($A788,[1]Table!$A$2:$N957,D$1,FALSE)</f>
        <v>KALIUM</v>
      </c>
      <c r="E788" t="str">
        <f>VLOOKUP($A788,[1]Table!$A$2:$N957,E$1,FALSE)</f>
        <v>KALIUMCHLORIDE</v>
      </c>
      <c r="F788" t="str">
        <f>VLOOKUP($A788,[1]Table!$A$2:$N957,F$1,FALSE)</f>
        <v>KALIUMCHLORIDE 75 MG/ML (= 1 MMOL/ML) DRANK 300 ML</v>
      </c>
      <c r="G788" t="str">
        <f>VLOOKUP($A788,[1]Table!$A$2:$N957,G$1,FALSE)</f>
        <v>KALIUMCHLORIDE 75MG/ML DRAN</v>
      </c>
      <c r="H788" t="str">
        <f>VLOOKUP($A788,[1]Table!$A$2:$N957,H$1,FALSE)</f>
        <v>drank</v>
      </c>
      <c r="I788" t="str">
        <f>VLOOKUP($A788,[1]Table!$A$2:$N957,I$1,FALSE)</f>
        <v>or</v>
      </c>
      <c r="J788">
        <f>VLOOKUP($A788,[1]Table!$A$2:$N957,J$1,FALSE)</f>
        <v>75</v>
      </c>
      <c r="K788" t="str">
        <f>VLOOKUP($A788,[1]Table!$A$2:$N957,K$1,FALSE)</f>
        <v>mg/ml</v>
      </c>
      <c r="L788">
        <v>1</v>
      </c>
      <c r="M788" t="s">
        <v>72</v>
      </c>
      <c r="N788" t="str">
        <f>VLOOKUP($A788,[1]Table!$A$2:$N957,N$1,FALSE)</f>
        <v>Hypokaliemie||Onderhoudsbehoefte kalium in TPV</v>
      </c>
      <c r="O788" t="str">
        <f>ConcatenateRange(AZ788:BU788,"||")</f>
        <v/>
      </c>
      <c r="AZ788" t="str">
        <f t="shared" si="286"/>
        <v/>
      </c>
      <c r="BA788" t="str">
        <f t="shared" si="287"/>
        <v/>
      </c>
      <c r="BB788" t="str">
        <f t="shared" si="288"/>
        <v/>
      </c>
      <c r="BC788" t="str">
        <f t="shared" si="289"/>
        <v/>
      </c>
      <c r="BD788" t="str">
        <f t="shared" si="290"/>
        <v/>
      </c>
      <c r="BE788" t="str">
        <f t="shared" si="291"/>
        <v/>
      </c>
      <c r="BF788" t="str">
        <f t="shared" si="292"/>
        <v/>
      </c>
      <c r="BG788" t="str">
        <f t="shared" si="293"/>
        <v/>
      </c>
      <c r="BH788" t="str">
        <f t="shared" si="294"/>
        <v/>
      </c>
      <c r="BI788" t="str">
        <f t="shared" si="295"/>
        <v/>
      </c>
      <c r="BJ788" t="str">
        <f t="shared" si="296"/>
        <v/>
      </c>
      <c r="BK788" t="str">
        <f t="shared" si="297"/>
        <v/>
      </c>
      <c r="BL788" t="str">
        <f t="shared" si="298"/>
        <v/>
      </c>
      <c r="BM788" t="str">
        <f t="shared" si="299"/>
        <v/>
      </c>
      <c r="BN788" t="str">
        <f t="shared" si="300"/>
        <v/>
      </c>
      <c r="BO788" t="str">
        <f t="shared" si="301"/>
        <v/>
      </c>
      <c r="BP788" t="str">
        <f t="shared" si="302"/>
        <v/>
      </c>
      <c r="BQ788" t="str">
        <f t="shared" si="303"/>
        <v/>
      </c>
      <c r="BR788" t="str">
        <f t="shared" si="304"/>
        <v/>
      </c>
      <c r="BS788" t="str">
        <f t="shared" si="305"/>
        <v/>
      </c>
      <c r="BT788" t="str">
        <f t="shared" si="306"/>
        <v/>
      </c>
      <c r="BU788" t="str">
        <f t="shared" si="307"/>
        <v/>
      </c>
    </row>
    <row r="789" spans="1:73">
      <c r="A789" s="1">
        <v>8710</v>
      </c>
      <c r="B789" t="str">
        <f>VLOOKUP($A789,[1]Table!$A$2:$N958,B$1,FALSE)</f>
        <v>A12BA01</v>
      </c>
      <c r="C789" t="str">
        <f>VLOOKUP($A789,[1]Table!$A$2:$N958,C$1,FALSE)</f>
        <v>MINERAALSUPPLEMENTEN</v>
      </c>
      <c r="D789" t="str">
        <f>VLOOKUP($A789,[1]Table!$A$2:$N958,D$1,FALSE)</f>
        <v>KALIUM</v>
      </c>
      <c r="E789" t="s">
        <v>106</v>
      </c>
      <c r="F789" t="str">
        <f>VLOOKUP($A789,[1]Table!$A$2:$N958,F$1,FALSE)</f>
        <v>SLOW K TABLET MGA 600MG (RETARD)</v>
      </c>
      <c r="G789" t="str">
        <f>VLOOKUP($A789,[1]Table!$A$2:$N958,G$1,FALSE)</f>
        <v>KALIUMCHLORIDE 600MG TABLET</v>
      </c>
      <c r="H789" t="str">
        <f>VLOOKUP($A789,[1]Table!$A$2:$N958,H$1,FALSE)</f>
        <v>tablet met gereguleerde afgifte</v>
      </c>
      <c r="I789" t="str">
        <f>VLOOKUP($A789,[1]Table!$A$2:$N958,I$1,FALSE)</f>
        <v>or</v>
      </c>
      <c r="J789">
        <f>VLOOKUP($A789,[1]Table!$A$2:$N958,J$1,FALSE)</f>
        <v>600</v>
      </c>
      <c r="K789" t="str">
        <f>VLOOKUP($A789,[1]Table!$A$2:$N958,K$1,FALSE)</f>
        <v>mg/stuk</v>
      </c>
      <c r="L789">
        <f>VLOOKUP($A789,[1]Table!$A$2:$N958,L$1,FALSE)</f>
        <v>600</v>
      </c>
      <c r="M789" t="str">
        <f>VLOOKUP($A789,[1]Table!$A$2:$N958,M$1,FALSE)</f>
        <v>mg</v>
      </c>
      <c r="N789" t="str">
        <f>VLOOKUP($A789,[1]Table!$A$2:$N958,N$1,FALSE)</f>
        <v>Hypokaliemie||Onderhoudsbehoefte kalium in TPV</v>
      </c>
      <c r="O789" t="str">
        <f>ConcatenateRange(AZ789:BU789,"||")</f>
        <v/>
      </c>
      <c r="AZ789" t="str">
        <f t="shared" si="286"/>
        <v/>
      </c>
      <c r="BA789" t="str">
        <f t="shared" si="287"/>
        <v/>
      </c>
      <c r="BB789" t="str">
        <f t="shared" si="288"/>
        <v/>
      </c>
      <c r="BC789" t="str">
        <f t="shared" si="289"/>
        <v/>
      </c>
      <c r="BD789" t="str">
        <f t="shared" si="290"/>
        <v/>
      </c>
      <c r="BE789" t="str">
        <f t="shared" si="291"/>
        <v/>
      </c>
      <c r="BF789" t="str">
        <f t="shared" si="292"/>
        <v/>
      </c>
      <c r="BG789" t="str">
        <f t="shared" si="293"/>
        <v/>
      </c>
      <c r="BH789" t="str">
        <f t="shared" si="294"/>
        <v/>
      </c>
      <c r="BI789" t="str">
        <f t="shared" si="295"/>
        <v/>
      </c>
      <c r="BJ789" t="str">
        <f t="shared" si="296"/>
        <v/>
      </c>
      <c r="BK789" t="str">
        <f t="shared" si="297"/>
        <v/>
      </c>
      <c r="BL789" t="str">
        <f t="shared" si="298"/>
        <v/>
      </c>
      <c r="BM789" t="str">
        <f t="shared" si="299"/>
        <v/>
      </c>
      <c r="BN789" t="str">
        <f t="shared" si="300"/>
        <v/>
      </c>
      <c r="BO789" t="str">
        <f t="shared" si="301"/>
        <v/>
      </c>
      <c r="BP789" t="str">
        <f t="shared" si="302"/>
        <v/>
      </c>
      <c r="BQ789" t="str">
        <f t="shared" si="303"/>
        <v/>
      </c>
      <c r="BR789" t="str">
        <f t="shared" si="304"/>
        <v/>
      </c>
      <c r="BS789" t="str">
        <f t="shared" si="305"/>
        <v/>
      </c>
      <c r="BT789" t="str">
        <f t="shared" si="306"/>
        <v/>
      </c>
      <c r="BU789" t="str">
        <f t="shared" si="307"/>
        <v/>
      </c>
    </row>
    <row r="790" spans="1:73">
      <c r="A790" s="1">
        <v>146501</v>
      </c>
      <c r="B790" t="str">
        <f>VLOOKUP($A790,[1]Table!$A$2:$N966,B$1,FALSE)</f>
        <v>A12BA02</v>
      </c>
      <c r="C790" t="str">
        <f>VLOOKUP($A790,[1]Table!$A$2:$N966,C$1,FALSE)</f>
        <v>MINERAALSUPPLEMENTEN</v>
      </c>
      <c r="D790" t="str">
        <f>VLOOKUP($A790,[1]Table!$A$2:$N966,D$1,FALSE)</f>
        <v>KALIUM</v>
      </c>
      <c r="E790" t="s">
        <v>107</v>
      </c>
      <c r="F790" t="str">
        <f>VLOOKUP($A790,[1]Table!$A$2:$N966,F$1,FALSE)</f>
        <v>KALIUMCITRAAT DRANK 100 ml (=1,33 mmol/ml K; 0,44 mmol/ml citraat)</v>
      </c>
      <c r="G790" t="str">
        <f>VLOOKUP($A790,[1]Table!$A$2:$N966,G$1,FALSE)</f>
        <v>KALIUMCITRAAT DRANK 144MG/M</v>
      </c>
      <c r="H790" t="str">
        <f>VLOOKUP($A790,[1]Table!$A$2:$N966,H$1,FALSE)</f>
        <v>drank</v>
      </c>
      <c r="I790" t="str">
        <f>VLOOKUP($A790,[1]Table!$A$2:$N966,I$1,FALSE)</f>
        <v>or</v>
      </c>
      <c r="J790">
        <f>VLOOKUP($A790,[1]Table!$A$2:$N966,J$1,FALSE)</f>
        <v>144</v>
      </c>
      <c r="K790" t="str">
        <f>VLOOKUP($A790,[1]Table!$A$2:$N966,K$1,FALSE)</f>
        <v>mg/ml</v>
      </c>
      <c r="L790">
        <v>1.33</v>
      </c>
      <c r="M790" t="s">
        <v>71</v>
      </c>
      <c r="N790" t="str">
        <f>VLOOKUP($A790,[1]Table!$A$2:$N966,N$1,FALSE)</f>
        <v>Profylaxe van urinestenen||Nier- en urinestenen</v>
      </c>
      <c r="O790" t="str">
        <f>ConcatenateRange(AZ790:BU790,"||")</f>
        <v/>
      </c>
      <c r="AZ790" t="str">
        <f t="shared" si="286"/>
        <v/>
      </c>
      <c r="BA790" t="str">
        <f t="shared" si="287"/>
        <v/>
      </c>
      <c r="BB790" t="str">
        <f t="shared" si="288"/>
        <v/>
      </c>
      <c r="BC790" t="str">
        <f t="shared" si="289"/>
        <v/>
      </c>
      <c r="BD790" t="str">
        <f t="shared" si="290"/>
        <v/>
      </c>
      <c r="BE790" t="str">
        <f t="shared" si="291"/>
        <v/>
      </c>
      <c r="BF790" t="str">
        <f t="shared" si="292"/>
        <v/>
      </c>
      <c r="BG790" t="str">
        <f t="shared" si="293"/>
        <v/>
      </c>
      <c r="BH790" t="str">
        <f t="shared" si="294"/>
        <v/>
      </c>
      <c r="BI790" t="str">
        <f t="shared" si="295"/>
        <v/>
      </c>
      <c r="BJ790" t="str">
        <f t="shared" si="296"/>
        <v/>
      </c>
      <c r="BK790" t="str">
        <f t="shared" si="297"/>
        <v/>
      </c>
      <c r="BL790" t="str">
        <f t="shared" si="298"/>
        <v/>
      </c>
      <c r="BM790" t="str">
        <f t="shared" si="299"/>
        <v/>
      </c>
      <c r="BN790" t="str">
        <f t="shared" si="300"/>
        <v/>
      </c>
      <c r="BO790" t="str">
        <f t="shared" si="301"/>
        <v/>
      </c>
      <c r="BP790" t="str">
        <f t="shared" si="302"/>
        <v/>
      </c>
      <c r="BQ790" t="str">
        <f t="shared" si="303"/>
        <v/>
      </c>
      <c r="BR790" t="str">
        <f t="shared" si="304"/>
        <v/>
      </c>
      <c r="BS790" t="str">
        <f t="shared" si="305"/>
        <v/>
      </c>
      <c r="BT790" t="str">
        <f t="shared" si="306"/>
        <v/>
      </c>
      <c r="BU790" t="str">
        <f t="shared" si="307"/>
        <v/>
      </c>
    </row>
    <row r="791" spans="1:73">
      <c r="A791" s="22">
        <v>98009621</v>
      </c>
      <c r="B791" t="str">
        <f>VLOOKUP($A791,[1]Table!$A$2:$N1699,B$1,FALSE)</f>
        <v>B05XA06</v>
      </c>
      <c r="C791" t="str">
        <f>VLOOKUP($A791,[1]Table!$A$2:$N1699,C$1,FALSE)</f>
        <v>BLOEDVERVANGINGSMIDDELEN EN PERFUSIEVLOEISTOFFEN</v>
      </c>
      <c r="D791" t="str">
        <f>VLOOKUP($A791,[1]Table!$A$2:$N1699,D$1,FALSE)</f>
        <v>ANDERE IV OPLOSSING TOEVOEGINGEN</v>
      </c>
      <c r="E791" t="str">
        <f>VLOOKUP($A791,[1]Table!$A$2:$N1699,E$1,FALSE)</f>
        <v>KALIUMFOSFAAT</v>
      </c>
      <c r="F791" t="str">
        <f>VLOOKUP($A791,[1]Table!$A$2:$N1699,F$1,FALSE)</f>
        <v>KALIUMFOSFAAT 0,3 MMOL FOSF/ML DRANK 50ML</v>
      </c>
      <c r="G791" t="str">
        <f>VLOOKUP($A791,[1]Table!$A$2:$N1699,G$1,FALSE)</f>
        <v>KALIUMFOSFAAT DRANK 50ML 0,</v>
      </c>
      <c r="H791" t="str">
        <f>VLOOKUP($A791,[1]Table!$A$2:$N1699,H$1,FALSE)</f>
        <v>drank</v>
      </c>
      <c r="I791" t="str">
        <f>VLOOKUP($A791,[1]Table!$A$2:$N1699,I$1,FALSE)</f>
        <v>or</v>
      </c>
      <c r="J791">
        <f>VLOOKUP($A791,[1]Table!$A$2:$N1699,J$1,FALSE)</f>
        <v>0.3</v>
      </c>
      <c r="K791" t="str">
        <f>VLOOKUP($A791,[1]Table!$A$2:$N1699,K$1,FALSE)</f>
        <v>mmol/ml</v>
      </c>
      <c r="L791">
        <f>VLOOKUP($A791,[1]Table!$A$2:$N1699,L$1,FALSE)</f>
        <v>0.03</v>
      </c>
      <c r="M791" t="str">
        <f>VLOOKUP($A791,[1]Table!$A$2:$N1699,M$1,FALSE)</f>
        <v>mmol</v>
      </c>
      <c r="N791" t="str">
        <f>VLOOKUP($A791,[1]Table!$A$2:$N1699,N$1,FALSE)</f>
        <v>Onderhoudsbehoefte fosfaat</v>
      </c>
      <c r="AZ791" t="str">
        <f t="shared" si="286"/>
        <v/>
      </c>
      <c r="BA791" t="str">
        <f t="shared" si="287"/>
        <v/>
      </c>
      <c r="BB791" t="str">
        <f t="shared" si="288"/>
        <v/>
      </c>
      <c r="BC791" t="str">
        <f t="shared" si="289"/>
        <v/>
      </c>
      <c r="BD791" t="str">
        <f t="shared" si="290"/>
        <v/>
      </c>
      <c r="BE791" t="str">
        <f t="shared" si="291"/>
        <v/>
      </c>
      <c r="BF791" t="str">
        <f t="shared" si="292"/>
        <v/>
      </c>
      <c r="BG791" t="str">
        <f t="shared" si="293"/>
        <v/>
      </c>
      <c r="BH791" t="str">
        <f t="shared" si="294"/>
        <v/>
      </c>
      <c r="BI791" t="str">
        <f t="shared" si="295"/>
        <v/>
      </c>
      <c r="BJ791" t="str">
        <f t="shared" si="296"/>
        <v/>
      </c>
      <c r="BK791" t="str">
        <f t="shared" si="297"/>
        <v/>
      </c>
      <c r="BL791" t="str">
        <f t="shared" si="298"/>
        <v/>
      </c>
      <c r="BM791" t="str">
        <f t="shared" si="299"/>
        <v/>
      </c>
      <c r="BN791" t="str">
        <f t="shared" si="300"/>
        <v/>
      </c>
      <c r="BO791" t="str">
        <f t="shared" si="301"/>
        <v/>
      </c>
      <c r="BP791" t="str">
        <f t="shared" si="302"/>
        <v/>
      </c>
      <c r="BQ791" t="str">
        <f t="shared" si="303"/>
        <v/>
      </c>
      <c r="BR791" t="str">
        <f t="shared" si="304"/>
        <v/>
      </c>
      <c r="BS791" t="str">
        <f t="shared" si="305"/>
        <v/>
      </c>
      <c r="BT791" t="str">
        <f t="shared" si="306"/>
        <v/>
      </c>
      <c r="BU791" t="str">
        <f t="shared" si="307"/>
        <v/>
      </c>
    </row>
    <row r="792" spans="1:73">
      <c r="A792" s="1">
        <v>54828</v>
      </c>
      <c r="B792" t="str">
        <f>VLOOKUP($A792,[1]Table!$A$2:$N967,B$1,FALSE)</f>
        <v>D01AC08</v>
      </c>
      <c r="C792" t="str">
        <f>VLOOKUP($A792,[1]Table!$A$2:$N967,C$1,FALSE)</f>
        <v>ANTIMYCOTICA VOOR DERMATOLOGISCH GEBRUIK</v>
      </c>
      <c r="D792" t="str">
        <f>VLOOKUP($A792,[1]Table!$A$2:$N967,D$1,FALSE)</f>
        <v>ANTIMYCOTICA, LOKALE</v>
      </c>
      <c r="E792" t="str">
        <f>VLOOKUP($A792,[1]Table!$A$2:$N967,E$1,FALSE)</f>
        <v>KETOCONAZOL</v>
      </c>
      <c r="F792" t="str">
        <f>VLOOKUP($A792,[1]Table!$A$2:$N967,F$1,FALSE)</f>
        <v>NIZORAL 20 MG/G CREME 30 G</v>
      </c>
      <c r="G792" t="str">
        <f>VLOOKUP($A792,[1]Table!$A$2:$N967,G$1,FALSE)</f>
        <v>KETOCONAZOL 20MG/G CREME</v>
      </c>
      <c r="H792" t="str">
        <f>VLOOKUP($A792,[1]Table!$A$2:$N967,H$1,FALSE)</f>
        <v>creme</v>
      </c>
      <c r="I792" t="str">
        <f>VLOOKUP($A792,[1]Table!$A$2:$N967,I$1,FALSE)</f>
        <v>cutaan</v>
      </c>
      <c r="J792">
        <f>VLOOKUP($A792,[1]Table!$A$2:$N967,J$1,FALSE)</f>
        <v>20</v>
      </c>
      <c r="K792" t="str">
        <f>VLOOKUP($A792,[1]Table!$A$2:$N967,K$1,FALSE)</f>
        <v>mg/gr</v>
      </c>
      <c r="L792">
        <f>VLOOKUP($A792,[1]Table!$A$2:$N967,L$1,FALSE)</f>
        <v>20</v>
      </c>
      <c r="M792" t="str">
        <f>VLOOKUP($A792,[1]Table!$A$2:$N967,M$1,FALSE)</f>
        <v>mg</v>
      </c>
      <c r="N792" t="str">
        <f>VLOOKUP($A792,[1]Table!$A$2:$N967,N$1,FALSE)</f>
        <v>Sebborhoisch eczeem behaarde hoofdhuid||Schimmelinfecties van de huid, seborrhoische dermatitis</v>
      </c>
      <c r="O792" t="str">
        <f>ConcatenateRange(AZ792:BU792,"||")</f>
        <v/>
      </c>
      <c r="AZ792" t="str">
        <f t="shared" si="286"/>
        <v/>
      </c>
      <c r="BA792" t="str">
        <f t="shared" si="287"/>
        <v/>
      </c>
      <c r="BB792" t="str">
        <f t="shared" si="288"/>
        <v/>
      </c>
      <c r="BC792" t="str">
        <f t="shared" si="289"/>
        <v/>
      </c>
      <c r="BD792" t="str">
        <f t="shared" si="290"/>
        <v/>
      </c>
      <c r="BE792" t="str">
        <f t="shared" si="291"/>
        <v/>
      </c>
      <c r="BF792" t="str">
        <f t="shared" si="292"/>
        <v/>
      </c>
      <c r="BG792" t="str">
        <f t="shared" si="293"/>
        <v/>
      </c>
      <c r="BH792" t="str">
        <f t="shared" si="294"/>
        <v/>
      </c>
      <c r="BI792" t="str">
        <f t="shared" si="295"/>
        <v/>
      </c>
      <c r="BJ792" t="str">
        <f t="shared" si="296"/>
        <v/>
      </c>
      <c r="BK792" t="str">
        <f t="shared" si="297"/>
        <v/>
      </c>
      <c r="BL792" t="str">
        <f t="shared" si="298"/>
        <v/>
      </c>
      <c r="BM792" t="str">
        <f t="shared" si="299"/>
        <v/>
      </c>
      <c r="BN792" t="str">
        <f t="shared" si="300"/>
        <v/>
      </c>
      <c r="BO792" t="str">
        <f t="shared" si="301"/>
        <v/>
      </c>
      <c r="BP792" t="str">
        <f t="shared" si="302"/>
        <v/>
      </c>
      <c r="BQ792" t="str">
        <f t="shared" si="303"/>
        <v/>
      </c>
      <c r="BR792" t="str">
        <f t="shared" si="304"/>
        <v/>
      </c>
      <c r="BS792" t="str">
        <f t="shared" si="305"/>
        <v/>
      </c>
      <c r="BT792" t="str">
        <f t="shared" si="306"/>
        <v/>
      </c>
      <c r="BU792" t="str">
        <f t="shared" si="307"/>
        <v/>
      </c>
    </row>
    <row r="793" spans="1:73">
      <c r="A793" s="1">
        <v>125156</v>
      </c>
      <c r="B793" t="str">
        <f>VLOOKUP($A793,[1]Table!$A$2:$N968,B$1,FALSE)</f>
        <v>D01AC08</v>
      </c>
      <c r="C793" t="str">
        <f>VLOOKUP($A793,[1]Table!$A$2:$N968,C$1,FALSE)</f>
        <v>ANTIMYCOTICA VOOR DERMATOLOGISCH GEBRUIK</v>
      </c>
      <c r="D793" t="str">
        <f>VLOOKUP($A793,[1]Table!$A$2:$N968,D$1,FALSE)</f>
        <v>ANTIMYCOTICA, LOKALE</v>
      </c>
      <c r="E793" t="str">
        <f>VLOOKUP($A793,[1]Table!$A$2:$N968,E$1,FALSE)</f>
        <v>KETOCONAZOL</v>
      </c>
      <c r="F793" t="str">
        <f>VLOOKUP($A793,[1]Table!$A$2:$N968,F$1,FALSE)</f>
        <v>NIZORAL 20 MG/G SHAMPOO  60 ML</v>
      </c>
      <c r="G793" t="str">
        <f>VLOOKUP($A793,[1]Table!$A$2:$N968,G$1,FALSE)</f>
        <v>KETOCONAZOL 20MG/G SHAMPOO</v>
      </c>
      <c r="H793" t="str">
        <f>VLOOKUP($A793,[1]Table!$A$2:$N968,H$1,FALSE)</f>
        <v>shampoo</v>
      </c>
      <c r="I793" t="str">
        <f>VLOOKUP($A793,[1]Table!$A$2:$N968,I$1,FALSE)</f>
        <v>cutaan</v>
      </c>
      <c r="J793">
        <f>VLOOKUP($A793,[1]Table!$A$2:$N968,J$1,FALSE)</f>
        <v>20</v>
      </c>
      <c r="K793" t="str">
        <f>VLOOKUP($A793,[1]Table!$A$2:$N968,K$1,FALSE)</f>
        <v>mg/gr</v>
      </c>
      <c r="L793">
        <f>VLOOKUP($A793,[1]Table!$A$2:$N968,L$1,FALSE)</f>
        <v>20</v>
      </c>
      <c r="M793" t="str">
        <f>VLOOKUP($A793,[1]Table!$A$2:$N968,M$1,FALSE)</f>
        <v>mg</v>
      </c>
      <c r="N793" t="str">
        <f>VLOOKUP($A793,[1]Table!$A$2:$N968,N$1,FALSE)</f>
        <v>Sebborhoisch eczeem behaarde hoofdhuid||Schimmelinfecties van de huid, seborrhoische dermatitis</v>
      </c>
      <c r="O793" t="str">
        <f>ConcatenateRange(AZ793:BU793,"||")</f>
        <v/>
      </c>
      <c r="AZ793" t="str">
        <f t="shared" si="286"/>
        <v/>
      </c>
      <c r="BA793" t="str">
        <f t="shared" si="287"/>
        <v/>
      </c>
      <c r="BB793" t="str">
        <f t="shared" si="288"/>
        <v/>
      </c>
      <c r="BC793" t="str">
        <f t="shared" si="289"/>
        <v/>
      </c>
      <c r="BD793" t="str">
        <f t="shared" si="290"/>
        <v/>
      </c>
      <c r="BE793" t="str">
        <f t="shared" si="291"/>
        <v/>
      </c>
      <c r="BF793" t="str">
        <f t="shared" si="292"/>
        <v/>
      </c>
      <c r="BG793" t="str">
        <f t="shared" si="293"/>
        <v/>
      </c>
      <c r="BH793" t="str">
        <f t="shared" si="294"/>
        <v/>
      </c>
      <c r="BI793" t="str">
        <f t="shared" si="295"/>
        <v/>
      </c>
      <c r="BJ793" t="str">
        <f t="shared" si="296"/>
        <v/>
      </c>
      <c r="BK793" t="str">
        <f t="shared" si="297"/>
        <v/>
      </c>
      <c r="BL793" t="str">
        <f t="shared" si="298"/>
        <v/>
      </c>
      <c r="BM793" t="str">
        <f t="shared" si="299"/>
        <v/>
      </c>
      <c r="BN793" t="str">
        <f t="shared" si="300"/>
        <v/>
      </c>
      <c r="BO793" t="str">
        <f t="shared" si="301"/>
        <v/>
      </c>
      <c r="BP793" t="str">
        <f t="shared" si="302"/>
        <v/>
      </c>
      <c r="BQ793" t="str">
        <f t="shared" si="303"/>
        <v/>
      </c>
      <c r="BR793" t="str">
        <f t="shared" si="304"/>
        <v/>
      </c>
      <c r="BS793" t="str">
        <f t="shared" si="305"/>
        <v/>
      </c>
      <c r="BT793" t="str">
        <f t="shared" si="306"/>
        <v/>
      </c>
      <c r="BU793" t="str">
        <f t="shared" si="307"/>
        <v/>
      </c>
    </row>
    <row r="794" spans="1:73">
      <c r="A794" s="1">
        <v>143502</v>
      </c>
      <c r="B794" t="str">
        <f>VLOOKUP($A794,[1]Table!$A$2:$N1622,B$1,FALSE)</f>
        <v>D07XB02</v>
      </c>
      <c r="C794" t="str">
        <f>VLOOKUP($A794,[1]Table!$A$2:$N1622,C$1,FALSE)</f>
        <v>DERMATOLOGISCHE CORTICOSTEROIDEN</v>
      </c>
      <c r="D794" t="str">
        <f>VLOOKUP($A794,[1]Table!$A$2:$N1622,D$1,FALSE)</f>
        <v>CORTICOSTEROIDEN MET OVERIGE MIDDELEN</v>
      </c>
      <c r="E794" t="str">
        <f>VLOOKUP($A794,[1]Table!$A$2:$N1622,E$1,FALSE)</f>
        <v>KETOCONAZOL/TRIAMCINOLONACETONIDE</v>
      </c>
      <c r="F794" t="str">
        <f>VLOOKUP($A794,[1]Table!$A$2:$N1622,F$1,FALSE)</f>
        <v>KETOCONAZOL 2% TCA 0,1% CREME TUBE 30 GRAM</v>
      </c>
      <c r="G794" t="str">
        <f>VLOOKUP($A794,[1]Table!$A$2:$N1622,G$1,FALSE)</f>
        <v>KETOC/TRIAMCINO 20/1MG/G CR</v>
      </c>
      <c r="H794" t="str">
        <f>VLOOKUP($A794,[1]Table!$A$2:$N1622,H$1,FALSE)</f>
        <v>creme</v>
      </c>
      <c r="I794" t="str">
        <f>VLOOKUP($A794,[1]Table!$A$2:$N1622,I$1,FALSE)</f>
        <v>cutaan</v>
      </c>
      <c r="J794">
        <f>VLOOKUP($A794,[1]Table!$A$2:$N1622,J$1,FALSE)</f>
        <v>1</v>
      </c>
      <c r="K794" t="str">
        <f>VLOOKUP($A794,[1]Table!$A$2:$N1622,K$1,FALSE)</f>
        <v>mg/gr</v>
      </c>
      <c r="L794">
        <f>VLOOKUP($A794,[1]Table!$A$2:$N1622,L$1,FALSE)</f>
        <v>1</v>
      </c>
      <c r="M794" t="str">
        <f>VLOOKUP($A794,[1]Table!$A$2:$N1622,M$1,FALSE)</f>
        <v>mg</v>
      </c>
      <c r="N794" t="str">
        <f>VLOOKUP($A794,[1]Table!$A$2:$N1622,N$1,FALSE)</f>
        <v>Gecontraindiceerd</v>
      </c>
      <c r="O794" t="str">
        <f>ConcatenateRange(AZ794:BU794,"||")</f>
        <v/>
      </c>
      <c r="AZ794" t="str">
        <f t="shared" si="286"/>
        <v/>
      </c>
      <c r="BA794" t="str">
        <f t="shared" si="287"/>
        <v/>
      </c>
      <c r="BB794" t="str">
        <f t="shared" si="288"/>
        <v/>
      </c>
      <c r="BC794" t="str">
        <f t="shared" si="289"/>
        <v/>
      </c>
      <c r="BD794" t="str">
        <f t="shared" si="290"/>
        <v/>
      </c>
      <c r="BE794" t="str">
        <f t="shared" si="291"/>
        <v/>
      </c>
      <c r="BF794" t="str">
        <f t="shared" si="292"/>
        <v/>
      </c>
      <c r="BG794" t="str">
        <f t="shared" si="293"/>
        <v/>
      </c>
      <c r="BH794" t="str">
        <f t="shared" si="294"/>
        <v/>
      </c>
      <c r="BI794" t="str">
        <f t="shared" si="295"/>
        <v/>
      </c>
      <c r="BJ794" t="str">
        <f t="shared" si="296"/>
        <v/>
      </c>
      <c r="BK794" t="str">
        <f t="shared" si="297"/>
        <v/>
      </c>
      <c r="BL794" t="str">
        <f t="shared" si="298"/>
        <v/>
      </c>
      <c r="BM794" t="str">
        <f t="shared" si="299"/>
        <v/>
      </c>
      <c r="BN794" t="str">
        <f t="shared" si="300"/>
        <v/>
      </c>
      <c r="BO794" t="str">
        <f t="shared" si="301"/>
        <v/>
      </c>
      <c r="BP794" t="str">
        <f t="shared" si="302"/>
        <v/>
      </c>
      <c r="BQ794" t="str">
        <f t="shared" si="303"/>
        <v/>
      </c>
      <c r="BR794" t="str">
        <f t="shared" si="304"/>
        <v/>
      </c>
      <c r="BS794" t="str">
        <f t="shared" si="305"/>
        <v/>
      </c>
      <c r="BT794" t="str">
        <f t="shared" si="306"/>
        <v/>
      </c>
      <c r="BU794" t="str">
        <f t="shared" si="307"/>
        <v/>
      </c>
    </row>
    <row r="795" spans="1:73">
      <c r="A795" s="1">
        <v>112941</v>
      </c>
      <c r="B795" t="str">
        <f>VLOOKUP($A795,[1]Table!$A$2:$N969,B$1,FALSE)</f>
        <v>S01GX08</v>
      </c>
      <c r="C795" t="str">
        <f>VLOOKUP($A795,[1]Table!$A$2:$N969,C$1,FALSE)</f>
        <v>MIDDELEN VOOR OOGHEELKUNDIG GEBRUIK</v>
      </c>
      <c r="D795" t="str">
        <f>VLOOKUP($A795,[1]Table!$A$2:$N969,D$1,FALSE)</f>
        <v>DECONGESTIVA EN ALLERGIEMIDDELEN</v>
      </c>
      <c r="E795" t="str">
        <f>VLOOKUP($A795,[1]Table!$A$2:$N969,E$1,FALSE)</f>
        <v>KETOTIFEN</v>
      </c>
      <c r="F795" t="str">
        <f>VLOOKUP($A795,[1]Table!$A$2:$N969,F$1,FALSE)</f>
        <v>ALTRIABAK OOGDRUPPELS 0,25 MG/ML 5 ML</v>
      </c>
      <c r="G795" t="str">
        <f>VLOOKUP($A795,[1]Table!$A$2:$N969,G$1,FALSE)</f>
        <v>KETOTIFEN 0,25MG/ML OOGDRUP</v>
      </c>
      <c r="H795" t="str">
        <f>VLOOKUP($A795,[1]Table!$A$2:$N969,H$1,FALSE)</f>
        <v>oogdruppels</v>
      </c>
      <c r="I795" t="str">
        <f>VLOOKUP($A795,[1]Table!$A$2:$N969,I$1,FALSE)</f>
        <v>oog</v>
      </c>
      <c r="J795">
        <f>VLOOKUP($A795,[1]Table!$A$2:$N969,J$1,FALSE)</f>
        <v>0.25</v>
      </c>
      <c r="K795" t="str">
        <f>VLOOKUP($A795,[1]Table!$A$2:$N969,K$1,FALSE)</f>
        <v>mg/ml</v>
      </c>
      <c r="L795">
        <f>VLOOKUP($A795,[1]Table!$A$2:$N969,L$1,FALSE)</f>
        <v>0.25</v>
      </c>
      <c r="M795" t="str">
        <f>VLOOKUP($A795,[1]Table!$A$2:$N969,M$1,FALSE)</f>
        <v>mg</v>
      </c>
      <c r="N795" t="str">
        <f>VLOOKUP($A795,[1]Table!$A$2:$N969,N$1,FALSE)</f>
        <v>Allergische conjunctivitis, conjunctivitis vernalis</v>
      </c>
      <c r="O795" t="str">
        <f>ConcatenateRange(AZ795:BU795,"||")</f>
        <v/>
      </c>
      <c r="AZ795" t="str">
        <f t="shared" si="286"/>
        <v/>
      </c>
      <c r="BA795" t="str">
        <f t="shared" si="287"/>
        <v/>
      </c>
      <c r="BB795" t="str">
        <f t="shared" si="288"/>
        <v/>
      </c>
      <c r="BC795" t="str">
        <f t="shared" si="289"/>
        <v/>
      </c>
      <c r="BD795" t="str">
        <f t="shared" si="290"/>
        <v/>
      </c>
      <c r="BE795" t="str">
        <f t="shared" si="291"/>
        <v/>
      </c>
      <c r="BF795" t="str">
        <f t="shared" si="292"/>
        <v/>
      </c>
      <c r="BG795" t="str">
        <f t="shared" si="293"/>
        <v/>
      </c>
      <c r="BH795" t="str">
        <f t="shared" si="294"/>
        <v/>
      </c>
      <c r="BI795" t="str">
        <f t="shared" si="295"/>
        <v/>
      </c>
      <c r="BJ795" t="str">
        <f t="shared" si="296"/>
        <v/>
      </c>
      <c r="BK795" t="str">
        <f t="shared" si="297"/>
        <v/>
      </c>
      <c r="BL795" t="str">
        <f t="shared" si="298"/>
        <v/>
      </c>
      <c r="BM795" t="str">
        <f t="shared" si="299"/>
        <v/>
      </c>
      <c r="BN795" t="str">
        <f t="shared" si="300"/>
        <v/>
      </c>
      <c r="BO795" t="str">
        <f t="shared" si="301"/>
        <v/>
      </c>
      <c r="BP795" t="str">
        <f t="shared" si="302"/>
        <v/>
      </c>
      <c r="BQ795" t="str">
        <f t="shared" si="303"/>
        <v/>
      </c>
      <c r="BR795" t="str">
        <f t="shared" si="304"/>
        <v/>
      </c>
      <c r="BS795" t="str">
        <f t="shared" si="305"/>
        <v/>
      </c>
      <c r="BT795" t="str">
        <f t="shared" si="306"/>
        <v/>
      </c>
      <c r="BU795" t="str">
        <f t="shared" si="307"/>
        <v/>
      </c>
    </row>
    <row r="796" spans="1:73">
      <c r="A796" s="1">
        <v>36587</v>
      </c>
      <c r="B796" t="str">
        <f>VLOOKUP($A796,[1]Table!$A$2:$N970,B$1,FALSE)</f>
        <v>R06AX17</v>
      </c>
      <c r="C796" t="str">
        <f>VLOOKUP($A796,[1]Table!$A$2:$N970,C$1,FALSE)</f>
        <v>ANTIHISTAMINICA VOOR SYSTEMISCH GEBRUIK</v>
      </c>
      <c r="D796" t="str">
        <f>VLOOKUP($A796,[1]Table!$A$2:$N970,D$1,FALSE)</f>
        <v>ANTIHISTAMINICA VOOR SYSTEMISCH GEBRUIK</v>
      </c>
      <c r="E796" t="str">
        <f>VLOOKUP($A796,[1]Table!$A$2:$N970,E$1,FALSE)</f>
        <v>KETOTIFEN</v>
      </c>
      <c r="F796" t="str">
        <f>VLOOKUP($A796,[1]Table!$A$2:$N970,F$1,FALSE)</f>
        <v>ZADITEN 1 MG TABLET</v>
      </c>
      <c r="G796" t="str">
        <f>VLOOKUP($A796,[1]Table!$A$2:$N970,G$1,FALSE)</f>
        <v>KETOTIFEN 1MG TABLET</v>
      </c>
      <c r="H796" t="str">
        <f>VLOOKUP($A796,[1]Table!$A$2:$N970,H$1,FALSE)</f>
        <v>tablet</v>
      </c>
      <c r="I796" t="str">
        <f>VLOOKUP($A796,[1]Table!$A$2:$N970,I$1,FALSE)</f>
        <v>or</v>
      </c>
      <c r="J796">
        <f>VLOOKUP($A796,[1]Table!$A$2:$N970,J$1,FALSE)</f>
        <v>1</v>
      </c>
      <c r="K796" t="str">
        <f>VLOOKUP($A796,[1]Table!$A$2:$N970,K$1,FALSE)</f>
        <v>mg/stuk</v>
      </c>
      <c r="L796">
        <f>VLOOKUP($A796,[1]Table!$A$2:$N970,L$1,FALSE)</f>
        <v>0.5</v>
      </c>
      <c r="M796" t="str">
        <f>VLOOKUP($A796,[1]Table!$A$2:$N970,M$1,FALSE)</f>
        <v>mg</v>
      </c>
      <c r="N796" t="str">
        <f>VLOOKUP($A796,[1]Table!$A$2:$N970,N$1,FALSE)</f>
        <v>Allergische huidaandoeningen, allergische rinitis en profylaxe van allergisch astma</v>
      </c>
      <c r="O796" t="str">
        <f>ConcatenateRange(AZ796:BU796,"||")</f>
        <v/>
      </c>
      <c r="AZ796" t="str">
        <f t="shared" ref="AZ796:AZ857" si="308">IF(AA796&lt;&gt;0,AA$2,"")</f>
        <v/>
      </c>
      <c r="BA796" t="str">
        <f t="shared" ref="BA796:BA857" si="309">IF(AB796&lt;&gt;0,AB$2,"")</f>
        <v/>
      </c>
      <c r="BB796" t="str">
        <f t="shared" ref="BB796:BB857" si="310">IF(AC796&lt;&gt;0,AC$2,"")</f>
        <v/>
      </c>
      <c r="BC796" t="str">
        <f t="shared" ref="BC796:BC857" si="311">IF(AD796&lt;&gt;0,AD$2,"")</f>
        <v/>
      </c>
      <c r="BD796" t="str">
        <f t="shared" ref="BD796:BD857" si="312">IF(AE796&lt;&gt;0,AE$2,"")</f>
        <v/>
      </c>
      <c r="BE796" t="str">
        <f t="shared" ref="BE796:BE857" si="313">IF(AF796&lt;&gt;0,AF$2,"")</f>
        <v/>
      </c>
      <c r="BF796" t="str">
        <f t="shared" ref="BF796:BF857" si="314">IF(AG796&lt;&gt;0,AG$2,"")</f>
        <v/>
      </c>
      <c r="BG796" t="str">
        <f t="shared" ref="BG796:BG857" si="315">IF(AH796&lt;&gt;0,AH$2,"")</f>
        <v/>
      </c>
      <c r="BH796" t="str">
        <f t="shared" ref="BH796:BH857" si="316">IF(AI796&lt;&gt;0,AI$2,"")</f>
        <v/>
      </c>
      <c r="BI796" t="str">
        <f t="shared" ref="BI796:BI857" si="317">IF(AJ796&lt;&gt;0,AJ$2,"")</f>
        <v/>
      </c>
      <c r="BJ796" t="str">
        <f t="shared" ref="BJ796:BJ857" si="318">IF(AK796&lt;&gt;0,AK$2,"")</f>
        <v/>
      </c>
      <c r="BK796" t="str">
        <f t="shared" ref="BK796:BK857" si="319">IF(AL796&lt;&gt;0,AL$2,"")</f>
        <v/>
      </c>
      <c r="BL796" t="str">
        <f t="shared" ref="BL796:BL857" si="320">IF(AM796&lt;&gt;0,AM$2,"")</f>
        <v/>
      </c>
      <c r="BM796" t="str">
        <f t="shared" ref="BM796:BM857" si="321">IF(AN796&lt;&gt;0,AN$2,"")</f>
        <v/>
      </c>
      <c r="BN796" t="str">
        <f t="shared" ref="BN796:BN857" si="322">IF(AO796&lt;&gt;0,AO$2,"")</f>
        <v/>
      </c>
      <c r="BO796" t="str">
        <f t="shared" ref="BO796:BO857" si="323">IF(AP796&lt;&gt;0,AP$2,"")</f>
        <v/>
      </c>
      <c r="BP796" t="str">
        <f t="shared" ref="BP796:BP857" si="324">IF(AQ796&lt;&gt;0,AQ$2,"")</f>
        <v/>
      </c>
      <c r="BQ796" t="str">
        <f t="shared" ref="BQ796:BQ857" si="325">IF(AR796&lt;&gt;0,AR$2,"")</f>
        <v/>
      </c>
      <c r="BR796" t="str">
        <f t="shared" ref="BR796:BR857" si="326">IF(AS796&lt;&gt;0,AS$2,"")</f>
        <v/>
      </c>
      <c r="BS796" t="str">
        <f t="shared" ref="BS796:BS857" si="327">IF(AT796&lt;&gt;0,AT$2,"")</f>
        <v/>
      </c>
      <c r="BT796" t="str">
        <f t="shared" ref="BT796:BT857" si="328">IF(AU796&lt;&gt;0,AU$2,"")</f>
        <v/>
      </c>
      <c r="BU796" t="str">
        <f t="shared" ref="BU796:BU857" si="329">IF(AV796&lt;&gt;0,AV$2,"")</f>
        <v/>
      </c>
    </row>
    <row r="797" spans="1:73">
      <c r="A797" s="1">
        <v>22985</v>
      </c>
      <c r="B797" t="str">
        <f>VLOOKUP($A797,[1]Table!$A$2:$N971,B$1,FALSE)</f>
        <v>C01BA01</v>
      </c>
      <c r="C797" t="str">
        <f>VLOOKUP($A797,[1]Table!$A$2:$N971,C$1,FALSE)</f>
        <v>CARDIACA</v>
      </c>
      <c r="D797" t="str">
        <f>VLOOKUP($A797,[1]Table!$A$2:$N971,D$1,FALSE)</f>
        <v>ANTI-ARITMISCHE MIDDELEN KLASSE I EN III</v>
      </c>
      <c r="E797" t="str">
        <f>VLOOKUP($A797,[1]Table!$A$2:$N971,E$1,FALSE)</f>
        <v>KINIDINE</v>
      </c>
      <c r="F797" t="str">
        <f>VLOOKUP($A797,[1]Table!$A$2:$N971,F$1,FALSE)</f>
        <v>KINIDINE SULFAAT 200 MG DRAGEE</v>
      </c>
      <c r="G797" t="str">
        <f>VLOOKUP($A797,[1]Table!$A$2:$N971,G$1,FALSE)</f>
        <v>KINIDINE 200MG DRAGEE</v>
      </c>
      <c r="H797" t="str">
        <f>VLOOKUP($A797,[1]Table!$A$2:$N971,H$1,FALSE)</f>
        <v>dragee</v>
      </c>
      <c r="I797" t="str">
        <f>VLOOKUP($A797,[1]Table!$A$2:$N971,I$1,FALSE)</f>
        <v>or</v>
      </c>
      <c r="J797">
        <f>VLOOKUP($A797,[1]Table!$A$2:$N971,J$1,FALSE)</f>
        <v>200</v>
      </c>
      <c r="K797" t="str">
        <f>VLOOKUP($A797,[1]Table!$A$2:$N971,K$1,FALSE)</f>
        <v>mg/stuk</v>
      </c>
      <c r="L797">
        <f>VLOOKUP($A797,[1]Table!$A$2:$N971,L$1,FALSE)</f>
        <v>200</v>
      </c>
      <c r="M797" t="str">
        <f>VLOOKUP($A797,[1]Table!$A$2:$N971,M$1,FALSE)</f>
        <v>mg</v>
      </c>
      <c r="N797" t="str">
        <f>VLOOKUP($A797,[1]Table!$A$2:$N971,N$1,FALSE)</f>
        <v>Brugada syndroom</v>
      </c>
      <c r="O797" t="str">
        <f>ConcatenateRange(AZ797:BU797,"||")</f>
        <v/>
      </c>
      <c r="AZ797" t="str">
        <f t="shared" si="308"/>
        <v/>
      </c>
      <c r="BA797" t="str">
        <f t="shared" si="309"/>
        <v/>
      </c>
      <c r="BB797" t="str">
        <f t="shared" si="310"/>
        <v/>
      </c>
      <c r="BC797" t="str">
        <f t="shared" si="311"/>
        <v/>
      </c>
      <c r="BD797" t="str">
        <f t="shared" si="312"/>
        <v/>
      </c>
      <c r="BE797" t="str">
        <f t="shared" si="313"/>
        <v/>
      </c>
      <c r="BF797" t="str">
        <f t="shared" si="314"/>
        <v/>
      </c>
      <c r="BG797" t="str">
        <f t="shared" si="315"/>
        <v/>
      </c>
      <c r="BH797" t="str">
        <f t="shared" si="316"/>
        <v/>
      </c>
      <c r="BI797" t="str">
        <f t="shared" si="317"/>
        <v/>
      </c>
      <c r="BJ797" t="str">
        <f t="shared" si="318"/>
        <v/>
      </c>
      <c r="BK797" t="str">
        <f t="shared" si="319"/>
        <v/>
      </c>
      <c r="BL797" t="str">
        <f t="shared" si="320"/>
        <v/>
      </c>
      <c r="BM797" t="str">
        <f t="shared" si="321"/>
        <v/>
      </c>
      <c r="BN797" t="str">
        <f t="shared" si="322"/>
        <v/>
      </c>
      <c r="BO797" t="str">
        <f t="shared" si="323"/>
        <v/>
      </c>
      <c r="BP797" t="str">
        <f t="shared" si="324"/>
        <v/>
      </c>
      <c r="BQ797" t="str">
        <f t="shared" si="325"/>
        <v/>
      </c>
      <c r="BR797" t="str">
        <f t="shared" si="326"/>
        <v/>
      </c>
      <c r="BS797" t="str">
        <f t="shared" si="327"/>
        <v/>
      </c>
      <c r="BT797" t="str">
        <f t="shared" si="328"/>
        <v/>
      </c>
      <c r="BU797" t="str">
        <f t="shared" si="329"/>
        <v/>
      </c>
    </row>
    <row r="798" spans="1:73">
      <c r="A798" s="1">
        <v>112925</v>
      </c>
      <c r="B798" t="str">
        <f>VLOOKUP($A798,[1]Table!$A$2:$N973,B$1,FALSE)</f>
        <v>A07BA01</v>
      </c>
      <c r="C798" t="str">
        <f>VLOOKUP($A798,[1]Table!$A$2:$N973,C$1,FALSE)</f>
        <v>ANTIDIARRHOICA, ANTI-INFLAMM./ANTIMICROBIELE DARMMIDDELEN</v>
      </c>
      <c r="D798" t="str">
        <f>VLOOKUP($A798,[1]Table!$A$2:$N973,D$1,FALSE)</f>
        <v>ADSORBERENDE DARMMIDDELEN</v>
      </c>
      <c r="E798" t="str">
        <f>VLOOKUP($A798,[1]Table!$A$2:$N973,E$1,FALSE)</f>
        <v>KOOL GEACTIVEERD</v>
      </c>
      <c r="F798" t="str">
        <f>VLOOKUP($A798,[1]Table!$A$2:$N973,F$1,FALSE)</f>
        <v>NORIT CARBOMIX 50G/500ML FLACON</v>
      </c>
      <c r="G798" t="str">
        <f>VLOOKUP($A798,[1]Table!$A$2:$N973,G$1,FALSE)</f>
        <v>KOOL GEACTIVEERD 920MG/G G</v>
      </c>
      <c r="H798" t="str">
        <f>VLOOKUP($A798,[1]Table!$A$2:$N973,H$1,FALSE)</f>
        <v>granulaat voor orale suspensie</v>
      </c>
      <c r="I798" t="str">
        <f>VLOOKUP($A798,[1]Table!$A$2:$N973,I$1,FALSE)</f>
        <v>or</v>
      </c>
      <c r="J798">
        <f>VLOOKUP($A798,[1]Table!$A$2:$N973,J$1,FALSE)</f>
        <v>920</v>
      </c>
      <c r="K798" t="str">
        <f>VLOOKUP($A798,[1]Table!$A$2:$N973,K$1,FALSE)</f>
        <v>mg/gr</v>
      </c>
      <c r="L798">
        <f>VLOOKUP($A798,[1]Table!$A$2:$N973,L$1,FALSE)</f>
        <v>920</v>
      </c>
      <c r="M798" t="str">
        <f>VLOOKUP($A798,[1]Table!$A$2:$N973,M$1,FALSE)</f>
        <v>mg</v>
      </c>
      <c r="N798" t="str">
        <f>VLOOKUP($A798,[1]Table!$A$2:$N973,N$1,FALSE)</f>
        <v>Adsorbens bij intoxicaties</v>
      </c>
      <c r="O798" t="str">
        <f>ConcatenateRange(AZ798:BU798,"||")</f>
        <v/>
      </c>
      <c r="AZ798" t="str">
        <f t="shared" si="308"/>
        <v/>
      </c>
      <c r="BA798" t="str">
        <f t="shared" si="309"/>
        <v/>
      </c>
      <c r="BB798" t="str">
        <f t="shared" si="310"/>
        <v/>
      </c>
      <c r="BC798" t="str">
        <f t="shared" si="311"/>
        <v/>
      </c>
      <c r="BD798" t="str">
        <f t="shared" si="312"/>
        <v/>
      </c>
      <c r="BE798" t="str">
        <f t="shared" si="313"/>
        <v/>
      </c>
      <c r="BF798" t="str">
        <f t="shared" si="314"/>
        <v/>
      </c>
      <c r="BG798" t="str">
        <f t="shared" si="315"/>
        <v/>
      </c>
      <c r="BH798" t="str">
        <f t="shared" si="316"/>
        <v/>
      </c>
      <c r="BI798" t="str">
        <f t="shared" si="317"/>
        <v/>
      </c>
      <c r="BJ798" t="str">
        <f t="shared" si="318"/>
        <v/>
      </c>
      <c r="BK798" t="str">
        <f t="shared" si="319"/>
        <v/>
      </c>
      <c r="BL798" t="str">
        <f t="shared" si="320"/>
        <v/>
      </c>
      <c r="BM798" t="str">
        <f t="shared" si="321"/>
        <v/>
      </c>
      <c r="BN798" t="str">
        <f t="shared" si="322"/>
        <v/>
      </c>
      <c r="BO798" t="str">
        <f t="shared" si="323"/>
        <v/>
      </c>
      <c r="BP798" t="str">
        <f t="shared" si="324"/>
        <v/>
      </c>
      <c r="BQ798" t="str">
        <f t="shared" si="325"/>
        <v/>
      </c>
      <c r="BR798" t="str">
        <f t="shared" si="326"/>
        <v/>
      </c>
      <c r="BS798" t="str">
        <f t="shared" si="327"/>
        <v/>
      </c>
      <c r="BT798" t="str">
        <f t="shared" si="328"/>
        <v/>
      </c>
      <c r="BU798" t="str">
        <f t="shared" si="329"/>
        <v/>
      </c>
    </row>
    <row r="799" spans="1:73">
      <c r="A799" s="1">
        <v>36684</v>
      </c>
      <c r="B799" t="str">
        <f>VLOOKUP($A799,[1]Table!$A$2:$N974,B$1,FALSE)</f>
        <v>C07AG01</v>
      </c>
      <c r="C799" t="str">
        <f>VLOOKUP($A799,[1]Table!$A$2:$N974,C$1,FALSE)</f>
        <v>BETA-BLOKKERS</v>
      </c>
      <c r="D799" t="str">
        <f>VLOOKUP($A799,[1]Table!$A$2:$N974,D$1,FALSE)</f>
        <v>BETA-BLOKKERS</v>
      </c>
      <c r="E799" t="str">
        <f>VLOOKUP($A799,[1]Table!$A$2:$N974,E$1,FALSE)</f>
        <v>LABETALOL</v>
      </c>
      <c r="F799" t="str">
        <f>VLOOKUP($A799,[1]Table!$A$2:$N974,F$1,FALSE)</f>
        <v>TRANDATE 5 MG/ML INJVLST 20 ML</v>
      </c>
      <c r="G799" t="str">
        <f>VLOOKUP($A799,[1]Table!$A$2:$N974,G$1,FALSE)</f>
        <v>LABETALOL 5MG/ML INJVLST</v>
      </c>
      <c r="H799" t="str">
        <f>VLOOKUP($A799,[1]Table!$A$2:$N974,H$1,FALSE)</f>
        <v>injectievloeistof</v>
      </c>
      <c r="I799" t="str">
        <f>VLOOKUP($A799,[1]Table!$A$2:$N974,I$1,FALSE)</f>
        <v>iv</v>
      </c>
      <c r="J799">
        <f>VLOOKUP($A799,[1]Table!$A$2:$N974,J$1,FALSE)</f>
        <v>5</v>
      </c>
      <c r="K799" t="str">
        <f>VLOOKUP($A799,[1]Table!$A$2:$N974,K$1,FALSE)</f>
        <v>mg/ml</v>
      </c>
      <c r="L799">
        <f>VLOOKUP($A799,[1]Table!$A$2:$N974,L$1,FALSE)</f>
        <v>5</v>
      </c>
      <c r="M799" t="str">
        <f>VLOOKUP($A799,[1]Table!$A$2:$N974,M$1,FALSE)</f>
        <v>mg</v>
      </c>
      <c r="N799" t="str">
        <f>VLOOKUP($A799,[1]Table!$A$2:$N974,N$1,FALSE)</f>
        <v>Hypertensie||Hypertensieve crisis</v>
      </c>
      <c r="O799" t="str">
        <f>ConcatenateRange(AZ799:BU799,"||")</f>
        <v/>
      </c>
      <c r="AZ799" t="str">
        <f t="shared" si="308"/>
        <v/>
      </c>
      <c r="BA799" t="str">
        <f t="shared" si="309"/>
        <v/>
      </c>
      <c r="BB799" t="str">
        <f t="shared" si="310"/>
        <v/>
      </c>
      <c r="BC799" t="str">
        <f t="shared" si="311"/>
        <v/>
      </c>
      <c r="BD799" t="str">
        <f t="shared" si="312"/>
        <v/>
      </c>
      <c r="BE799" t="str">
        <f t="shared" si="313"/>
        <v/>
      </c>
      <c r="BF799" t="str">
        <f t="shared" si="314"/>
        <v/>
      </c>
      <c r="BG799" t="str">
        <f t="shared" si="315"/>
        <v/>
      </c>
      <c r="BH799" t="str">
        <f t="shared" si="316"/>
        <v/>
      </c>
      <c r="BI799" t="str">
        <f t="shared" si="317"/>
        <v/>
      </c>
      <c r="BJ799" t="str">
        <f t="shared" si="318"/>
        <v/>
      </c>
      <c r="BK799" t="str">
        <f t="shared" si="319"/>
        <v/>
      </c>
      <c r="BL799" t="str">
        <f t="shared" si="320"/>
        <v/>
      </c>
      <c r="BM799" t="str">
        <f t="shared" si="321"/>
        <v/>
      </c>
      <c r="BN799" t="str">
        <f t="shared" si="322"/>
        <v/>
      </c>
      <c r="BO799" t="str">
        <f t="shared" si="323"/>
        <v/>
      </c>
      <c r="BP799" t="str">
        <f t="shared" si="324"/>
        <v/>
      </c>
      <c r="BQ799" t="str">
        <f t="shared" si="325"/>
        <v/>
      </c>
      <c r="BR799" t="str">
        <f t="shared" si="326"/>
        <v/>
      </c>
      <c r="BS799" t="str">
        <f t="shared" si="327"/>
        <v/>
      </c>
      <c r="BT799" t="str">
        <f t="shared" si="328"/>
        <v/>
      </c>
      <c r="BU799" t="str">
        <f t="shared" si="329"/>
        <v/>
      </c>
    </row>
    <row r="800" spans="1:73">
      <c r="A800" s="1">
        <v>11282</v>
      </c>
      <c r="B800" t="str">
        <f>VLOOKUP($A800,[1]Table!$A$2:$N974,B$1,FALSE)</f>
        <v>C07AG01</v>
      </c>
      <c r="C800" t="str">
        <f>VLOOKUP($A800,[1]Table!$A$2:$N974,C$1,FALSE)</f>
        <v>BETA-BLOKKERS</v>
      </c>
      <c r="D800" t="str">
        <f>VLOOKUP($A800,[1]Table!$A$2:$N974,D$1,FALSE)</f>
        <v>BETA-BLOKKERS</v>
      </c>
      <c r="E800" t="str">
        <f>VLOOKUP($A800,[1]Table!$A$2:$N974,E$1,FALSE)</f>
        <v>LABETALOL</v>
      </c>
      <c r="F800" t="str">
        <f>VLOOKUP($A800,[1]Table!$A$2:$N974,F$1,FALSE)</f>
        <v>LABETALOL HCL 100 MG TABLET</v>
      </c>
      <c r="G800" t="str">
        <f>VLOOKUP($A800,[1]Table!$A$2:$N974,G$1,FALSE)</f>
        <v>LABETALOL 100MG TABLET</v>
      </c>
      <c r="H800" t="str">
        <f>VLOOKUP($A800,[1]Table!$A$2:$N974,H$1,FALSE)</f>
        <v>tablet</v>
      </c>
      <c r="I800" t="str">
        <f>VLOOKUP($A800,[1]Table!$A$2:$N974,I$1,FALSE)</f>
        <v>or</v>
      </c>
      <c r="J800">
        <f>VLOOKUP($A800,[1]Table!$A$2:$N974,J$1,FALSE)</f>
        <v>100</v>
      </c>
      <c r="K800" t="str">
        <f>VLOOKUP($A800,[1]Table!$A$2:$N974,K$1,FALSE)</f>
        <v>mg/stuk</v>
      </c>
      <c r="L800">
        <f>VLOOKUP($A800,[1]Table!$A$2:$N974,L$1,FALSE)</f>
        <v>100</v>
      </c>
      <c r="M800" t="str">
        <f>VLOOKUP($A800,[1]Table!$A$2:$N974,M$1,FALSE)</f>
        <v>mg</v>
      </c>
      <c r="N800" t="str">
        <f>VLOOKUP($A800,[1]Table!$A$2:$N974,N$1,FALSE)</f>
        <v>Hypertensie||Hypertensieve crisis</v>
      </c>
      <c r="O800" t="str">
        <f>ConcatenateRange(AZ800:BU800,"||")</f>
        <v/>
      </c>
      <c r="AZ800" t="str">
        <f t="shared" si="308"/>
        <v/>
      </c>
      <c r="BA800" t="str">
        <f t="shared" si="309"/>
        <v/>
      </c>
      <c r="BB800" t="str">
        <f t="shared" si="310"/>
        <v/>
      </c>
      <c r="BC800" t="str">
        <f t="shared" si="311"/>
        <v/>
      </c>
      <c r="BD800" t="str">
        <f t="shared" si="312"/>
        <v/>
      </c>
      <c r="BE800" t="str">
        <f t="shared" si="313"/>
        <v/>
      </c>
      <c r="BF800" t="str">
        <f t="shared" si="314"/>
        <v/>
      </c>
      <c r="BG800" t="str">
        <f t="shared" si="315"/>
        <v/>
      </c>
      <c r="BH800" t="str">
        <f t="shared" si="316"/>
        <v/>
      </c>
      <c r="BI800" t="str">
        <f t="shared" si="317"/>
        <v/>
      </c>
      <c r="BJ800" t="str">
        <f t="shared" si="318"/>
        <v/>
      </c>
      <c r="BK800" t="str">
        <f t="shared" si="319"/>
        <v/>
      </c>
      <c r="BL800" t="str">
        <f t="shared" si="320"/>
        <v/>
      </c>
      <c r="BM800" t="str">
        <f t="shared" si="321"/>
        <v/>
      </c>
      <c r="BN800" t="str">
        <f t="shared" si="322"/>
        <v/>
      </c>
      <c r="BO800" t="str">
        <f t="shared" si="323"/>
        <v/>
      </c>
      <c r="BP800" t="str">
        <f t="shared" si="324"/>
        <v/>
      </c>
      <c r="BQ800" t="str">
        <f t="shared" si="325"/>
        <v/>
      </c>
      <c r="BR800" t="str">
        <f t="shared" si="326"/>
        <v/>
      </c>
      <c r="BS800" t="str">
        <f t="shared" si="327"/>
        <v/>
      </c>
      <c r="BT800" t="str">
        <f t="shared" si="328"/>
        <v/>
      </c>
      <c r="BU800" t="str">
        <f t="shared" si="329"/>
        <v/>
      </c>
    </row>
    <row r="801" spans="1:73">
      <c r="A801" s="1">
        <v>21393</v>
      </c>
      <c r="B801" t="str">
        <f>VLOOKUP($A801,[1]Table!$A$2:$N975,B$1,FALSE)</f>
        <v>C07AG01</v>
      </c>
      <c r="C801" t="str">
        <f>VLOOKUP($A801,[1]Table!$A$2:$N975,C$1,FALSE)</f>
        <v>BETA-BLOKKERS</v>
      </c>
      <c r="D801" t="str">
        <f>VLOOKUP($A801,[1]Table!$A$2:$N975,D$1,FALSE)</f>
        <v>BETA-BLOKKERS</v>
      </c>
      <c r="E801" t="str">
        <f>VLOOKUP($A801,[1]Table!$A$2:$N975,E$1,FALSE)</f>
        <v>LABETALOL</v>
      </c>
      <c r="F801" t="str">
        <f>VLOOKUP($A801,[1]Table!$A$2:$N975,F$1,FALSE)</f>
        <v>LABETALOL HCL 200MG TABLET</v>
      </c>
      <c r="G801" t="str">
        <f>VLOOKUP($A801,[1]Table!$A$2:$N975,G$1,FALSE)</f>
        <v>LABETALOL 200MG TABLET</v>
      </c>
      <c r="H801" t="str">
        <f>VLOOKUP($A801,[1]Table!$A$2:$N975,H$1,FALSE)</f>
        <v>tablet</v>
      </c>
      <c r="I801" t="str">
        <f>VLOOKUP($A801,[1]Table!$A$2:$N975,I$1,FALSE)</f>
        <v>or</v>
      </c>
      <c r="J801">
        <f>VLOOKUP($A801,[1]Table!$A$2:$N975,J$1,FALSE)</f>
        <v>200</v>
      </c>
      <c r="K801" t="str">
        <f>VLOOKUP($A801,[1]Table!$A$2:$N975,K$1,FALSE)</f>
        <v>mg/stuk</v>
      </c>
      <c r="L801">
        <f>VLOOKUP($A801,[1]Table!$A$2:$N975,L$1,FALSE)</f>
        <v>200</v>
      </c>
      <c r="M801" t="str">
        <f>VLOOKUP($A801,[1]Table!$A$2:$N975,M$1,FALSE)</f>
        <v>mg</v>
      </c>
      <c r="N801" t="str">
        <f>VLOOKUP($A801,[1]Table!$A$2:$N975,N$1,FALSE)</f>
        <v>Hypertensie||Hypertensieve crisis</v>
      </c>
      <c r="O801" t="str">
        <f>ConcatenateRange(AZ801:BU801,"||")</f>
        <v/>
      </c>
      <c r="AZ801" t="str">
        <f t="shared" si="308"/>
        <v/>
      </c>
      <c r="BA801" t="str">
        <f t="shared" si="309"/>
        <v/>
      </c>
      <c r="BB801" t="str">
        <f t="shared" si="310"/>
        <v/>
      </c>
      <c r="BC801" t="str">
        <f t="shared" si="311"/>
        <v/>
      </c>
      <c r="BD801" t="str">
        <f t="shared" si="312"/>
        <v/>
      </c>
      <c r="BE801" t="str">
        <f t="shared" si="313"/>
        <v/>
      </c>
      <c r="BF801" t="str">
        <f t="shared" si="314"/>
        <v/>
      </c>
      <c r="BG801" t="str">
        <f t="shared" si="315"/>
        <v/>
      </c>
      <c r="BH801" t="str">
        <f t="shared" si="316"/>
        <v/>
      </c>
      <c r="BI801" t="str">
        <f t="shared" si="317"/>
        <v/>
      </c>
      <c r="BJ801" t="str">
        <f t="shared" si="318"/>
        <v/>
      </c>
      <c r="BK801" t="str">
        <f t="shared" si="319"/>
        <v/>
      </c>
      <c r="BL801" t="str">
        <f t="shared" si="320"/>
        <v/>
      </c>
      <c r="BM801" t="str">
        <f t="shared" si="321"/>
        <v/>
      </c>
      <c r="BN801" t="str">
        <f t="shared" si="322"/>
        <v/>
      </c>
      <c r="BO801" t="str">
        <f t="shared" si="323"/>
        <v/>
      </c>
      <c r="BP801" t="str">
        <f t="shared" si="324"/>
        <v/>
      </c>
      <c r="BQ801" t="str">
        <f t="shared" si="325"/>
        <v/>
      </c>
      <c r="BR801" t="str">
        <f t="shared" si="326"/>
        <v/>
      </c>
      <c r="BS801" t="str">
        <f t="shared" si="327"/>
        <v/>
      </c>
      <c r="BT801" t="str">
        <f t="shared" si="328"/>
        <v/>
      </c>
      <c r="BU801" t="str">
        <f t="shared" si="329"/>
        <v/>
      </c>
    </row>
    <row r="802" spans="1:73">
      <c r="A802" s="24">
        <v>139637</v>
      </c>
      <c r="B802" t="str">
        <f>VLOOKUP($A802,[1]Table!$A$2:$N1717,B$1,FALSE)</f>
        <v>N03AX18</v>
      </c>
      <c r="C802" t="str">
        <f>VLOOKUP($A802,[1]Table!$A$2:$N1717,C$1,FALSE)</f>
        <v>ANTI-EPILEPTICA</v>
      </c>
      <c r="D802" t="str">
        <f>VLOOKUP($A802,[1]Table!$A$2:$N1717,D$1,FALSE)</f>
        <v>ANTI-EPILEPTICA</v>
      </c>
      <c r="E802" t="str">
        <f>VLOOKUP($A802,[1]Table!$A$2:$N1717,E$1,FALSE)</f>
        <v>LACOSAMIDE</v>
      </c>
      <c r="F802" t="str">
        <f>VLOOKUP($A802,[1]Table!$A$2:$N1717,F$1,FALSE)</f>
        <v>VIMPAT 10 MG/ML STROOP 200 ML</v>
      </c>
      <c r="G802" t="str">
        <f>VLOOKUP($A802,[1]Table!$A$2:$N1717,G$1,FALSE)</f>
        <v>LACOSAMIDE 10MG/ML STROOP</v>
      </c>
      <c r="H802" t="str">
        <f>VLOOKUP($A802,[1]Table!$A$2:$N1717,H$1,FALSE)</f>
        <v>drank</v>
      </c>
      <c r="I802" t="str">
        <f>VLOOKUP($A802,[1]Table!$A$2:$N1717,I$1,FALSE)</f>
        <v>or</v>
      </c>
      <c r="J802">
        <f>VLOOKUP($A802,[1]Table!$A$2:$N1717,J$1,FALSE)</f>
        <v>10</v>
      </c>
      <c r="K802" t="str">
        <f>VLOOKUP($A802,[1]Table!$A$2:$N1717,K$1,FALSE)</f>
        <v>mg/ml</v>
      </c>
      <c r="L802">
        <f>VLOOKUP($A802,[1]Table!$A$2:$N1717,L$1,FALSE)</f>
        <v>1</v>
      </c>
      <c r="M802" t="str">
        <f>VLOOKUP($A802,[1]Table!$A$2:$N1717,M$1,FALSE)</f>
        <v>mg</v>
      </c>
      <c r="N802">
        <f>VLOOKUP($A802,[1]Table!$A$2:$N1717,N$1,FALSE)</f>
        <v>0</v>
      </c>
      <c r="O802" t="str">
        <f>ConcatenateRange(AZ802:BU802,"||")</f>
        <v/>
      </c>
      <c r="AZ802" t="str">
        <f t="shared" si="308"/>
        <v/>
      </c>
      <c r="BA802" t="str">
        <f t="shared" si="309"/>
        <v/>
      </c>
      <c r="BB802" t="str">
        <f t="shared" si="310"/>
        <v/>
      </c>
      <c r="BC802" t="str">
        <f t="shared" si="311"/>
        <v/>
      </c>
      <c r="BD802" t="str">
        <f t="shared" si="312"/>
        <v/>
      </c>
      <c r="BE802" t="str">
        <f t="shared" si="313"/>
        <v/>
      </c>
      <c r="BF802" t="str">
        <f t="shared" si="314"/>
        <v/>
      </c>
      <c r="BG802" t="str">
        <f t="shared" si="315"/>
        <v/>
      </c>
      <c r="BH802" t="str">
        <f t="shared" si="316"/>
        <v/>
      </c>
      <c r="BI802" t="str">
        <f t="shared" si="317"/>
        <v/>
      </c>
      <c r="BJ802" t="str">
        <f t="shared" si="318"/>
        <v/>
      </c>
      <c r="BK802" t="str">
        <f t="shared" si="319"/>
        <v/>
      </c>
      <c r="BL802" t="str">
        <f t="shared" si="320"/>
        <v/>
      </c>
      <c r="BM802" t="str">
        <f t="shared" si="321"/>
        <v/>
      </c>
      <c r="BN802" t="str">
        <f t="shared" si="322"/>
        <v/>
      </c>
      <c r="BO802" t="str">
        <f t="shared" si="323"/>
        <v/>
      </c>
      <c r="BP802" t="str">
        <f t="shared" si="324"/>
        <v/>
      </c>
      <c r="BQ802" t="str">
        <f t="shared" si="325"/>
        <v/>
      </c>
      <c r="BR802" t="str">
        <f t="shared" si="326"/>
        <v/>
      </c>
      <c r="BS802" t="str">
        <f t="shared" si="327"/>
        <v/>
      </c>
      <c r="BT802" t="str">
        <f t="shared" si="328"/>
        <v/>
      </c>
      <c r="BU802" t="str">
        <f t="shared" si="329"/>
        <v/>
      </c>
    </row>
    <row r="803" spans="1:73">
      <c r="A803" s="24">
        <v>130850</v>
      </c>
      <c r="B803" t="str">
        <f>VLOOKUP($A803,[1]Table!$A$2:$N1716,B$1,FALSE)</f>
        <v>N03AX18</v>
      </c>
      <c r="C803" t="str">
        <f>VLOOKUP($A803,[1]Table!$A$2:$N1716,C$1,FALSE)</f>
        <v>ANTI-EPILEPTICA</v>
      </c>
      <c r="D803" t="str">
        <f>VLOOKUP($A803,[1]Table!$A$2:$N1716,D$1,FALSE)</f>
        <v>ANTI-EPILEPTICA</v>
      </c>
      <c r="E803" t="str">
        <f>VLOOKUP($A803,[1]Table!$A$2:$N1716,E$1,FALSE)</f>
        <v>LACOSAMIDE</v>
      </c>
      <c r="F803" t="str">
        <f>VLOOKUP($A803,[1]Table!$A$2:$N1716,F$1,FALSE)</f>
        <v>VIMPAT 10 MG/ML FLACON 20 ML</v>
      </c>
      <c r="G803" t="str">
        <f>VLOOKUP($A803,[1]Table!$A$2:$N1716,G$1,FALSE)</f>
        <v>LACOSAMIDE 10MG/ML INFVLST</v>
      </c>
      <c r="H803" t="str">
        <f>VLOOKUP($A803,[1]Table!$A$2:$N1716,H$1,FALSE)</f>
        <v>infusievloeistof</v>
      </c>
      <c r="I803" t="str">
        <f>VLOOKUP($A803,[1]Table!$A$2:$N1716,I$1,FALSE)</f>
        <v>iv</v>
      </c>
      <c r="J803">
        <f>VLOOKUP($A803,[1]Table!$A$2:$N1716,J$1,FALSE)</f>
        <v>10</v>
      </c>
      <c r="K803" t="str">
        <f>VLOOKUP($A803,[1]Table!$A$2:$N1716,K$1,FALSE)</f>
        <v>mg/ml</v>
      </c>
      <c r="L803">
        <f>VLOOKUP($A803,[1]Table!$A$2:$N1716,L$1,FALSE)</f>
        <v>1</v>
      </c>
      <c r="M803" t="str">
        <f>VLOOKUP($A803,[1]Table!$A$2:$N1716,M$1,FALSE)</f>
        <v>mg</v>
      </c>
      <c r="N803">
        <f>VLOOKUP($A803,[1]Table!$A$2:$N1716,N$1,FALSE)</f>
        <v>0</v>
      </c>
      <c r="O803" t="str">
        <f>ConcatenateRange(AZ803:BU803,"||")</f>
        <v/>
      </c>
      <c r="AZ803" t="str">
        <f t="shared" si="308"/>
        <v/>
      </c>
      <c r="BA803" t="str">
        <f t="shared" si="309"/>
        <v/>
      </c>
      <c r="BB803" t="str">
        <f t="shared" si="310"/>
        <v/>
      </c>
      <c r="BC803" t="str">
        <f t="shared" si="311"/>
        <v/>
      </c>
      <c r="BD803" t="str">
        <f t="shared" si="312"/>
        <v/>
      </c>
      <c r="BE803" t="str">
        <f t="shared" si="313"/>
        <v/>
      </c>
      <c r="BF803" t="str">
        <f t="shared" si="314"/>
        <v/>
      </c>
      <c r="BG803" t="str">
        <f t="shared" si="315"/>
        <v/>
      </c>
      <c r="BH803" t="str">
        <f t="shared" si="316"/>
        <v/>
      </c>
      <c r="BI803" t="str">
        <f t="shared" si="317"/>
        <v/>
      </c>
      <c r="BJ803" t="str">
        <f t="shared" si="318"/>
        <v/>
      </c>
      <c r="BK803" t="str">
        <f t="shared" si="319"/>
        <v/>
      </c>
      <c r="BL803" t="str">
        <f t="shared" si="320"/>
        <v/>
      </c>
      <c r="BM803" t="str">
        <f t="shared" si="321"/>
        <v/>
      </c>
      <c r="BN803" t="str">
        <f t="shared" si="322"/>
        <v/>
      </c>
      <c r="BO803" t="str">
        <f t="shared" si="323"/>
        <v/>
      </c>
      <c r="BP803" t="str">
        <f t="shared" si="324"/>
        <v/>
      </c>
      <c r="BQ803" t="str">
        <f t="shared" si="325"/>
        <v/>
      </c>
      <c r="BR803" t="str">
        <f t="shared" si="326"/>
        <v/>
      </c>
      <c r="BS803" t="str">
        <f t="shared" si="327"/>
        <v/>
      </c>
      <c r="BT803" t="str">
        <f t="shared" si="328"/>
        <v/>
      </c>
      <c r="BU803" t="str">
        <f t="shared" si="329"/>
        <v/>
      </c>
    </row>
    <row r="804" spans="1:73">
      <c r="A804" s="24">
        <v>130818</v>
      </c>
      <c r="B804" t="str">
        <f>VLOOKUP($A804,[1]Table!$A$2:$N1719,B$1,FALSE)</f>
        <v>N03AX18</v>
      </c>
      <c r="C804" t="str">
        <f>VLOOKUP($A804,[1]Table!$A$2:$N1719,C$1,FALSE)</f>
        <v>ANTI-EPILEPTICA</v>
      </c>
      <c r="D804" t="str">
        <f>VLOOKUP($A804,[1]Table!$A$2:$N1719,D$1,FALSE)</f>
        <v>ANTI-EPILEPTICA</v>
      </c>
      <c r="E804" t="str">
        <f>VLOOKUP($A804,[1]Table!$A$2:$N1719,E$1,FALSE)</f>
        <v>LACOSAMIDE</v>
      </c>
      <c r="F804" t="str">
        <f>VLOOKUP($A804,[1]Table!$A$2:$N1719,F$1,FALSE)</f>
        <v>VIMPAT 50 MG TABLET OMHULD</v>
      </c>
      <c r="G804" t="str">
        <f>VLOOKUP($A804,[1]Table!$A$2:$N1719,G$1,FALSE)</f>
        <v>LACOSAMIDE 50MG TABLET</v>
      </c>
      <c r="H804" t="str">
        <f>VLOOKUP($A804,[1]Table!$A$2:$N1719,H$1,FALSE)</f>
        <v>tablet</v>
      </c>
      <c r="I804" t="str">
        <f>VLOOKUP($A804,[1]Table!$A$2:$N1719,I$1,FALSE)</f>
        <v>or</v>
      </c>
      <c r="J804">
        <f>VLOOKUP($A804,[1]Table!$A$2:$N1719,J$1,FALSE)</f>
        <v>50</v>
      </c>
      <c r="K804" t="str">
        <f>VLOOKUP($A804,[1]Table!$A$2:$N1719,K$1,FALSE)</f>
        <v>mg/stuk</v>
      </c>
      <c r="L804">
        <f>VLOOKUP($A804,[1]Table!$A$2:$N1719,L$1,FALSE)</f>
        <v>50</v>
      </c>
      <c r="M804" t="str">
        <f>VLOOKUP($A804,[1]Table!$A$2:$N1719,M$1,FALSE)</f>
        <v>mg</v>
      </c>
      <c r="N804">
        <f>VLOOKUP($A804,[1]Table!$A$2:$N1719,N$1,FALSE)</f>
        <v>0</v>
      </c>
      <c r="O804" t="str">
        <f>ConcatenateRange(AZ804:BU804,"||")</f>
        <v/>
      </c>
      <c r="AZ804" t="str">
        <f t="shared" si="308"/>
        <v/>
      </c>
      <c r="BA804" t="str">
        <f t="shared" si="309"/>
        <v/>
      </c>
      <c r="BB804" t="str">
        <f t="shared" si="310"/>
        <v/>
      </c>
      <c r="BC804" t="str">
        <f t="shared" si="311"/>
        <v/>
      </c>
      <c r="BD804" t="str">
        <f t="shared" si="312"/>
        <v/>
      </c>
      <c r="BE804" t="str">
        <f t="shared" si="313"/>
        <v/>
      </c>
      <c r="BF804" t="str">
        <f t="shared" si="314"/>
        <v/>
      </c>
      <c r="BG804" t="str">
        <f t="shared" si="315"/>
        <v/>
      </c>
      <c r="BH804" t="str">
        <f t="shared" si="316"/>
        <v/>
      </c>
      <c r="BI804" t="str">
        <f t="shared" si="317"/>
        <v/>
      </c>
      <c r="BJ804" t="str">
        <f t="shared" si="318"/>
        <v/>
      </c>
      <c r="BK804" t="str">
        <f t="shared" si="319"/>
        <v/>
      </c>
      <c r="BL804" t="str">
        <f t="shared" si="320"/>
        <v/>
      </c>
      <c r="BM804" t="str">
        <f t="shared" si="321"/>
        <v/>
      </c>
      <c r="BN804" t="str">
        <f t="shared" si="322"/>
        <v/>
      </c>
      <c r="BO804" t="str">
        <f t="shared" si="323"/>
        <v/>
      </c>
      <c r="BP804" t="str">
        <f t="shared" si="324"/>
        <v/>
      </c>
      <c r="BQ804" t="str">
        <f t="shared" si="325"/>
        <v/>
      </c>
      <c r="BR804" t="str">
        <f t="shared" si="326"/>
        <v/>
      </c>
      <c r="BS804" t="str">
        <f t="shared" si="327"/>
        <v/>
      </c>
      <c r="BT804" t="str">
        <f t="shared" si="328"/>
        <v/>
      </c>
      <c r="BU804" t="str">
        <f t="shared" si="329"/>
        <v/>
      </c>
    </row>
    <row r="805" spans="1:73">
      <c r="A805" s="24">
        <v>130826</v>
      </c>
      <c r="B805" t="str">
        <f>VLOOKUP($A805,[1]Table!$A$2:$N1718,B$1,FALSE)</f>
        <v>N03AX18</v>
      </c>
      <c r="C805" t="str">
        <f>VLOOKUP($A805,[1]Table!$A$2:$N1718,C$1,FALSE)</f>
        <v>ANTI-EPILEPTICA</v>
      </c>
      <c r="D805" t="str">
        <f>VLOOKUP($A805,[1]Table!$A$2:$N1718,D$1,FALSE)</f>
        <v>ANTI-EPILEPTICA</v>
      </c>
      <c r="E805" t="str">
        <f>VLOOKUP($A805,[1]Table!$A$2:$N1718,E$1,FALSE)</f>
        <v>LACOSAMIDE</v>
      </c>
      <c r="F805" t="str">
        <f>VLOOKUP($A805,[1]Table!$A$2:$N1718,F$1,FALSE)</f>
        <v>VIMPAT 150 MG TABLET</v>
      </c>
      <c r="G805" t="str">
        <f>VLOOKUP($A805,[1]Table!$A$2:$N1718,G$1,FALSE)</f>
        <v>LACOSAMIDE 150MG TABLET</v>
      </c>
      <c r="H805" t="str">
        <f>VLOOKUP($A805,[1]Table!$A$2:$N1718,H$1,FALSE)</f>
        <v>tablet</v>
      </c>
      <c r="I805" t="str">
        <f>VLOOKUP($A805,[1]Table!$A$2:$N1718,I$1,FALSE)</f>
        <v>or</v>
      </c>
      <c r="J805">
        <f>VLOOKUP($A805,[1]Table!$A$2:$N1718,J$1,FALSE)</f>
        <v>150</v>
      </c>
      <c r="K805" t="str">
        <f>VLOOKUP($A805,[1]Table!$A$2:$N1718,K$1,FALSE)</f>
        <v>mg/stuk</v>
      </c>
      <c r="L805">
        <f>VLOOKUP($A805,[1]Table!$A$2:$N1718,L$1,FALSE)</f>
        <v>150</v>
      </c>
      <c r="M805" t="str">
        <f>VLOOKUP($A805,[1]Table!$A$2:$N1718,M$1,FALSE)</f>
        <v>mg</v>
      </c>
      <c r="N805">
        <f>VLOOKUP($A805,[1]Table!$A$2:$N1718,N$1,FALSE)</f>
        <v>0</v>
      </c>
      <c r="O805" t="str">
        <f>ConcatenateRange(AZ805:BU805,"||")</f>
        <v/>
      </c>
      <c r="AZ805" t="str">
        <f t="shared" si="308"/>
        <v/>
      </c>
      <c r="BA805" t="str">
        <f t="shared" si="309"/>
        <v/>
      </c>
      <c r="BB805" t="str">
        <f t="shared" si="310"/>
        <v/>
      </c>
      <c r="BC805" t="str">
        <f t="shared" si="311"/>
        <v/>
      </c>
      <c r="BD805" t="str">
        <f t="shared" si="312"/>
        <v/>
      </c>
      <c r="BE805" t="str">
        <f t="shared" si="313"/>
        <v/>
      </c>
      <c r="BF805" t="str">
        <f t="shared" si="314"/>
        <v/>
      </c>
      <c r="BG805" t="str">
        <f t="shared" si="315"/>
        <v/>
      </c>
      <c r="BH805" t="str">
        <f t="shared" si="316"/>
        <v/>
      </c>
      <c r="BI805" t="str">
        <f t="shared" si="317"/>
        <v/>
      </c>
      <c r="BJ805" t="str">
        <f t="shared" si="318"/>
        <v/>
      </c>
      <c r="BK805" t="str">
        <f t="shared" si="319"/>
        <v/>
      </c>
      <c r="BL805" t="str">
        <f t="shared" si="320"/>
        <v/>
      </c>
      <c r="BM805" t="str">
        <f t="shared" si="321"/>
        <v/>
      </c>
      <c r="BN805" t="str">
        <f t="shared" si="322"/>
        <v/>
      </c>
      <c r="BO805" t="str">
        <f t="shared" si="323"/>
        <v/>
      </c>
      <c r="BP805" t="str">
        <f t="shared" si="324"/>
        <v/>
      </c>
      <c r="BQ805" t="str">
        <f t="shared" si="325"/>
        <v/>
      </c>
      <c r="BR805" t="str">
        <f t="shared" si="326"/>
        <v/>
      </c>
      <c r="BS805" t="str">
        <f t="shared" si="327"/>
        <v/>
      </c>
      <c r="BT805" t="str">
        <f t="shared" si="328"/>
        <v/>
      </c>
      <c r="BU805" t="str">
        <f t="shared" si="329"/>
        <v/>
      </c>
    </row>
    <row r="806" spans="1:73">
      <c r="A806" s="1">
        <v>97373</v>
      </c>
      <c r="B806" t="str">
        <f>VLOOKUP($A806,[1]Table!$A$2:$N976,B$1,FALSE)</f>
        <v>A06AD12</v>
      </c>
      <c r="C806" t="str">
        <f>VLOOKUP($A806,[1]Table!$A$2:$N976,C$1,FALSE)</f>
        <v>MIDDELEN BIJ OBSTIPATIE</v>
      </c>
      <c r="D806" t="str">
        <f>VLOOKUP($A806,[1]Table!$A$2:$N976,D$1,FALSE)</f>
        <v>MIDDELEN BIJ OBSTIPATIE</v>
      </c>
      <c r="E806" t="str">
        <f>VLOOKUP($A806,[1]Table!$A$2:$N976,E$1,FALSE)</f>
        <v>LACTITOL</v>
      </c>
      <c r="F806" t="str">
        <f>VLOOKUP($A806,[1]Table!$A$2:$N976,F$1,FALSE)</f>
        <v>IMPORTAL 10G POEDER SACHET</v>
      </c>
      <c r="G806" t="str">
        <f>VLOOKUP($A806,[1]Table!$A$2:$N976,G$1,FALSE)</f>
        <v>LACTITOL 10G POEDER</v>
      </c>
      <c r="H806" t="str">
        <f>VLOOKUP($A806,[1]Table!$A$2:$N976,H$1,FALSE)</f>
        <v>poeder voor oraal gebruik</v>
      </c>
      <c r="I806" t="str">
        <f>VLOOKUP($A806,[1]Table!$A$2:$N976,I$1,FALSE)</f>
        <v>or</v>
      </c>
      <c r="J806">
        <f>VLOOKUP($A806,[1]Table!$A$2:$N976,J$1,FALSE)</f>
        <v>10</v>
      </c>
      <c r="K806" t="str">
        <f>VLOOKUP($A806,[1]Table!$A$2:$N976,K$1,FALSE)</f>
        <v>gr/stuk</v>
      </c>
      <c r="L806">
        <f>VLOOKUP($A806,[1]Table!$A$2:$N976,L$1,FALSE)</f>
        <v>10</v>
      </c>
      <c r="M806" t="str">
        <f>VLOOKUP($A806,[1]Table!$A$2:$N976,M$1,FALSE)</f>
        <v>gr</v>
      </c>
      <c r="N806" t="str">
        <f>VLOOKUP($A806,[1]Table!$A$2:$N976,N$1,FALSE)</f>
        <v>Obstipatie</v>
      </c>
      <c r="O806" t="str">
        <f>ConcatenateRange(AZ806:BU806,"||")</f>
        <v/>
      </c>
      <c r="AZ806" t="str">
        <f t="shared" si="308"/>
        <v/>
      </c>
      <c r="BA806" t="str">
        <f t="shared" si="309"/>
        <v/>
      </c>
      <c r="BB806" t="str">
        <f t="shared" si="310"/>
        <v/>
      </c>
      <c r="BC806" t="str">
        <f t="shared" si="311"/>
        <v/>
      </c>
      <c r="BD806" t="str">
        <f t="shared" si="312"/>
        <v/>
      </c>
      <c r="BE806" t="str">
        <f t="shared" si="313"/>
        <v/>
      </c>
      <c r="BF806" t="str">
        <f t="shared" si="314"/>
        <v/>
      </c>
      <c r="BG806" t="str">
        <f t="shared" si="315"/>
        <v/>
      </c>
      <c r="BH806" t="str">
        <f t="shared" si="316"/>
        <v/>
      </c>
      <c r="BI806" t="str">
        <f t="shared" si="317"/>
        <v/>
      </c>
      <c r="BJ806" t="str">
        <f t="shared" si="318"/>
        <v/>
      </c>
      <c r="BK806" t="str">
        <f t="shared" si="319"/>
        <v/>
      </c>
      <c r="BL806" t="str">
        <f t="shared" si="320"/>
        <v/>
      </c>
      <c r="BM806" t="str">
        <f t="shared" si="321"/>
        <v/>
      </c>
      <c r="BN806" t="str">
        <f t="shared" si="322"/>
        <v/>
      </c>
      <c r="BO806" t="str">
        <f t="shared" si="323"/>
        <v/>
      </c>
      <c r="BP806" t="str">
        <f t="shared" si="324"/>
        <v/>
      </c>
      <c r="BQ806" t="str">
        <f t="shared" si="325"/>
        <v/>
      </c>
      <c r="BR806" t="str">
        <f t="shared" si="326"/>
        <v/>
      </c>
      <c r="BS806" t="str">
        <f t="shared" si="327"/>
        <v/>
      </c>
      <c r="BT806" t="str">
        <f t="shared" si="328"/>
        <v/>
      </c>
      <c r="BU806" t="str">
        <f t="shared" si="329"/>
        <v/>
      </c>
    </row>
    <row r="807" spans="1:73">
      <c r="A807" s="1">
        <v>89583</v>
      </c>
      <c r="B807" t="str">
        <f>VLOOKUP($A807,[1]Table!$A$2:$N977,B$1,FALSE)</f>
        <v>A06AD11</v>
      </c>
      <c r="C807" t="str">
        <f>VLOOKUP($A807,[1]Table!$A$2:$N977,C$1,FALSE)</f>
        <v>MIDDELEN BIJ OBSTIPATIE</v>
      </c>
      <c r="D807" t="str">
        <f>VLOOKUP($A807,[1]Table!$A$2:$N977,D$1,FALSE)</f>
        <v>MIDDELEN BIJ OBSTIPATIE</v>
      </c>
      <c r="E807" t="str">
        <f>VLOOKUP($A807,[1]Table!$A$2:$N977,E$1,FALSE)</f>
        <v>LACTULOSE</v>
      </c>
      <c r="F807" t="str">
        <f>VLOOKUP($A807,[1]Table!$A$2:$N977,F$1,FALSE)</f>
        <v>LEGENDAL GRANULAAT 12G SACHET</v>
      </c>
      <c r="G807" t="str">
        <f>VLOOKUP($A807,[1]Table!$A$2:$N977,G$1,FALSE)</f>
        <v>LACTULOSE 12G GRANULAAT</v>
      </c>
      <c r="H807" t="str">
        <f>VLOOKUP($A807,[1]Table!$A$2:$N977,H$1,FALSE)</f>
        <v>granulaat</v>
      </c>
      <c r="I807" t="str">
        <f>VLOOKUP($A807,[1]Table!$A$2:$N977,I$1,FALSE)</f>
        <v>or</v>
      </c>
      <c r="J807">
        <f>VLOOKUP($A807,[1]Table!$A$2:$N977,J$1,FALSE)</f>
        <v>12</v>
      </c>
      <c r="K807" t="str">
        <f>VLOOKUP($A807,[1]Table!$A$2:$N977,K$1,FALSE)</f>
        <v>gr/stuk</v>
      </c>
      <c r="L807">
        <f>VLOOKUP($A807,[1]Table!$A$2:$N977,L$1,FALSE)</f>
        <v>6</v>
      </c>
      <c r="M807" t="str">
        <f>VLOOKUP($A807,[1]Table!$A$2:$N977,M$1,FALSE)</f>
        <v>gr</v>
      </c>
      <c r="N807" t="str">
        <f>VLOOKUP($A807,[1]Table!$A$2:$N977,N$1,FALSE)</f>
        <v xml:space="preserve">Obstipatie||Precoma / coma hepaticum||Hyperammoniëmie </v>
      </c>
      <c r="O807" t="str">
        <f>ConcatenateRange(AZ807:BU807,"||")</f>
        <v/>
      </c>
      <c r="AZ807" t="str">
        <f t="shared" si="308"/>
        <v/>
      </c>
      <c r="BA807" t="str">
        <f t="shared" si="309"/>
        <v/>
      </c>
      <c r="BB807" t="str">
        <f t="shared" si="310"/>
        <v/>
      </c>
      <c r="BC807" t="str">
        <f t="shared" si="311"/>
        <v/>
      </c>
      <c r="BD807" t="str">
        <f t="shared" si="312"/>
        <v/>
      </c>
      <c r="BE807" t="str">
        <f t="shared" si="313"/>
        <v/>
      </c>
      <c r="BF807" t="str">
        <f t="shared" si="314"/>
        <v/>
      </c>
      <c r="BG807" t="str">
        <f t="shared" si="315"/>
        <v/>
      </c>
      <c r="BH807" t="str">
        <f t="shared" si="316"/>
        <v/>
      </c>
      <c r="BI807" t="str">
        <f t="shared" si="317"/>
        <v/>
      </c>
      <c r="BJ807" t="str">
        <f t="shared" si="318"/>
        <v/>
      </c>
      <c r="BK807" t="str">
        <f t="shared" si="319"/>
        <v/>
      </c>
      <c r="BL807" t="str">
        <f t="shared" si="320"/>
        <v/>
      </c>
      <c r="BM807" t="str">
        <f t="shared" si="321"/>
        <v/>
      </c>
      <c r="BN807" t="str">
        <f t="shared" si="322"/>
        <v/>
      </c>
      <c r="BO807" t="str">
        <f t="shared" si="323"/>
        <v/>
      </c>
      <c r="BP807" t="str">
        <f t="shared" si="324"/>
        <v/>
      </c>
      <c r="BQ807" t="str">
        <f t="shared" si="325"/>
        <v/>
      </c>
      <c r="BR807" t="str">
        <f t="shared" si="326"/>
        <v/>
      </c>
      <c r="BS807" t="str">
        <f t="shared" si="327"/>
        <v/>
      </c>
      <c r="BT807" t="str">
        <f t="shared" si="328"/>
        <v/>
      </c>
      <c r="BU807" t="str">
        <f t="shared" si="329"/>
        <v/>
      </c>
    </row>
    <row r="808" spans="1:73">
      <c r="A808" s="1">
        <v>2984</v>
      </c>
      <c r="B808" t="str">
        <f>VLOOKUP($A808,[1]Table!$A$2:$N978,B$1,FALSE)</f>
        <v>A06AD11</v>
      </c>
      <c r="C808" t="str">
        <f>VLOOKUP($A808,[1]Table!$A$2:$N978,C$1,FALSE)</f>
        <v>MIDDELEN BIJ OBSTIPATIE</v>
      </c>
      <c r="D808" t="str">
        <f>VLOOKUP($A808,[1]Table!$A$2:$N978,D$1,FALSE)</f>
        <v>MIDDELEN BIJ OBSTIPATIE</v>
      </c>
      <c r="E808" t="str">
        <f>VLOOKUP($A808,[1]Table!$A$2:$N978,E$1,FALSE)</f>
        <v>LACTULOSE</v>
      </c>
      <c r="F808" t="str">
        <f>VLOOKUP($A808,[1]Table!$A$2:$N978,F$1,FALSE)</f>
        <v>LACTULOSE STROOP 670 MG/ML 300 ML</v>
      </c>
      <c r="G808" t="str">
        <f>VLOOKUP($A808,[1]Table!$A$2:$N978,G$1,FALSE)</f>
        <v>LACTULOSE 670MG/ML STROOP</v>
      </c>
      <c r="H808" t="str">
        <f>VLOOKUP($A808,[1]Table!$A$2:$N978,H$1,FALSE)</f>
        <v>stroop</v>
      </c>
      <c r="I808" t="str">
        <f>VLOOKUP($A808,[1]Table!$A$2:$N978,I$1,FALSE)</f>
        <v>or</v>
      </c>
      <c r="J808">
        <f>VLOOKUP($A808,[1]Table!$A$2:$N978,J$1,FALSE)</f>
        <v>670</v>
      </c>
      <c r="K808" t="str">
        <f>VLOOKUP($A808,[1]Table!$A$2:$N978,K$1,FALSE)</f>
        <v>mg/ml</v>
      </c>
      <c r="L808">
        <f>VLOOKUP($A808,[1]Table!$A$2:$N978,L$1,FALSE)</f>
        <v>670</v>
      </c>
      <c r="M808" t="str">
        <f>VLOOKUP($A808,[1]Table!$A$2:$N978,M$1,FALSE)</f>
        <v>mg</v>
      </c>
      <c r="N808" t="str">
        <f>VLOOKUP($A808,[1]Table!$A$2:$N978,N$1,FALSE)</f>
        <v xml:space="preserve">Obstipatie||Precoma / coma hepaticum||Hyperammoniëmie </v>
      </c>
      <c r="O808" t="str">
        <f>ConcatenateRange(AZ808:BU808,"||")</f>
        <v/>
      </c>
      <c r="AZ808" t="str">
        <f t="shared" si="308"/>
        <v/>
      </c>
      <c r="BA808" t="str">
        <f t="shared" si="309"/>
        <v/>
      </c>
      <c r="BB808" t="str">
        <f t="shared" si="310"/>
        <v/>
      </c>
      <c r="BC808" t="str">
        <f t="shared" si="311"/>
        <v/>
      </c>
      <c r="BD808" t="str">
        <f t="shared" si="312"/>
        <v/>
      </c>
      <c r="BE808" t="str">
        <f t="shared" si="313"/>
        <v/>
      </c>
      <c r="BF808" t="str">
        <f t="shared" si="314"/>
        <v/>
      </c>
      <c r="BG808" t="str">
        <f t="shared" si="315"/>
        <v/>
      </c>
      <c r="BH808" t="str">
        <f t="shared" si="316"/>
        <v/>
      </c>
      <c r="BI808" t="str">
        <f t="shared" si="317"/>
        <v/>
      </c>
      <c r="BJ808" t="str">
        <f t="shared" si="318"/>
        <v/>
      </c>
      <c r="BK808" t="str">
        <f t="shared" si="319"/>
        <v/>
      </c>
      <c r="BL808" t="str">
        <f t="shared" si="320"/>
        <v/>
      </c>
      <c r="BM808" t="str">
        <f t="shared" si="321"/>
        <v/>
      </c>
      <c r="BN808" t="str">
        <f t="shared" si="322"/>
        <v/>
      </c>
      <c r="BO808" t="str">
        <f t="shared" si="323"/>
        <v/>
      </c>
      <c r="BP808" t="str">
        <f t="shared" si="324"/>
        <v/>
      </c>
      <c r="BQ808" t="str">
        <f t="shared" si="325"/>
        <v/>
      </c>
      <c r="BR808" t="str">
        <f t="shared" si="326"/>
        <v/>
      </c>
      <c r="BS808" t="str">
        <f t="shared" si="327"/>
        <v/>
      </c>
      <c r="BT808" t="str">
        <f t="shared" si="328"/>
        <v/>
      </c>
      <c r="BU808" t="str">
        <f t="shared" si="329"/>
        <v/>
      </c>
    </row>
    <row r="809" spans="1:73">
      <c r="A809" s="1">
        <v>99686</v>
      </c>
      <c r="B809" t="str">
        <f>VLOOKUP($A809,[1]Table!$A$2:$N979,B$1,FALSE)</f>
        <v>J05AF05</v>
      </c>
      <c r="C809" t="str">
        <f>VLOOKUP($A809,[1]Table!$A$2:$N979,C$1,FALSE)</f>
        <v>ANTIVIRALE MIDDELEN VOOR SYSTEMISCH GEBRUIK</v>
      </c>
      <c r="D809" t="str">
        <f>VLOOKUP($A809,[1]Table!$A$2:$N979,D$1,FALSE)</f>
        <v>DIRECT WERKENDE ANTIVIRALE MIDDELEN</v>
      </c>
      <c r="E809" t="str">
        <f>VLOOKUP($A809,[1]Table!$A$2:$N979,E$1,FALSE)</f>
        <v>LAMIVUDINE</v>
      </c>
      <c r="F809" t="str">
        <f>VLOOKUP($A809,[1]Table!$A$2:$N979,F$1,FALSE)</f>
        <v>EPIVIR 10 MG/ML DRANK 240ML</v>
      </c>
      <c r="G809" t="str">
        <f>VLOOKUP($A809,[1]Table!$A$2:$N979,G$1,FALSE)</f>
        <v>LAMIVUDINE 10MG/ML DRANK</v>
      </c>
      <c r="H809" t="str">
        <f>VLOOKUP($A809,[1]Table!$A$2:$N979,H$1,FALSE)</f>
        <v>drank</v>
      </c>
      <c r="I809" t="str">
        <f>VLOOKUP($A809,[1]Table!$A$2:$N979,I$1,FALSE)</f>
        <v>or</v>
      </c>
      <c r="J809">
        <f>VLOOKUP($A809,[1]Table!$A$2:$N979,J$1,FALSE)</f>
        <v>10</v>
      </c>
      <c r="K809" t="str">
        <f>VLOOKUP($A809,[1]Table!$A$2:$N979,K$1,FALSE)</f>
        <v>mg/ml</v>
      </c>
      <c r="L809">
        <f>VLOOKUP($A809,[1]Table!$A$2:$N979,L$1,FALSE)</f>
        <v>10</v>
      </c>
      <c r="M809" t="str">
        <f>VLOOKUP($A809,[1]Table!$A$2:$N979,M$1,FALSE)</f>
        <v>mg</v>
      </c>
      <c r="N809" t="str">
        <f>VLOOKUP($A809,[1]Table!$A$2:$N979,N$1,FALSE)</f>
        <v>HIV||Chronische actieve Hepatitis B||Neonatale profylaxe bij HIV positieve moeder</v>
      </c>
      <c r="O809" t="str">
        <f>ConcatenateRange(AZ809:BU809,"||")</f>
        <v/>
      </c>
      <c r="AZ809" t="str">
        <f t="shared" si="308"/>
        <v/>
      </c>
      <c r="BA809" t="str">
        <f t="shared" si="309"/>
        <v/>
      </c>
      <c r="BB809" t="str">
        <f t="shared" si="310"/>
        <v/>
      </c>
      <c r="BC809" t="str">
        <f t="shared" si="311"/>
        <v/>
      </c>
      <c r="BD809" t="str">
        <f t="shared" si="312"/>
        <v/>
      </c>
      <c r="BE809" t="str">
        <f t="shared" si="313"/>
        <v/>
      </c>
      <c r="BF809" t="str">
        <f t="shared" si="314"/>
        <v/>
      </c>
      <c r="BG809" t="str">
        <f t="shared" si="315"/>
        <v/>
      </c>
      <c r="BH809" t="str">
        <f t="shared" si="316"/>
        <v/>
      </c>
      <c r="BI809" t="str">
        <f t="shared" si="317"/>
        <v/>
      </c>
      <c r="BJ809" t="str">
        <f t="shared" si="318"/>
        <v/>
      </c>
      <c r="BK809" t="str">
        <f t="shared" si="319"/>
        <v/>
      </c>
      <c r="BL809" t="str">
        <f t="shared" si="320"/>
        <v/>
      </c>
      <c r="BM809" t="str">
        <f t="shared" si="321"/>
        <v/>
      </c>
      <c r="BN809" t="str">
        <f t="shared" si="322"/>
        <v/>
      </c>
      <c r="BO809" t="str">
        <f t="shared" si="323"/>
        <v/>
      </c>
      <c r="BP809" t="str">
        <f t="shared" si="324"/>
        <v/>
      </c>
      <c r="BQ809" t="str">
        <f t="shared" si="325"/>
        <v/>
      </c>
      <c r="BR809" t="str">
        <f t="shared" si="326"/>
        <v/>
      </c>
      <c r="BS809" t="str">
        <f t="shared" si="327"/>
        <v/>
      </c>
      <c r="BT809" t="str">
        <f t="shared" si="328"/>
        <v/>
      </c>
      <c r="BU809" t="str">
        <f t="shared" si="329"/>
        <v/>
      </c>
    </row>
    <row r="810" spans="1:73">
      <c r="A810" s="1">
        <v>110248</v>
      </c>
      <c r="B810" t="str">
        <f>VLOOKUP($A810,[1]Table!$A$2:$N980,B$1,FALSE)</f>
        <v>J05AF05</v>
      </c>
      <c r="C810" t="str">
        <f>VLOOKUP($A810,[1]Table!$A$2:$N980,C$1,FALSE)</f>
        <v>ANTIVIRALE MIDDELEN VOOR SYSTEMISCH GEBRUIK</v>
      </c>
      <c r="D810" t="str">
        <f>VLOOKUP($A810,[1]Table!$A$2:$N980,D$1,FALSE)</f>
        <v>DIRECT WERKENDE ANTIVIRALE MIDDELEN</v>
      </c>
      <c r="E810" t="str">
        <f>VLOOKUP($A810,[1]Table!$A$2:$N980,E$1,FALSE)</f>
        <v>LAMIVUDINE</v>
      </c>
      <c r="F810" t="str">
        <f>VLOOKUP($A810,[1]Table!$A$2:$N980,F$1,FALSE)</f>
        <v>ZEFFIX 100 MG TABLET FILMOMHULD</v>
      </c>
      <c r="G810" t="str">
        <f>VLOOKUP($A810,[1]Table!$A$2:$N980,G$1,FALSE)</f>
        <v>LAMIVUDINE 100MG TABLET FO</v>
      </c>
      <c r="H810" t="str">
        <f>VLOOKUP($A810,[1]Table!$A$2:$N980,H$1,FALSE)</f>
        <v>filmomhulde tablet</v>
      </c>
      <c r="I810" t="str">
        <f>VLOOKUP($A810,[1]Table!$A$2:$N980,I$1,FALSE)</f>
        <v>or</v>
      </c>
      <c r="J810">
        <f>VLOOKUP($A810,[1]Table!$A$2:$N980,J$1,FALSE)</f>
        <v>100</v>
      </c>
      <c r="K810" t="str">
        <f>VLOOKUP($A810,[1]Table!$A$2:$N980,K$1,FALSE)</f>
        <v>mg/stuk</v>
      </c>
      <c r="L810">
        <f>VLOOKUP($A810,[1]Table!$A$2:$N980,L$1,FALSE)</f>
        <v>100</v>
      </c>
      <c r="M810" t="str">
        <f>VLOOKUP($A810,[1]Table!$A$2:$N980,M$1,FALSE)</f>
        <v>mg</v>
      </c>
      <c r="N810" t="str">
        <f>VLOOKUP($A810,[1]Table!$A$2:$N980,N$1,FALSE)</f>
        <v>HIV||Chronische actieve Hepatitis B||Neonatale profylaxe bij HIV positieve moeder</v>
      </c>
      <c r="O810" t="str">
        <f>ConcatenateRange(AZ810:BU810,"||")</f>
        <v/>
      </c>
      <c r="AZ810" t="str">
        <f t="shared" si="308"/>
        <v/>
      </c>
      <c r="BA810" t="str">
        <f t="shared" si="309"/>
        <v/>
      </c>
      <c r="BB810" t="str">
        <f t="shared" si="310"/>
        <v/>
      </c>
      <c r="BC810" t="str">
        <f t="shared" si="311"/>
        <v/>
      </c>
      <c r="BD810" t="str">
        <f t="shared" si="312"/>
        <v/>
      </c>
      <c r="BE810" t="str">
        <f t="shared" si="313"/>
        <v/>
      </c>
      <c r="BF810" t="str">
        <f t="shared" si="314"/>
        <v/>
      </c>
      <c r="BG810" t="str">
        <f t="shared" si="315"/>
        <v/>
      </c>
      <c r="BH810" t="str">
        <f t="shared" si="316"/>
        <v/>
      </c>
      <c r="BI810" t="str">
        <f t="shared" si="317"/>
        <v/>
      </c>
      <c r="BJ810" t="str">
        <f t="shared" si="318"/>
        <v/>
      </c>
      <c r="BK810" t="str">
        <f t="shared" si="319"/>
        <v/>
      </c>
      <c r="BL810" t="str">
        <f t="shared" si="320"/>
        <v/>
      </c>
      <c r="BM810" t="str">
        <f t="shared" si="321"/>
        <v/>
      </c>
      <c r="BN810" t="str">
        <f t="shared" si="322"/>
        <v/>
      </c>
      <c r="BO810" t="str">
        <f t="shared" si="323"/>
        <v/>
      </c>
      <c r="BP810" t="str">
        <f t="shared" si="324"/>
        <v/>
      </c>
      <c r="BQ810" t="str">
        <f t="shared" si="325"/>
        <v/>
      </c>
      <c r="BR810" t="str">
        <f t="shared" si="326"/>
        <v/>
      </c>
      <c r="BS810" t="str">
        <f t="shared" si="327"/>
        <v/>
      </c>
      <c r="BT810" t="str">
        <f t="shared" si="328"/>
        <v/>
      </c>
      <c r="BU810" t="str">
        <f t="shared" si="329"/>
        <v/>
      </c>
    </row>
    <row r="811" spans="1:73">
      <c r="A811" s="1">
        <v>115088</v>
      </c>
      <c r="B811" t="str">
        <f>VLOOKUP($A811,[1]Table!$A$2:$N981,B$1,FALSE)</f>
        <v>J05AF05</v>
      </c>
      <c r="C811" t="str">
        <f>VLOOKUP($A811,[1]Table!$A$2:$N981,C$1,FALSE)</f>
        <v>ANTIVIRALE MIDDELEN VOOR SYSTEMISCH GEBRUIK</v>
      </c>
      <c r="D811" t="str">
        <f>VLOOKUP($A811,[1]Table!$A$2:$N981,D$1,FALSE)</f>
        <v>DIRECT WERKENDE ANTIVIRALE MIDDELEN</v>
      </c>
      <c r="E811" t="str">
        <f>VLOOKUP($A811,[1]Table!$A$2:$N981,E$1,FALSE)</f>
        <v>LAMIVUDINE</v>
      </c>
      <c r="F811" t="str">
        <f>VLOOKUP($A811,[1]Table!$A$2:$N981,F$1,FALSE)</f>
        <v>EPIVIR 150 MG TABLET FILMOMHULD</v>
      </c>
      <c r="G811" t="str">
        <f>VLOOKUP($A811,[1]Table!$A$2:$N981,G$1,FALSE)</f>
        <v>LAMIVUDINE 150MG TABLET FO</v>
      </c>
      <c r="H811" t="str">
        <f>VLOOKUP($A811,[1]Table!$A$2:$N981,H$1,FALSE)</f>
        <v>filmomhulde tablet</v>
      </c>
      <c r="I811" t="str">
        <f>VLOOKUP($A811,[1]Table!$A$2:$N981,I$1,FALSE)</f>
        <v>or</v>
      </c>
      <c r="J811">
        <f>VLOOKUP($A811,[1]Table!$A$2:$N981,J$1,FALSE)</f>
        <v>150</v>
      </c>
      <c r="K811" t="str">
        <f>VLOOKUP($A811,[1]Table!$A$2:$N981,K$1,FALSE)</f>
        <v>mg/stuk</v>
      </c>
      <c r="L811">
        <f>VLOOKUP($A811,[1]Table!$A$2:$N981,L$1,FALSE)</f>
        <v>150</v>
      </c>
      <c r="M811" t="str">
        <f>VLOOKUP($A811,[1]Table!$A$2:$N981,M$1,FALSE)</f>
        <v>mg</v>
      </c>
      <c r="N811" t="str">
        <f>VLOOKUP($A811,[1]Table!$A$2:$N981,N$1,FALSE)</f>
        <v>HIV||Chronische actieve Hepatitis B||Neonatale profylaxe bij HIV positieve moeder</v>
      </c>
      <c r="O811" t="str">
        <f>ConcatenateRange(AZ811:BU811,"||")</f>
        <v/>
      </c>
      <c r="AZ811" t="str">
        <f t="shared" si="308"/>
        <v/>
      </c>
      <c r="BA811" t="str">
        <f t="shared" si="309"/>
        <v/>
      </c>
      <c r="BB811" t="str">
        <f t="shared" si="310"/>
        <v/>
      </c>
      <c r="BC811" t="str">
        <f t="shared" si="311"/>
        <v/>
      </c>
      <c r="BD811" t="str">
        <f t="shared" si="312"/>
        <v/>
      </c>
      <c r="BE811" t="str">
        <f t="shared" si="313"/>
        <v/>
      </c>
      <c r="BF811" t="str">
        <f t="shared" si="314"/>
        <v/>
      </c>
      <c r="BG811" t="str">
        <f t="shared" si="315"/>
        <v/>
      </c>
      <c r="BH811" t="str">
        <f t="shared" si="316"/>
        <v/>
      </c>
      <c r="BI811" t="str">
        <f t="shared" si="317"/>
        <v/>
      </c>
      <c r="BJ811" t="str">
        <f t="shared" si="318"/>
        <v/>
      </c>
      <c r="BK811" t="str">
        <f t="shared" si="319"/>
        <v/>
      </c>
      <c r="BL811" t="str">
        <f t="shared" si="320"/>
        <v/>
      </c>
      <c r="BM811" t="str">
        <f t="shared" si="321"/>
        <v/>
      </c>
      <c r="BN811" t="str">
        <f t="shared" si="322"/>
        <v/>
      </c>
      <c r="BO811" t="str">
        <f t="shared" si="323"/>
        <v/>
      </c>
      <c r="BP811" t="str">
        <f t="shared" si="324"/>
        <v/>
      </c>
      <c r="BQ811" t="str">
        <f t="shared" si="325"/>
        <v/>
      </c>
      <c r="BR811" t="str">
        <f t="shared" si="326"/>
        <v/>
      </c>
      <c r="BS811" t="str">
        <f t="shared" si="327"/>
        <v/>
      </c>
      <c r="BT811" t="str">
        <f t="shared" si="328"/>
        <v/>
      </c>
      <c r="BU811" t="str">
        <f t="shared" si="329"/>
        <v/>
      </c>
    </row>
    <row r="812" spans="1:73">
      <c r="A812" s="1">
        <v>115061</v>
      </c>
      <c r="B812" t="str">
        <f>VLOOKUP($A812,[1]Table!$A$2:$N982,B$1,FALSE)</f>
        <v>J05AF05</v>
      </c>
      <c r="C812" t="str">
        <f>VLOOKUP($A812,[1]Table!$A$2:$N982,C$1,FALSE)</f>
        <v>ANTIVIRALE MIDDELEN VOOR SYSTEMISCH GEBRUIK</v>
      </c>
      <c r="D812" t="str">
        <f>VLOOKUP($A812,[1]Table!$A$2:$N982,D$1,FALSE)</f>
        <v>DIRECT WERKENDE ANTIVIRALE MIDDELEN</v>
      </c>
      <c r="E812" t="str">
        <f>VLOOKUP($A812,[1]Table!$A$2:$N982,E$1,FALSE)</f>
        <v>LAMIVUDINE</v>
      </c>
      <c r="F812" t="str">
        <f>VLOOKUP($A812,[1]Table!$A$2:$N982,F$1,FALSE)</f>
        <v>EPIVIR 300 MG TABLET FILMOMHULD</v>
      </c>
      <c r="G812" t="str">
        <f>VLOOKUP($A812,[1]Table!$A$2:$N982,G$1,FALSE)</f>
        <v>LAMIVUDINE 300MG TABLET FO</v>
      </c>
      <c r="H812" t="str">
        <f>VLOOKUP($A812,[1]Table!$A$2:$N982,H$1,FALSE)</f>
        <v>filmomhulde tablet</v>
      </c>
      <c r="I812" t="str">
        <f>VLOOKUP($A812,[1]Table!$A$2:$N982,I$1,FALSE)</f>
        <v>or</v>
      </c>
      <c r="J812">
        <f>VLOOKUP($A812,[1]Table!$A$2:$N982,J$1,FALSE)</f>
        <v>300</v>
      </c>
      <c r="K812" t="str">
        <f>VLOOKUP($A812,[1]Table!$A$2:$N982,K$1,FALSE)</f>
        <v>mg/stuk</v>
      </c>
      <c r="L812">
        <f>VLOOKUP($A812,[1]Table!$A$2:$N982,L$1,FALSE)</f>
        <v>300</v>
      </c>
      <c r="M812" t="str">
        <f>VLOOKUP($A812,[1]Table!$A$2:$N982,M$1,FALSE)</f>
        <v>mg</v>
      </c>
      <c r="N812" t="str">
        <f>VLOOKUP($A812,[1]Table!$A$2:$N982,N$1,FALSE)</f>
        <v>HIV||Chronische actieve Hepatitis B||Neonatale profylaxe bij HIV positieve moeder</v>
      </c>
      <c r="O812" t="str">
        <f>ConcatenateRange(AZ812:BU812,"||")</f>
        <v/>
      </c>
      <c r="AZ812" t="str">
        <f t="shared" si="308"/>
        <v/>
      </c>
      <c r="BA812" t="str">
        <f t="shared" si="309"/>
        <v/>
      </c>
      <c r="BB812" t="str">
        <f t="shared" si="310"/>
        <v/>
      </c>
      <c r="BC812" t="str">
        <f t="shared" si="311"/>
        <v/>
      </c>
      <c r="BD812" t="str">
        <f t="shared" si="312"/>
        <v/>
      </c>
      <c r="BE812" t="str">
        <f t="shared" si="313"/>
        <v/>
      </c>
      <c r="BF812" t="str">
        <f t="shared" si="314"/>
        <v/>
      </c>
      <c r="BG812" t="str">
        <f t="shared" si="315"/>
        <v/>
      </c>
      <c r="BH812" t="str">
        <f t="shared" si="316"/>
        <v/>
      </c>
      <c r="BI812" t="str">
        <f t="shared" si="317"/>
        <v/>
      </c>
      <c r="BJ812" t="str">
        <f t="shared" si="318"/>
        <v/>
      </c>
      <c r="BK812" t="str">
        <f t="shared" si="319"/>
        <v/>
      </c>
      <c r="BL812" t="str">
        <f t="shared" si="320"/>
        <v/>
      </c>
      <c r="BM812" t="str">
        <f t="shared" si="321"/>
        <v/>
      </c>
      <c r="BN812" t="str">
        <f t="shared" si="322"/>
        <v/>
      </c>
      <c r="BO812" t="str">
        <f t="shared" si="323"/>
        <v/>
      </c>
      <c r="BP812" t="str">
        <f t="shared" si="324"/>
        <v/>
      </c>
      <c r="BQ812" t="str">
        <f t="shared" si="325"/>
        <v/>
      </c>
      <c r="BR812" t="str">
        <f t="shared" si="326"/>
        <v/>
      </c>
      <c r="BS812" t="str">
        <f t="shared" si="327"/>
        <v/>
      </c>
      <c r="BT812" t="str">
        <f t="shared" si="328"/>
        <v/>
      </c>
      <c r="BU812" t="str">
        <f t="shared" si="329"/>
        <v/>
      </c>
    </row>
    <row r="813" spans="1:73">
      <c r="A813" s="1">
        <v>122440</v>
      </c>
      <c r="B813" t="str">
        <f>VLOOKUP($A813,[1]Table!$A$2:$N985,B$1,FALSE)</f>
        <v>N03AX09</v>
      </c>
      <c r="C813" t="str">
        <f>VLOOKUP($A813,[1]Table!$A$2:$N985,C$1,FALSE)</f>
        <v>ANTI-EPILEPTICA</v>
      </c>
      <c r="D813" t="str">
        <f>VLOOKUP($A813,[1]Table!$A$2:$N985,D$1,FALSE)</f>
        <v>ANTI-EPILEPTICA</v>
      </c>
      <c r="E813" t="str">
        <f>VLOOKUP($A813,[1]Table!$A$2:$N985,E$1,FALSE)</f>
        <v>LAMOTRIGINE</v>
      </c>
      <c r="F813" t="str">
        <f>VLOOKUP($A813,[1]Table!$A$2:$N985,F$1,FALSE)</f>
        <v>LAMOTRIGINE DISPER 2 MG TABLET</v>
      </c>
      <c r="G813" t="str">
        <f>VLOOKUP($A813,[1]Table!$A$2:$N985,G$1,FALSE)</f>
        <v>LAMOTRIGINE 2MG DISPERTABLE</v>
      </c>
      <c r="H813" t="str">
        <f>VLOOKUP($A813,[1]Table!$A$2:$N985,H$1,FALSE)</f>
        <v>dispergeerbare tablet</v>
      </c>
      <c r="I813" t="str">
        <f>VLOOKUP($A813,[1]Table!$A$2:$N985,I$1,FALSE)</f>
        <v>or</v>
      </c>
      <c r="J813">
        <f>VLOOKUP($A813,[1]Table!$A$2:$N985,J$1,FALSE)</f>
        <v>2</v>
      </c>
      <c r="K813" t="str">
        <f>VLOOKUP($A813,[1]Table!$A$2:$N985,K$1,FALSE)</f>
        <v>mg/stuk</v>
      </c>
      <c r="L813">
        <f>VLOOKUP($A813,[1]Table!$A$2:$N985,L$1,FALSE)</f>
        <v>2</v>
      </c>
      <c r="M813" t="str">
        <f>VLOOKUP($A813,[1]Table!$A$2:$N985,M$1,FALSE)</f>
        <v>mg</v>
      </c>
      <c r="N813" t="str">
        <f>VLOOKUP($A813,[1]Table!$A$2:$N985,N$1,FALSE)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13" t="str">
        <f>ConcatenateRange(AZ813:BU813,"||")</f>
        <v/>
      </c>
      <c r="AZ813" t="str">
        <f t="shared" si="308"/>
        <v/>
      </c>
      <c r="BA813" t="str">
        <f t="shared" si="309"/>
        <v/>
      </c>
      <c r="BB813" t="str">
        <f t="shared" si="310"/>
        <v/>
      </c>
      <c r="BC813" t="str">
        <f t="shared" si="311"/>
        <v/>
      </c>
      <c r="BD813" t="str">
        <f t="shared" si="312"/>
        <v/>
      </c>
      <c r="BE813" t="str">
        <f t="shared" si="313"/>
        <v/>
      </c>
      <c r="BF813" t="str">
        <f t="shared" si="314"/>
        <v/>
      </c>
      <c r="BG813" t="str">
        <f t="shared" si="315"/>
        <v/>
      </c>
      <c r="BH813" t="str">
        <f t="shared" si="316"/>
        <v/>
      </c>
      <c r="BI813" t="str">
        <f t="shared" si="317"/>
        <v/>
      </c>
      <c r="BJ813" t="str">
        <f t="shared" si="318"/>
        <v/>
      </c>
      <c r="BK813" t="str">
        <f t="shared" si="319"/>
        <v/>
      </c>
      <c r="BL813" t="str">
        <f t="shared" si="320"/>
        <v/>
      </c>
      <c r="BM813" t="str">
        <f t="shared" si="321"/>
        <v/>
      </c>
      <c r="BN813" t="str">
        <f t="shared" si="322"/>
        <v/>
      </c>
      <c r="BO813" t="str">
        <f t="shared" si="323"/>
        <v/>
      </c>
      <c r="BP813" t="str">
        <f t="shared" si="324"/>
        <v/>
      </c>
      <c r="BQ813" t="str">
        <f t="shared" si="325"/>
        <v/>
      </c>
      <c r="BR813" t="str">
        <f t="shared" si="326"/>
        <v/>
      </c>
      <c r="BS813" t="str">
        <f t="shared" si="327"/>
        <v/>
      </c>
      <c r="BT813" t="str">
        <f t="shared" si="328"/>
        <v/>
      </c>
      <c r="BU813" t="str">
        <f t="shared" si="329"/>
        <v/>
      </c>
    </row>
    <row r="814" spans="1:73">
      <c r="A814" s="1">
        <v>122459</v>
      </c>
      <c r="B814" t="str">
        <f>VLOOKUP($A814,[1]Table!$A$2:$N986,B$1,FALSE)</f>
        <v>N03AX09</v>
      </c>
      <c r="C814" t="str">
        <f>VLOOKUP($A814,[1]Table!$A$2:$N986,C$1,FALSE)</f>
        <v>ANTI-EPILEPTICA</v>
      </c>
      <c r="D814" t="str">
        <f>VLOOKUP($A814,[1]Table!$A$2:$N986,D$1,FALSE)</f>
        <v>ANTI-EPILEPTICA</v>
      </c>
      <c r="E814" t="str">
        <f>VLOOKUP($A814,[1]Table!$A$2:$N986,E$1,FALSE)</f>
        <v>LAMOTRIGINE</v>
      </c>
      <c r="F814" t="str">
        <f>VLOOKUP($A814,[1]Table!$A$2:$N986,F$1,FALSE)</f>
        <v>LAMOTRIGINE DISPER 5 MG TABLET</v>
      </c>
      <c r="G814" t="str">
        <f>VLOOKUP($A814,[1]Table!$A$2:$N986,G$1,FALSE)</f>
        <v>LAMOTRIGINE 5MG DISPERTABLE</v>
      </c>
      <c r="H814" t="str">
        <f>VLOOKUP($A814,[1]Table!$A$2:$N986,H$1,FALSE)</f>
        <v>dispergeerbare tablet</v>
      </c>
      <c r="I814" t="str">
        <f>VLOOKUP($A814,[1]Table!$A$2:$N986,I$1,FALSE)</f>
        <v>or</v>
      </c>
      <c r="J814">
        <f>VLOOKUP($A814,[1]Table!$A$2:$N986,J$1,FALSE)</f>
        <v>5</v>
      </c>
      <c r="K814" t="str">
        <f>VLOOKUP($A814,[1]Table!$A$2:$N986,K$1,FALSE)</f>
        <v>mg/stuk</v>
      </c>
      <c r="L814">
        <f>VLOOKUP($A814,[1]Table!$A$2:$N986,L$1,FALSE)</f>
        <v>2.5</v>
      </c>
      <c r="M814" t="str">
        <f>VLOOKUP($A814,[1]Table!$A$2:$N986,M$1,FALSE)</f>
        <v>mg</v>
      </c>
      <c r="N814" t="str">
        <f>VLOOKUP($A814,[1]Table!$A$2:$N986,N$1,FALSE)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14" t="str">
        <f>ConcatenateRange(AZ814:BU814,"||")</f>
        <v/>
      </c>
      <c r="AZ814" t="str">
        <f t="shared" si="308"/>
        <v/>
      </c>
      <c r="BA814" t="str">
        <f t="shared" si="309"/>
        <v/>
      </c>
      <c r="BB814" t="str">
        <f t="shared" si="310"/>
        <v/>
      </c>
      <c r="BC814" t="str">
        <f t="shared" si="311"/>
        <v/>
      </c>
      <c r="BD814" t="str">
        <f t="shared" si="312"/>
        <v/>
      </c>
      <c r="BE814" t="str">
        <f t="shared" si="313"/>
        <v/>
      </c>
      <c r="BF814" t="str">
        <f t="shared" si="314"/>
        <v/>
      </c>
      <c r="BG814" t="str">
        <f t="shared" si="315"/>
        <v/>
      </c>
      <c r="BH814" t="str">
        <f t="shared" si="316"/>
        <v/>
      </c>
      <c r="BI814" t="str">
        <f t="shared" si="317"/>
        <v/>
      </c>
      <c r="BJ814" t="str">
        <f t="shared" si="318"/>
        <v/>
      </c>
      <c r="BK814" t="str">
        <f t="shared" si="319"/>
        <v/>
      </c>
      <c r="BL814" t="str">
        <f t="shared" si="320"/>
        <v/>
      </c>
      <c r="BM814" t="str">
        <f t="shared" si="321"/>
        <v/>
      </c>
      <c r="BN814" t="str">
        <f t="shared" si="322"/>
        <v/>
      </c>
      <c r="BO814" t="str">
        <f t="shared" si="323"/>
        <v/>
      </c>
      <c r="BP814" t="str">
        <f t="shared" si="324"/>
        <v/>
      </c>
      <c r="BQ814" t="str">
        <f t="shared" si="325"/>
        <v/>
      </c>
      <c r="BR814" t="str">
        <f t="shared" si="326"/>
        <v/>
      </c>
      <c r="BS814" t="str">
        <f t="shared" si="327"/>
        <v/>
      </c>
      <c r="BT814" t="str">
        <f t="shared" si="328"/>
        <v/>
      </c>
      <c r="BU814" t="str">
        <f t="shared" si="329"/>
        <v/>
      </c>
    </row>
    <row r="815" spans="1:73">
      <c r="A815" s="1">
        <v>122467</v>
      </c>
      <c r="B815" t="str">
        <f>VLOOKUP($A815,[1]Table!$A$2:$N987,B$1,FALSE)</f>
        <v>N03AX09</v>
      </c>
      <c r="C815" t="str">
        <f>VLOOKUP($A815,[1]Table!$A$2:$N987,C$1,FALSE)</f>
        <v>ANTI-EPILEPTICA</v>
      </c>
      <c r="D815" t="str">
        <f>VLOOKUP($A815,[1]Table!$A$2:$N987,D$1,FALSE)</f>
        <v>ANTI-EPILEPTICA</v>
      </c>
      <c r="E815" t="str">
        <f>VLOOKUP($A815,[1]Table!$A$2:$N987,E$1,FALSE)</f>
        <v>LAMOTRIGINE</v>
      </c>
      <c r="F815" t="str">
        <f>VLOOKUP($A815,[1]Table!$A$2:$N987,F$1,FALSE)</f>
        <v>LAMOTRIGINE DISPER 25 MG TABLET</v>
      </c>
      <c r="G815" t="str">
        <f>VLOOKUP($A815,[1]Table!$A$2:$N987,G$1,FALSE)</f>
        <v>LAMOTRIGINE 25MG DISPERTABL</v>
      </c>
      <c r="H815" t="str">
        <f>VLOOKUP($A815,[1]Table!$A$2:$N987,H$1,FALSE)</f>
        <v>dispergeerbare tablet</v>
      </c>
      <c r="I815" t="str">
        <f>VLOOKUP($A815,[1]Table!$A$2:$N987,I$1,FALSE)</f>
        <v>or</v>
      </c>
      <c r="J815">
        <f>VLOOKUP($A815,[1]Table!$A$2:$N987,J$1,FALSE)</f>
        <v>25</v>
      </c>
      <c r="K815" t="str">
        <f>VLOOKUP($A815,[1]Table!$A$2:$N987,K$1,FALSE)</f>
        <v>mg/stuk</v>
      </c>
      <c r="L815">
        <f>VLOOKUP($A815,[1]Table!$A$2:$N987,L$1,FALSE)</f>
        <v>25</v>
      </c>
      <c r="M815" t="str">
        <f>VLOOKUP($A815,[1]Table!$A$2:$N987,M$1,FALSE)</f>
        <v>mg</v>
      </c>
      <c r="N815" t="str">
        <f>VLOOKUP($A815,[1]Table!$A$2:$N987,N$1,FALSE)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15" t="str">
        <f>ConcatenateRange(AZ815:BU815,"||")</f>
        <v/>
      </c>
      <c r="AZ815" t="str">
        <f t="shared" si="308"/>
        <v/>
      </c>
      <c r="BA815" t="str">
        <f t="shared" si="309"/>
        <v/>
      </c>
      <c r="BB815" t="str">
        <f t="shared" si="310"/>
        <v/>
      </c>
      <c r="BC815" t="str">
        <f t="shared" si="311"/>
        <v/>
      </c>
      <c r="BD815" t="str">
        <f t="shared" si="312"/>
        <v/>
      </c>
      <c r="BE815" t="str">
        <f t="shared" si="313"/>
        <v/>
      </c>
      <c r="BF815" t="str">
        <f t="shared" si="314"/>
        <v/>
      </c>
      <c r="BG815" t="str">
        <f t="shared" si="315"/>
        <v/>
      </c>
      <c r="BH815" t="str">
        <f t="shared" si="316"/>
        <v/>
      </c>
      <c r="BI815" t="str">
        <f t="shared" si="317"/>
        <v/>
      </c>
      <c r="BJ815" t="str">
        <f t="shared" si="318"/>
        <v/>
      </c>
      <c r="BK815" t="str">
        <f t="shared" si="319"/>
        <v/>
      </c>
      <c r="BL815" t="str">
        <f t="shared" si="320"/>
        <v/>
      </c>
      <c r="BM815" t="str">
        <f t="shared" si="321"/>
        <v/>
      </c>
      <c r="BN815" t="str">
        <f t="shared" si="322"/>
        <v/>
      </c>
      <c r="BO815" t="str">
        <f t="shared" si="323"/>
        <v/>
      </c>
      <c r="BP815" t="str">
        <f t="shared" si="324"/>
        <v/>
      </c>
      <c r="BQ815" t="str">
        <f t="shared" si="325"/>
        <v/>
      </c>
      <c r="BR815" t="str">
        <f t="shared" si="326"/>
        <v/>
      </c>
      <c r="BS815" t="str">
        <f t="shared" si="327"/>
        <v/>
      </c>
      <c r="BT815" t="str">
        <f t="shared" si="328"/>
        <v/>
      </c>
      <c r="BU815" t="str">
        <f t="shared" si="329"/>
        <v/>
      </c>
    </row>
    <row r="816" spans="1:73">
      <c r="A816" s="1">
        <v>122475</v>
      </c>
      <c r="B816" t="str">
        <f>VLOOKUP($A816,[1]Table!$A$2:$N988,B$1,FALSE)</f>
        <v>N03AX09</v>
      </c>
      <c r="C816" t="str">
        <f>VLOOKUP($A816,[1]Table!$A$2:$N988,C$1,FALSE)</f>
        <v>ANTI-EPILEPTICA</v>
      </c>
      <c r="D816" t="str">
        <f>VLOOKUP($A816,[1]Table!$A$2:$N988,D$1,FALSE)</f>
        <v>ANTI-EPILEPTICA</v>
      </c>
      <c r="E816" t="str">
        <f>VLOOKUP($A816,[1]Table!$A$2:$N988,E$1,FALSE)</f>
        <v>LAMOTRIGINE</v>
      </c>
      <c r="F816" t="str">
        <f>VLOOKUP($A816,[1]Table!$A$2:$N988,F$1,FALSE)</f>
        <v>LAMOTRIGINE DISPER 50 MG TABLET</v>
      </c>
      <c r="G816" t="str">
        <f>VLOOKUP($A816,[1]Table!$A$2:$N988,G$1,FALSE)</f>
        <v>LAMOTRIGINE 50MG DISPERTABL</v>
      </c>
      <c r="H816" t="str">
        <f>VLOOKUP($A816,[1]Table!$A$2:$N988,H$1,FALSE)</f>
        <v>dispergeerbare tablet</v>
      </c>
      <c r="I816" t="str">
        <f>VLOOKUP($A816,[1]Table!$A$2:$N988,I$1,FALSE)</f>
        <v>or</v>
      </c>
      <c r="J816">
        <f>VLOOKUP($A816,[1]Table!$A$2:$N988,J$1,FALSE)</f>
        <v>50</v>
      </c>
      <c r="K816" t="str">
        <f>VLOOKUP($A816,[1]Table!$A$2:$N988,K$1,FALSE)</f>
        <v>mg/stuk</v>
      </c>
      <c r="L816">
        <f>VLOOKUP($A816,[1]Table!$A$2:$N988,L$1,FALSE)</f>
        <v>50</v>
      </c>
      <c r="M816" t="str">
        <f>VLOOKUP($A816,[1]Table!$A$2:$N988,M$1,FALSE)</f>
        <v>mg</v>
      </c>
      <c r="N816" t="str">
        <f>VLOOKUP($A816,[1]Table!$A$2:$N988,N$1,FALSE)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16" t="str">
        <f>ConcatenateRange(AZ816:BU816,"||")</f>
        <v/>
      </c>
      <c r="AZ816" t="str">
        <f t="shared" si="308"/>
        <v/>
      </c>
      <c r="BA816" t="str">
        <f t="shared" si="309"/>
        <v/>
      </c>
      <c r="BB816" t="str">
        <f t="shared" si="310"/>
        <v/>
      </c>
      <c r="BC816" t="str">
        <f t="shared" si="311"/>
        <v/>
      </c>
      <c r="BD816" t="str">
        <f t="shared" si="312"/>
        <v/>
      </c>
      <c r="BE816" t="str">
        <f t="shared" si="313"/>
        <v/>
      </c>
      <c r="BF816" t="str">
        <f t="shared" si="314"/>
        <v/>
      </c>
      <c r="BG816" t="str">
        <f t="shared" si="315"/>
        <v/>
      </c>
      <c r="BH816" t="str">
        <f t="shared" si="316"/>
        <v/>
      </c>
      <c r="BI816" t="str">
        <f t="shared" si="317"/>
        <v/>
      </c>
      <c r="BJ816" t="str">
        <f t="shared" si="318"/>
        <v/>
      </c>
      <c r="BK816" t="str">
        <f t="shared" si="319"/>
        <v/>
      </c>
      <c r="BL816" t="str">
        <f t="shared" si="320"/>
        <v/>
      </c>
      <c r="BM816" t="str">
        <f t="shared" si="321"/>
        <v/>
      </c>
      <c r="BN816" t="str">
        <f t="shared" si="322"/>
        <v/>
      </c>
      <c r="BO816" t="str">
        <f t="shared" si="323"/>
        <v/>
      </c>
      <c r="BP816" t="str">
        <f t="shared" si="324"/>
        <v/>
      </c>
      <c r="BQ816" t="str">
        <f t="shared" si="325"/>
        <v/>
      </c>
      <c r="BR816" t="str">
        <f t="shared" si="326"/>
        <v/>
      </c>
      <c r="BS816" t="str">
        <f t="shared" si="327"/>
        <v/>
      </c>
      <c r="BT816" t="str">
        <f t="shared" si="328"/>
        <v/>
      </c>
      <c r="BU816" t="str">
        <f t="shared" si="329"/>
        <v/>
      </c>
    </row>
    <row r="817" spans="1:73">
      <c r="A817" s="1">
        <v>122483</v>
      </c>
      <c r="B817" t="str">
        <f>VLOOKUP($A817,[1]Table!$A$2:$N989,B$1,FALSE)</f>
        <v>N03AX09</v>
      </c>
      <c r="C817" t="str">
        <f>VLOOKUP($A817,[1]Table!$A$2:$N989,C$1,FALSE)</f>
        <v>ANTI-EPILEPTICA</v>
      </c>
      <c r="D817" t="str">
        <f>VLOOKUP($A817,[1]Table!$A$2:$N989,D$1,FALSE)</f>
        <v>ANTI-EPILEPTICA</v>
      </c>
      <c r="E817" t="str">
        <f>VLOOKUP($A817,[1]Table!$A$2:$N989,E$1,FALSE)</f>
        <v>LAMOTRIGINE</v>
      </c>
      <c r="F817" t="str">
        <f>VLOOKUP($A817,[1]Table!$A$2:$N989,F$1,FALSE)</f>
        <v>LAMOTRIGINE DISPER 100 MG TABLET</v>
      </c>
      <c r="G817" t="str">
        <f>VLOOKUP($A817,[1]Table!$A$2:$N989,G$1,FALSE)</f>
        <v>LAMOTRIGINE 100MG DISPERTAB</v>
      </c>
      <c r="H817" t="str">
        <f>VLOOKUP($A817,[1]Table!$A$2:$N989,H$1,FALSE)</f>
        <v>dispergeerbare tablet</v>
      </c>
      <c r="I817" t="str">
        <f>VLOOKUP($A817,[1]Table!$A$2:$N989,I$1,FALSE)</f>
        <v>or</v>
      </c>
      <c r="J817">
        <f>VLOOKUP($A817,[1]Table!$A$2:$N989,J$1,FALSE)</f>
        <v>100</v>
      </c>
      <c r="K817" t="str">
        <f>VLOOKUP($A817,[1]Table!$A$2:$N989,K$1,FALSE)</f>
        <v>mg/stuk</v>
      </c>
      <c r="L817">
        <f>VLOOKUP($A817,[1]Table!$A$2:$N989,L$1,FALSE)</f>
        <v>100</v>
      </c>
      <c r="M817" t="str">
        <f>VLOOKUP($A817,[1]Table!$A$2:$N989,M$1,FALSE)</f>
        <v>mg</v>
      </c>
      <c r="N817" t="str">
        <f>VLOOKUP($A817,[1]Table!$A$2:$N989,N$1,FALSE)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17" t="str">
        <f>ConcatenateRange(AZ817:BU817,"||")</f>
        <v/>
      </c>
      <c r="AZ817" t="str">
        <f t="shared" si="308"/>
        <v/>
      </c>
      <c r="BA817" t="str">
        <f t="shared" si="309"/>
        <v/>
      </c>
      <c r="BB817" t="str">
        <f t="shared" si="310"/>
        <v/>
      </c>
      <c r="BC817" t="str">
        <f t="shared" si="311"/>
        <v/>
      </c>
      <c r="BD817" t="str">
        <f t="shared" si="312"/>
        <v/>
      </c>
      <c r="BE817" t="str">
        <f t="shared" si="313"/>
        <v/>
      </c>
      <c r="BF817" t="str">
        <f t="shared" si="314"/>
        <v/>
      </c>
      <c r="BG817" t="str">
        <f t="shared" si="315"/>
        <v/>
      </c>
      <c r="BH817" t="str">
        <f t="shared" si="316"/>
        <v/>
      </c>
      <c r="BI817" t="str">
        <f t="shared" si="317"/>
        <v/>
      </c>
      <c r="BJ817" t="str">
        <f t="shared" si="318"/>
        <v/>
      </c>
      <c r="BK817" t="str">
        <f t="shared" si="319"/>
        <v/>
      </c>
      <c r="BL817" t="str">
        <f t="shared" si="320"/>
        <v/>
      </c>
      <c r="BM817" t="str">
        <f t="shared" si="321"/>
        <v/>
      </c>
      <c r="BN817" t="str">
        <f t="shared" si="322"/>
        <v/>
      </c>
      <c r="BO817" t="str">
        <f t="shared" si="323"/>
        <v/>
      </c>
      <c r="BP817" t="str">
        <f t="shared" si="324"/>
        <v/>
      </c>
      <c r="BQ817" t="str">
        <f t="shared" si="325"/>
        <v/>
      </c>
      <c r="BR817" t="str">
        <f t="shared" si="326"/>
        <v/>
      </c>
      <c r="BS817" t="str">
        <f t="shared" si="327"/>
        <v/>
      </c>
      <c r="BT817" t="str">
        <f t="shared" si="328"/>
        <v/>
      </c>
      <c r="BU817" t="str">
        <f t="shared" si="329"/>
        <v/>
      </c>
    </row>
    <row r="818" spans="1:73">
      <c r="A818" s="1">
        <v>102059</v>
      </c>
      <c r="B818" t="str">
        <f>VLOOKUP($A818,[1]Table!$A$2:$N990,B$1,FALSE)</f>
        <v>S01EE01</v>
      </c>
      <c r="C818" t="str">
        <f>VLOOKUP($A818,[1]Table!$A$2:$N990,C$1,FALSE)</f>
        <v>MIDDELEN VOOR OOGHEELKUNDIG GEBRUIK</v>
      </c>
      <c r="D818" t="str">
        <f>VLOOKUP($A818,[1]Table!$A$2:$N990,D$1,FALSE)</f>
        <v>GLAUCOOMMIDDELEN EN MIOTICA</v>
      </c>
      <c r="E818" t="str">
        <f>VLOOKUP($A818,[1]Table!$A$2:$N990,E$1,FALSE)</f>
        <v>LATANOPROST</v>
      </c>
      <c r="F818" t="str">
        <f>VLOOKUP($A818,[1]Table!$A$2:$N990,F$1,FALSE)</f>
        <v>LATANOPROST 50 MICROGR./ ML OOGRDUPPELS 2,5ML</v>
      </c>
      <c r="G818" t="str">
        <f>VLOOKUP($A818,[1]Table!$A$2:$N990,G$1,FALSE)</f>
        <v>LATANOPROST 50UG/ML OOGDRUP</v>
      </c>
      <c r="H818" t="str">
        <f>VLOOKUP($A818,[1]Table!$A$2:$N990,H$1,FALSE)</f>
        <v>oogdruppels</v>
      </c>
      <c r="I818" t="str">
        <f>VLOOKUP($A818,[1]Table!$A$2:$N990,I$1,FALSE)</f>
        <v>oog</v>
      </c>
      <c r="J818">
        <f>VLOOKUP($A818,[1]Table!$A$2:$N990,J$1,FALSE)</f>
        <v>50</v>
      </c>
      <c r="K818" t="str">
        <f>VLOOKUP($A818,[1]Table!$A$2:$N990,K$1,FALSE)</f>
        <v>mcg/ml</v>
      </c>
      <c r="L818">
        <f>VLOOKUP($A818,[1]Table!$A$2:$N990,L$1,FALSE)</f>
        <v>50</v>
      </c>
      <c r="M818" t="str">
        <f>VLOOKUP($A818,[1]Table!$A$2:$N990,M$1,FALSE)</f>
        <v>mcg</v>
      </c>
      <c r="N818" t="str">
        <f>VLOOKUP($A818,[1]Table!$A$2:$N990,N$1,FALSE)</f>
        <v xml:space="preserve">Juveniel open-kamerhoek glaucoom, aphakisch glaucoom </v>
      </c>
      <c r="O818" t="str">
        <f>ConcatenateRange(AZ818:BU818,"||")</f>
        <v/>
      </c>
      <c r="AZ818" t="str">
        <f t="shared" si="308"/>
        <v/>
      </c>
      <c r="BA818" t="str">
        <f t="shared" si="309"/>
        <v/>
      </c>
      <c r="BB818" t="str">
        <f t="shared" si="310"/>
        <v/>
      </c>
      <c r="BC818" t="str">
        <f t="shared" si="311"/>
        <v/>
      </c>
      <c r="BD818" t="str">
        <f t="shared" si="312"/>
        <v/>
      </c>
      <c r="BE818" t="str">
        <f t="shared" si="313"/>
        <v/>
      </c>
      <c r="BF818" t="str">
        <f t="shared" si="314"/>
        <v/>
      </c>
      <c r="BG818" t="str">
        <f t="shared" si="315"/>
        <v/>
      </c>
      <c r="BH818" t="str">
        <f t="shared" si="316"/>
        <v/>
      </c>
      <c r="BI818" t="str">
        <f t="shared" si="317"/>
        <v/>
      </c>
      <c r="BJ818" t="str">
        <f t="shared" si="318"/>
        <v/>
      </c>
      <c r="BK818" t="str">
        <f t="shared" si="319"/>
        <v/>
      </c>
      <c r="BL818" t="str">
        <f t="shared" si="320"/>
        <v/>
      </c>
      <c r="BM818" t="str">
        <f t="shared" si="321"/>
        <v/>
      </c>
      <c r="BN818" t="str">
        <f t="shared" si="322"/>
        <v/>
      </c>
      <c r="BO818" t="str">
        <f t="shared" si="323"/>
        <v/>
      </c>
      <c r="BP818" t="str">
        <f t="shared" si="324"/>
        <v/>
      </c>
      <c r="BQ818" t="str">
        <f t="shared" si="325"/>
        <v/>
      </c>
      <c r="BR818" t="str">
        <f t="shared" si="326"/>
        <v/>
      </c>
      <c r="BS818" t="str">
        <f t="shared" si="327"/>
        <v/>
      </c>
      <c r="BT818" t="str">
        <f t="shared" si="328"/>
        <v/>
      </c>
      <c r="BU818" t="str">
        <f t="shared" si="329"/>
        <v/>
      </c>
    </row>
    <row r="819" spans="1:73">
      <c r="A819" s="1">
        <v>73431</v>
      </c>
      <c r="B819" t="str">
        <f>VLOOKUP($A819,[1]Table!$A$2:$N991,B$1,FALSE)</f>
        <v>L02AE02</v>
      </c>
      <c r="C819" t="str">
        <f>VLOOKUP($A819,[1]Table!$A$2:$N991,C$1,FALSE)</f>
        <v>HORMONEN</v>
      </c>
      <c r="D819" t="str">
        <f>VLOOKUP($A819,[1]Table!$A$2:$N991,D$1,FALSE)</f>
        <v>HORMONEN</v>
      </c>
      <c r="E819" t="str">
        <f>VLOOKUP($A819,[1]Table!$A$2:$N991,E$1,FALSE)</f>
        <v>LEUPRORELINE</v>
      </c>
      <c r="F819" t="str">
        <f>VLOOKUP($A819,[1]Table!$A$2:$N991,F$1,FALSE)</f>
        <v>LUCRIN 5 MG/ML INJVLST 2,8 ML</v>
      </c>
      <c r="G819" t="str">
        <f>VLOOKUP($A819,[1]Table!$A$2:$N991,G$1,FALSE)</f>
        <v>LEUPRORELINE 5MG/ML INJVLST</v>
      </c>
      <c r="H819" t="str">
        <f>VLOOKUP($A819,[1]Table!$A$2:$N991,H$1,FALSE)</f>
        <v>injectievloeistof</v>
      </c>
      <c r="I819" t="str">
        <f>VLOOKUP($A819,[1]Table!$A$2:$N991,I$1,FALSE)</f>
        <v>sc</v>
      </c>
      <c r="J819">
        <f>VLOOKUP($A819,[1]Table!$A$2:$N991,J$1,FALSE)</f>
        <v>5</v>
      </c>
      <c r="K819" t="str">
        <f>VLOOKUP($A819,[1]Table!$A$2:$N991,K$1,FALSE)</f>
        <v>mg/ml</v>
      </c>
      <c r="L819">
        <f>VLOOKUP($A819,[1]Table!$A$2:$N991,L$1,FALSE)</f>
        <v>5</v>
      </c>
      <c r="M819" t="str">
        <f>VLOOKUP($A819,[1]Table!$A$2:$N991,M$1,FALSE)</f>
        <v>mg</v>
      </c>
      <c r="N819" t="str">
        <f>VLOOKUP($A819,[1]Table!$A$2:$N991,N$1,FALSE)</f>
        <v>Ideopathische centrale pubertas praecox: MEISJES||Ideopathische centrale pubertas praecox: JONGENS</v>
      </c>
      <c r="O819" t="str">
        <f>ConcatenateRange(AZ819:BU819,"||")</f>
        <v/>
      </c>
      <c r="AZ819" t="str">
        <f t="shared" si="308"/>
        <v/>
      </c>
      <c r="BA819" t="str">
        <f t="shared" si="309"/>
        <v/>
      </c>
      <c r="BB819" t="str">
        <f t="shared" si="310"/>
        <v/>
      </c>
      <c r="BC819" t="str">
        <f t="shared" si="311"/>
        <v/>
      </c>
      <c r="BD819" t="str">
        <f t="shared" si="312"/>
        <v/>
      </c>
      <c r="BE819" t="str">
        <f t="shared" si="313"/>
        <v/>
      </c>
      <c r="BF819" t="str">
        <f t="shared" si="314"/>
        <v/>
      </c>
      <c r="BG819" t="str">
        <f t="shared" si="315"/>
        <v/>
      </c>
      <c r="BH819" t="str">
        <f t="shared" si="316"/>
        <v/>
      </c>
      <c r="BI819" t="str">
        <f t="shared" si="317"/>
        <v/>
      </c>
      <c r="BJ819" t="str">
        <f t="shared" si="318"/>
        <v/>
      </c>
      <c r="BK819" t="str">
        <f t="shared" si="319"/>
        <v/>
      </c>
      <c r="BL819" t="str">
        <f t="shared" si="320"/>
        <v/>
      </c>
      <c r="BM819" t="str">
        <f t="shared" si="321"/>
        <v/>
      </c>
      <c r="BN819" t="str">
        <f t="shared" si="322"/>
        <v/>
      </c>
      <c r="BO819" t="str">
        <f t="shared" si="323"/>
        <v/>
      </c>
      <c r="BP819" t="str">
        <f t="shared" si="324"/>
        <v/>
      </c>
      <c r="BQ819" t="str">
        <f t="shared" si="325"/>
        <v/>
      </c>
      <c r="BR819" t="str">
        <f t="shared" si="326"/>
        <v/>
      </c>
      <c r="BS819" t="str">
        <f t="shared" si="327"/>
        <v/>
      </c>
      <c r="BT819" t="str">
        <f t="shared" si="328"/>
        <v/>
      </c>
      <c r="BU819" t="str">
        <f t="shared" si="329"/>
        <v/>
      </c>
    </row>
    <row r="820" spans="1:73">
      <c r="A820" s="1">
        <v>85219</v>
      </c>
      <c r="B820" t="str">
        <f>VLOOKUP($A820,[1]Table!$A$2:$N992,B$1,FALSE)</f>
        <v>L02AE02</v>
      </c>
      <c r="C820" t="str">
        <f>VLOOKUP($A820,[1]Table!$A$2:$N992,C$1,FALSE)</f>
        <v>HORMONEN</v>
      </c>
      <c r="D820" t="str">
        <f>VLOOKUP($A820,[1]Table!$A$2:$N992,D$1,FALSE)</f>
        <v>HORMONEN</v>
      </c>
      <c r="E820" t="str">
        <f>VLOOKUP($A820,[1]Table!$A$2:$N992,E$1,FALSE)</f>
        <v>LEUPRORELINE</v>
      </c>
      <c r="F820" t="str">
        <f>VLOOKUP($A820,[1]Table!$A$2:$N992,F$1,FALSE)</f>
        <v>LUCRIN PDS DEPOT INJPDR WWSP  3,75MG</v>
      </c>
      <c r="G820" t="str">
        <f>VLOOKUP($A820,[1]Table!$A$2:$N992,G$1,FALSE)</f>
        <v>LEUPRORELINE 3,75MG INJPDR</v>
      </c>
      <c r="H820" t="str">
        <f>VLOOKUP($A820,[1]Table!$A$2:$N992,H$1,FALSE)</f>
        <v>poeder voor injectievloeistof</v>
      </c>
      <c r="I820" t="str">
        <f>VLOOKUP($A820,[1]Table!$A$2:$N992,I$1,FALSE)</f>
        <v>im||sc</v>
      </c>
      <c r="J820">
        <f>VLOOKUP($A820,[1]Table!$A$2:$N992,J$1,FALSE)</f>
        <v>3.75</v>
      </c>
      <c r="K820" t="str">
        <f>VLOOKUP($A820,[1]Table!$A$2:$N992,K$1,FALSE)</f>
        <v>mg/stuk</v>
      </c>
      <c r="L820">
        <f>VLOOKUP($A820,[1]Table!$A$2:$N992,L$1,FALSE)</f>
        <v>3.75</v>
      </c>
      <c r="M820" t="str">
        <f>VLOOKUP($A820,[1]Table!$A$2:$N992,M$1,FALSE)</f>
        <v>mg</v>
      </c>
      <c r="N820" t="str">
        <f>VLOOKUP($A820,[1]Table!$A$2:$N992,N$1,FALSE)</f>
        <v>Ideopathische centrale pubertas praecox: MEISJES||Ideopathische centrale pubertas praecox: JONGENS</v>
      </c>
      <c r="O820" t="str">
        <f>ConcatenateRange(AZ820:BU820,"||")</f>
        <v/>
      </c>
      <c r="AZ820" t="str">
        <f t="shared" si="308"/>
        <v/>
      </c>
      <c r="BA820" t="str">
        <f t="shared" si="309"/>
        <v/>
      </c>
      <c r="BB820" t="str">
        <f t="shared" si="310"/>
        <v/>
      </c>
      <c r="BC820" t="str">
        <f t="shared" si="311"/>
        <v/>
      </c>
      <c r="BD820" t="str">
        <f t="shared" si="312"/>
        <v/>
      </c>
      <c r="BE820" t="str">
        <f t="shared" si="313"/>
        <v/>
      </c>
      <c r="BF820" t="str">
        <f t="shared" si="314"/>
        <v/>
      </c>
      <c r="BG820" t="str">
        <f t="shared" si="315"/>
        <v/>
      </c>
      <c r="BH820" t="str">
        <f t="shared" si="316"/>
        <v/>
      </c>
      <c r="BI820" t="str">
        <f t="shared" si="317"/>
        <v/>
      </c>
      <c r="BJ820" t="str">
        <f t="shared" si="318"/>
        <v/>
      </c>
      <c r="BK820" t="str">
        <f t="shared" si="319"/>
        <v/>
      </c>
      <c r="BL820" t="str">
        <f t="shared" si="320"/>
        <v/>
      </c>
      <c r="BM820" t="str">
        <f t="shared" si="321"/>
        <v/>
      </c>
      <c r="BN820" t="str">
        <f t="shared" si="322"/>
        <v/>
      </c>
      <c r="BO820" t="str">
        <f t="shared" si="323"/>
        <v/>
      </c>
      <c r="BP820" t="str">
        <f t="shared" si="324"/>
        <v/>
      </c>
      <c r="BQ820" t="str">
        <f t="shared" si="325"/>
        <v/>
      </c>
      <c r="BR820" t="str">
        <f t="shared" si="326"/>
        <v/>
      </c>
      <c r="BS820" t="str">
        <f t="shared" si="327"/>
        <v/>
      </c>
      <c r="BT820" t="str">
        <f t="shared" si="328"/>
        <v/>
      </c>
      <c r="BU820" t="str">
        <f t="shared" si="329"/>
        <v/>
      </c>
    </row>
    <row r="821" spans="1:73">
      <c r="A821" s="1">
        <v>103802</v>
      </c>
      <c r="B821" t="str">
        <f>VLOOKUP($A821,[1]Table!$A$2:$N993,B$1,FALSE)</f>
        <v>L02AE02</v>
      </c>
      <c r="C821" t="str">
        <f>VLOOKUP($A821,[1]Table!$A$2:$N993,C$1,FALSE)</f>
        <v>HORMONEN</v>
      </c>
      <c r="D821" t="str">
        <f>VLOOKUP($A821,[1]Table!$A$2:$N993,D$1,FALSE)</f>
        <v>HORMONEN</v>
      </c>
      <c r="E821" t="str">
        <f>VLOOKUP($A821,[1]Table!$A$2:$N993,E$1,FALSE)</f>
        <v>LEUPRORELINE</v>
      </c>
      <c r="F821" t="str">
        <f>VLOOKUP($A821,[1]Table!$A$2:$N993,F$1,FALSE)</f>
        <v>LUCRIN PDS DEPOT 11,25MG + SOLVENS INJPDR WEGWERPSPUIT</v>
      </c>
      <c r="G821" t="str">
        <f>VLOOKUP($A821,[1]Table!$A$2:$N993,G$1,FALSE)</f>
        <v>LEUPRORELINE 11,25MG INJPDR</v>
      </c>
      <c r="H821" t="str">
        <f>VLOOKUP($A821,[1]Table!$A$2:$N993,H$1,FALSE)</f>
        <v>poeder voor injectievloeistof</v>
      </c>
      <c r="I821" t="str">
        <f>VLOOKUP($A821,[1]Table!$A$2:$N993,I$1,FALSE)</f>
        <v>im||sc</v>
      </c>
      <c r="J821">
        <f>VLOOKUP($A821,[1]Table!$A$2:$N993,J$1,FALSE)</f>
        <v>11.25</v>
      </c>
      <c r="K821" t="str">
        <f>VLOOKUP($A821,[1]Table!$A$2:$N993,K$1,FALSE)</f>
        <v>mg/stuk</v>
      </c>
      <c r="L821">
        <f>VLOOKUP($A821,[1]Table!$A$2:$N993,L$1,FALSE)</f>
        <v>11.25</v>
      </c>
      <c r="M821" t="str">
        <f>VLOOKUP($A821,[1]Table!$A$2:$N993,M$1,FALSE)</f>
        <v>mg</v>
      </c>
      <c r="N821" t="str">
        <f>VLOOKUP($A821,[1]Table!$A$2:$N993,N$1,FALSE)</f>
        <v>Ideopathische centrale pubertas praecox: MEISJES||Ideopathische centrale pubertas praecox: JONGENS</v>
      </c>
      <c r="O821" t="str">
        <f>ConcatenateRange(AZ821:BU821,"||")</f>
        <v/>
      </c>
      <c r="AZ821" t="str">
        <f t="shared" si="308"/>
        <v/>
      </c>
      <c r="BA821" t="str">
        <f t="shared" si="309"/>
        <v/>
      </c>
      <c r="BB821" t="str">
        <f t="shared" si="310"/>
        <v/>
      </c>
      <c r="BC821" t="str">
        <f t="shared" si="311"/>
        <v/>
      </c>
      <c r="BD821" t="str">
        <f t="shared" si="312"/>
        <v/>
      </c>
      <c r="BE821" t="str">
        <f t="shared" si="313"/>
        <v/>
      </c>
      <c r="BF821" t="str">
        <f t="shared" si="314"/>
        <v/>
      </c>
      <c r="BG821" t="str">
        <f t="shared" si="315"/>
        <v/>
      </c>
      <c r="BH821" t="str">
        <f t="shared" si="316"/>
        <v/>
      </c>
      <c r="BI821" t="str">
        <f t="shared" si="317"/>
        <v/>
      </c>
      <c r="BJ821" t="str">
        <f t="shared" si="318"/>
        <v/>
      </c>
      <c r="BK821" t="str">
        <f t="shared" si="319"/>
        <v/>
      </c>
      <c r="BL821" t="str">
        <f t="shared" si="320"/>
        <v/>
      </c>
      <c r="BM821" t="str">
        <f t="shared" si="321"/>
        <v/>
      </c>
      <c r="BN821" t="str">
        <f t="shared" si="322"/>
        <v/>
      </c>
      <c r="BO821" t="str">
        <f t="shared" si="323"/>
        <v/>
      </c>
      <c r="BP821" t="str">
        <f t="shared" si="324"/>
        <v/>
      </c>
      <c r="BQ821" t="str">
        <f t="shared" si="325"/>
        <v/>
      </c>
      <c r="BR821" t="str">
        <f t="shared" si="326"/>
        <v/>
      </c>
      <c r="BS821" t="str">
        <f t="shared" si="327"/>
        <v/>
      </c>
      <c r="BT821" t="str">
        <f t="shared" si="328"/>
        <v/>
      </c>
      <c r="BU821" t="str">
        <f t="shared" si="329"/>
        <v/>
      </c>
    </row>
    <row r="822" spans="1:73">
      <c r="A822" s="1">
        <v>123986</v>
      </c>
      <c r="B822" t="str">
        <f>VLOOKUP($A822,[1]Table!$A$2:$N994,B$1,FALSE)</f>
        <v>L02AE02</v>
      </c>
      <c r="C822" t="str">
        <f>VLOOKUP($A822,[1]Table!$A$2:$N994,C$1,FALSE)</f>
        <v>HORMONEN</v>
      </c>
      <c r="D822" t="str">
        <f>VLOOKUP($A822,[1]Table!$A$2:$N994,D$1,FALSE)</f>
        <v>HORMONEN</v>
      </c>
      <c r="E822" t="str">
        <f>VLOOKUP($A822,[1]Table!$A$2:$N994,E$1,FALSE)</f>
        <v>LEUPRORELINE</v>
      </c>
      <c r="F822" t="str">
        <f>VLOOKUP($A822,[1]Table!$A$2:$N994,F$1,FALSE)</f>
        <v>ELIGARD DEPOT 3MND INJPDR WWSP 22,5MG + 22,5mg</v>
      </c>
      <c r="G822" t="str">
        <f>VLOOKUP($A822,[1]Table!$A$2:$N994,G$1,FALSE)</f>
        <v>LEUPRORELINE 22,5MG INJPDR</v>
      </c>
      <c r="H822" t="str">
        <f>VLOOKUP($A822,[1]Table!$A$2:$N994,H$1,FALSE)</f>
        <v>poeder voor injectievloeistof</v>
      </c>
      <c r="I822" t="str">
        <f>VLOOKUP($A822,[1]Table!$A$2:$N994,I$1,FALSE)</f>
        <v>sc</v>
      </c>
      <c r="J822">
        <f>VLOOKUP($A822,[1]Table!$A$2:$N994,J$1,FALSE)</f>
        <v>22.5</v>
      </c>
      <c r="K822" t="str">
        <f>VLOOKUP($A822,[1]Table!$A$2:$N994,K$1,FALSE)</f>
        <v>mg/stuk</v>
      </c>
      <c r="L822">
        <f>VLOOKUP($A822,[1]Table!$A$2:$N994,L$1,FALSE)</f>
        <v>22.5</v>
      </c>
      <c r="M822" t="str">
        <f>VLOOKUP($A822,[1]Table!$A$2:$N994,M$1,FALSE)</f>
        <v>mg</v>
      </c>
      <c r="N822" t="str">
        <f>VLOOKUP($A822,[1]Table!$A$2:$N994,N$1,FALSE)</f>
        <v>Ideopathische centrale pubertas praecox: MEISJES||Ideopathische centrale pubertas praecox: JONGENS</v>
      </c>
      <c r="O822" t="str">
        <f>ConcatenateRange(AZ822:BU822,"||")</f>
        <v/>
      </c>
      <c r="AZ822" t="str">
        <f t="shared" si="308"/>
        <v/>
      </c>
      <c r="BA822" t="str">
        <f t="shared" si="309"/>
        <v/>
      </c>
      <c r="BB822" t="str">
        <f t="shared" si="310"/>
        <v/>
      </c>
      <c r="BC822" t="str">
        <f t="shared" si="311"/>
        <v/>
      </c>
      <c r="BD822" t="str">
        <f t="shared" si="312"/>
        <v/>
      </c>
      <c r="BE822" t="str">
        <f t="shared" si="313"/>
        <v/>
      </c>
      <c r="BF822" t="str">
        <f t="shared" si="314"/>
        <v/>
      </c>
      <c r="BG822" t="str">
        <f t="shared" si="315"/>
        <v/>
      </c>
      <c r="BH822" t="str">
        <f t="shared" si="316"/>
        <v/>
      </c>
      <c r="BI822" t="str">
        <f t="shared" si="317"/>
        <v/>
      </c>
      <c r="BJ822" t="str">
        <f t="shared" si="318"/>
        <v/>
      </c>
      <c r="BK822" t="str">
        <f t="shared" si="319"/>
        <v/>
      </c>
      <c r="BL822" t="str">
        <f t="shared" si="320"/>
        <v/>
      </c>
      <c r="BM822" t="str">
        <f t="shared" si="321"/>
        <v/>
      </c>
      <c r="BN822" t="str">
        <f t="shared" si="322"/>
        <v/>
      </c>
      <c r="BO822" t="str">
        <f t="shared" si="323"/>
        <v/>
      </c>
      <c r="BP822" t="str">
        <f t="shared" si="324"/>
        <v/>
      </c>
      <c r="BQ822" t="str">
        <f t="shared" si="325"/>
        <v/>
      </c>
      <c r="BR822" t="str">
        <f t="shared" si="326"/>
        <v/>
      </c>
      <c r="BS822" t="str">
        <f t="shared" si="327"/>
        <v/>
      </c>
      <c r="BT822" t="str">
        <f t="shared" si="328"/>
        <v/>
      </c>
      <c r="BU822" t="str">
        <f t="shared" si="329"/>
        <v/>
      </c>
    </row>
    <row r="823" spans="1:73">
      <c r="A823" s="1">
        <v>125482</v>
      </c>
      <c r="B823" t="str">
        <f>VLOOKUP($A823,[1]Table!$A$2:$N995,B$1,FALSE)</f>
        <v>N03AX14</v>
      </c>
      <c r="C823" t="str">
        <f>VLOOKUP($A823,[1]Table!$A$2:$N995,C$1,FALSE)</f>
        <v>ANTI-EPILEPTICA</v>
      </c>
      <c r="D823" t="str">
        <f>VLOOKUP($A823,[1]Table!$A$2:$N995,D$1,FALSE)</f>
        <v>ANTI-EPILEPTICA</v>
      </c>
      <c r="E823" t="str">
        <f>VLOOKUP($A823,[1]Table!$A$2:$N995,E$1,FALSE)</f>
        <v>LEVETIRACETAM</v>
      </c>
      <c r="F823" t="str">
        <f>VLOOKUP($A823,[1]Table!$A$2:$N995,F$1,FALSE)</f>
        <v>KEPPRA 100MG/ML FLACON 5ML</v>
      </c>
      <c r="G823" t="str">
        <f>VLOOKUP($A823,[1]Table!$A$2:$N995,G$1,FALSE)</f>
        <v>LEVETIRACETAM 100MG/ML INFC</v>
      </c>
      <c r="H823" t="str">
        <f>VLOOKUP($A823,[1]Table!$A$2:$N995,H$1,FALSE)</f>
        <v>concentraat voor oplossing voor infusie</v>
      </c>
      <c r="I823" t="str">
        <f>VLOOKUP($A823,[1]Table!$A$2:$N995,I$1,FALSE)</f>
        <v>iv</v>
      </c>
      <c r="J823">
        <f>VLOOKUP($A823,[1]Table!$A$2:$N995,J$1,FALSE)</f>
        <v>100</v>
      </c>
      <c r="K823" t="str">
        <f>VLOOKUP($A823,[1]Table!$A$2:$N995,K$1,FALSE)</f>
        <v>mg/ml</v>
      </c>
      <c r="L823">
        <f>VLOOKUP($A823,[1]Table!$A$2:$N995,L$1,FALSE)</f>
        <v>100</v>
      </c>
      <c r="M823" t="str">
        <f>VLOOKUP($A823,[1]Table!$A$2:$N995,M$1,FALSE)</f>
        <v>mg</v>
      </c>
      <c r="N823" t="str">
        <f>VLOOKUP($A823,[1]Table!$A$2:$N995,N$1,FALSE)</f>
        <v>Epilepsie, adjuvante therapie bij partiele aanvallen en/of gegeneraliseerde aanvallen||Epilepsie, myoclone aanvallen||Neonatale epileptische aanvallen</v>
      </c>
      <c r="O823" t="str">
        <f>ConcatenateRange(AZ823:BU823,"||")</f>
        <v/>
      </c>
      <c r="AZ823" t="str">
        <f t="shared" si="308"/>
        <v/>
      </c>
      <c r="BA823" t="str">
        <f t="shared" si="309"/>
        <v/>
      </c>
      <c r="BB823" t="str">
        <f t="shared" si="310"/>
        <v/>
      </c>
      <c r="BC823" t="str">
        <f t="shared" si="311"/>
        <v/>
      </c>
      <c r="BD823" t="str">
        <f t="shared" si="312"/>
        <v/>
      </c>
      <c r="BE823" t="str">
        <f t="shared" si="313"/>
        <v/>
      </c>
      <c r="BF823" t="str">
        <f t="shared" si="314"/>
        <v/>
      </c>
      <c r="BG823" t="str">
        <f t="shared" si="315"/>
        <v/>
      </c>
      <c r="BH823" t="str">
        <f t="shared" si="316"/>
        <v/>
      </c>
      <c r="BI823" t="str">
        <f t="shared" si="317"/>
        <v/>
      </c>
      <c r="BJ823" t="str">
        <f t="shared" si="318"/>
        <v/>
      </c>
      <c r="BK823" t="str">
        <f t="shared" si="319"/>
        <v/>
      </c>
      <c r="BL823" t="str">
        <f t="shared" si="320"/>
        <v/>
      </c>
      <c r="BM823" t="str">
        <f t="shared" si="321"/>
        <v/>
      </c>
      <c r="BN823" t="str">
        <f t="shared" si="322"/>
        <v/>
      </c>
      <c r="BO823" t="str">
        <f t="shared" si="323"/>
        <v/>
      </c>
      <c r="BP823" t="str">
        <f t="shared" si="324"/>
        <v/>
      </c>
      <c r="BQ823" t="str">
        <f t="shared" si="325"/>
        <v/>
      </c>
      <c r="BR823" t="str">
        <f t="shared" si="326"/>
        <v/>
      </c>
      <c r="BS823" t="str">
        <f t="shared" si="327"/>
        <v/>
      </c>
      <c r="BT823" t="str">
        <f t="shared" si="328"/>
        <v/>
      </c>
      <c r="BU823" t="str">
        <f t="shared" si="329"/>
        <v/>
      </c>
    </row>
    <row r="824" spans="1:73">
      <c r="A824" s="1">
        <v>125474</v>
      </c>
      <c r="B824" t="str">
        <f>VLOOKUP($A824,[1]Table!$A$2:$N996,B$1,FALSE)</f>
        <v>N03AX14</v>
      </c>
      <c r="C824" t="str">
        <f>VLOOKUP($A824,[1]Table!$A$2:$N996,C$1,FALSE)</f>
        <v>ANTI-EPILEPTICA</v>
      </c>
      <c r="D824" t="str">
        <f>VLOOKUP($A824,[1]Table!$A$2:$N996,D$1,FALSE)</f>
        <v>ANTI-EPILEPTICA</v>
      </c>
      <c r="E824" t="str">
        <f>VLOOKUP($A824,[1]Table!$A$2:$N996,E$1,FALSE)</f>
        <v>LEVETIRACETAM</v>
      </c>
      <c r="F824" t="str">
        <f>VLOOKUP($A824,[1]Table!$A$2:$N996,F$1,FALSE)</f>
        <v>LEVETIRACETAM 100 MG/ML DRANK</v>
      </c>
      <c r="G824" t="str">
        <f>VLOOKUP($A824,[1]Table!$A$2:$N996,G$1,FALSE)</f>
        <v>LEVETIRACETAM 100MG/ML DRAN</v>
      </c>
      <c r="H824" t="str">
        <f>VLOOKUP($A824,[1]Table!$A$2:$N996,H$1,FALSE)</f>
        <v>drank</v>
      </c>
      <c r="I824" t="str">
        <f>VLOOKUP($A824,[1]Table!$A$2:$N996,I$1,FALSE)</f>
        <v>or</v>
      </c>
      <c r="J824">
        <f>VLOOKUP($A824,[1]Table!$A$2:$N996,J$1,FALSE)</f>
        <v>100</v>
      </c>
      <c r="K824" t="str">
        <f>VLOOKUP($A824,[1]Table!$A$2:$N996,K$1,FALSE)</f>
        <v>mg/ml</v>
      </c>
      <c r="L824">
        <f>VLOOKUP($A824,[1]Table!$A$2:$N996,L$1,FALSE)</f>
        <v>100</v>
      </c>
      <c r="M824" t="str">
        <f>VLOOKUP($A824,[1]Table!$A$2:$N996,M$1,FALSE)</f>
        <v>mg</v>
      </c>
      <c r="N824" t="str">
        <f>VLOOKUP($A824,[1]Table!$A$2:$N996,N$1,FALSE)</f>
        <v>Epilepsie, adjuvante therapie bij partiele aanvallen en/of gegeneraliseerde aanvallen||Epilepsie, myoclone aanvallen||Neonatale epileptische aanvallen</v>
      </c>
      <c r="O824" t="str">
        <f>ConcatenateRange(AZ824:BU824,"||")</f>
        <v/>
      </c>
      <c r="AZ824" t="str">
        <f t="shared" si="308"/>
        <v/>
      </c>
      <c r="BA824" t="str">
        <f t="shared" si="309"/>
        <v/>
      </c>
      <c r="BB824" t="str">
        <f t="shared" si="310"/>
        <v/>
      </c>
      <c r="BC824" t="str">
        <f t="shared" si="311"/>
        <v/>
      </c>
      <c r="BD824" t="str">
        <f t="shared" si="312"/>
        <v/>
      </c>
      <c r="BE824" t="str">
        <f t="shared" si="313"/>
        <v/>
      </c>
      <c r="BF824" t="str">
        <f t="shared" si="314"/>
        <v/>
      </c>
      <c r="BG824" t="str">
        <f t="shared" si="315"/>
        <v/>
      </c>
      <c r="BH824" t="str">
        <f t="shared" si="316"/>
        <v/>
      </c>
      <c r="BI824" t="str">
        <f t="shared" si="317"/>
        <v/>
      </c>
      <c r="BJ824" t="str">
        <f t="shared" si="318"/>
        <v/>
      </c>
      <c r="BK824" t="str">
        <f t="shared" si="319"/>
        <v/>
      </c>
      <c r="BL824" t="str">
        <f t="shared" si="320"/>
        <v/>
      </c>
      <c r="BM824" t="str">
        <f t="shared" si="321"/>
        <v/>
      </c>
      <c r="BN824" t="str">
        <f t="shared" si="322"/>
        <v/>
      </c>
      <c r="BO824" t="str">
        <f t="shared" si="323"/>
        <v/>
      </c>
      <c r="BP824" t="str">
        <f t="shared" si="324"/>
        <v/>
      </c>
      <c r="BQ824" t="str">
        <f t="shared" si="325"/>
        <v/>
      </c>
      <c r="BR824" t="str">
        <f t="shared" si="326"/>
        <v/>
      </c>
      <c r="BS824" t="str">
        <f t="shared" si="327"/>
        <v/>
      </c>
      <c r="BT824" t="str">
        <f t="shared" si="328"/>
        <v/>
      </c>
      <c r="BU824" t="str">
        <f t="shared" si="329"/>
        <v/>
      </c>
    </row>
    <row r="825" spans="1:73">
      <c r="A825" s="1">
        <v>114146</v>
      </c>
      <c r="B825" t="str">
        <f>VLOOKUP($A825,[1]Table!$A$2:$N997,B$1,FALSE)</f>
        <v>N03AX14</v>
      </c>
      <c r="C825" t="str">
        <f>VLOOKUP($A825,[1]Table!$A$2:$N997,C$1,FALSE)</f>
        <v>ANTI-EPILEPTICA</v>
      </c>
      <c r="D825" t="str">
        <f>VLOOKUP($A825,[1]Table!$A$2:$N997,D$1,FALSE)</f>
        <v>ANTI-EPILEPTICA</v>
      </c>
      <c r="E825" t="str">
        <f>VLOOKUP($A825,[1]Table!$A$2:$N997,E$1,FALSE)</f>
        <v>LEVETIRACETAM</v>
      </c>
      <c r="F825" t="str">
        <f>VLOOKUP($A825,[1]Table!$A$2:$N997,F$1,FALSE)</f>
        <v>KEPPRA 250 MG TABLET FILMOMHULD</v>
      </c>
      <c r="G825" t="str">
        <f>VLOOKUP($A825,[1]Table!$A$2:$N997,G$1,FALSE)</f>
        <v>LEVETIRACETAM 250MG TAB FO</v>
      </c>
      <c r="H825" t="str">
        <f>VLOOKUP($A825,[1]Table!$A$2:$N997,H$1,FALSE)</f>
        <v>filmomhulde tablet</v>
      </c>
      <c r="I825" t="str">
        <f>VLOOKUP($A825,[1]Table!$A$2:$N997,I$1,FALSE)</f>
        <v>or</v>
      </c>
      <c r="J825">
        <f>VLOOKUP($A825,[1]Table!$A$2:$N997,J$1,FALSE)</f>
        <v>250</v>
      </c>
      <c r="K825" t="str">
        <f>VLOOKUP($A825,[1]Table!$A$2:$N997,K$1,FALSE)</f>
        <v>mg/stuk</v>
      </c>
      <c r="L825">
        <f>VLOOKUP($A825,[1]Table!$A$2:$N997,L$1,FALSE)</f>
        <v>250</v>
      </c>
      <c r="M825" t="str">
        <f>VLOOKUP($A825,[1]Table!$A$2:$N997,M$1,FALSE)</f>
        <v>mg</v>
      </c>
      <c r="N825" t="str">
        <f>VLOOKUP($A825,[1]Table!$A$2:$N997,N$1,FALSE)</f>
        <v>Epilepsie, adjuvante therapie bij partiele aanvallen en/of gegeneraliseerde aanvallen||Epilepsie, myoclone aanvallen||Neonatale epileptische aanvallen</v>
      </c>
      <c r="O825" t="str">
        <f>ConcatenateRange(AZ825:BU825,"||")</f>
        <v/>
      </c>
      <c r="AZ825" t="str">
        <f t="shared" si="308"/>
        <v/>
      </c>
      <c r="BA825" t="str">
        <f t="shared" si="309"/>
        <v/>
      </c>
      <c r="BB825" t="str">
        <f t="shared" si="310"/>
        <v/>
      </c>
      <c r="BC825" t="str">
        <f t="shared" si="311"/>
        <v/>
      </c>
      <c r="BD825" t="str">
        <f t="shared" si="312"/>
        <v/>
      </c>
      <c r="BE825" t="str">
        <f t="shared" si="313"/>
        <v/>
      </c>
      <c r="BF825" t="str">
        <f t="shared" si="314"/>
        <v/>
      </c>
      <c r="BG825" t="str">
        <f t="shared" si="315"/>
        <v/>
      </c>
      <c r="BH825" t="str">
        <f t="shared" si="316"/>
        <v/>
      </c>
      <c r="BI825" t="str">
        <f t="shared" si="317"/>
        <v/>
      </c>
      <c r="BJ825" t="str">
        <f t="shared" si="318"/>
        <v/>
      </c>
      <c r="BK825" t="str">
        <f t="shared" si="319"/>
        <v/>
      </c>
      <c r="BL825" t="str">
        <f t="shared" si="320"/>
        <v/>
      </c>
      <c r="BM825" t="str">
        <f t="shared" si="321"/>
        <v/>
      </c>
      <c r="BN825" t="str">
        <f t="shared" si="322"/>
        <v/>
      </c>
      <c r="BO825" t="str">
        <f t="shared" si="323"/>
        <v/>
      </c>
      <c r="BP825" t="str">
        <f t="shared" si="324"/>
        <v/>
      </c>
      <c r="BQ825" t="str">
        <f t="shared" si="325"/>
        <v/>
      </c>
      <c r="BR825" t="str">
        <f t="shared" si="326"/>
        <v/>
      </c>
      <c r="BS825" t="str">
        <f t="shared" si="327"/>
        <v/>
      </c>
      <c r="BT825" t="str">
        <f t="shared" si="328"/>
        <v/>
      </c>
      <c r="BU825" t="str">
        <f t="shared" si="329"/>
        <v/>
      </c>
    </row>
    <row r="826" spans="1:73">
      <c r="A826" s="1">
        <v>114154</v>
      </c>
      <c r="B826" t="str">
        <f>VLOOKUP($A826,[1]Table!$A$2:$N998,B$1,FALSE)</f>
        <v>N03AX14</v>
      </c>
      <c r="C826" t="str">
        <f>VLOOKUP($A826,[1]Table!$A$2:$N998,C$1,FALSE)</f>
        <v>ANTI-EPILEPTICA</v>
      </c>
      <c r="D826" t="str">
        <f>VLOOKUP($A826,[1]Table!$A$2:$N998,D$1,FALSE)</f>
        <v>ANTI-EPILEPTICA</v>
      </c>
      <c r="E826" t="str">
        <f>VLOOKUP($A826,[1]Table!$A$2:$N998,E$1,FALSE)</f>
        <v>LEVETIRACETAM</v>
      </c>
      <c r="F826" t="str">
        <f>VLOOKUP($A826,[1]Table!$A$2:$N998,F$1,FALSE)</f>
        <v>KEPPRA 500 MG TABLET FILMOMHULD</v>
      </c>
      <c r="G826" t="str">
        <f>VLOOKUP($A826,[1]Table!$A$2:$N998,G$1,FALSE)</f>
        <v>LEVETIRACETAM 500MG TAB FO</v>
      </c>
      <c r="H826" t="str">
        <f>VLOOKUP($A826,[1]Table!$A$2:$N998,H$1,FALSE)</f>
        <v>filmomhulde tablet</v>
      </c>
      <c r="I826" t="str">
        <f>VLOOKUP($A826,[1]Table!$A$2:$N998,I$1,FALSE)</f>
        <v>or</v>
      </c>
      <c r="J826">
        <f>VLOOKUP($A826,[1]Table!$A$2:$N998,J$1,FALSE)</f>
        <v>500</v>
      </c>
      <c r="K826" t="str">
        <f>VLOOKUP($A826,[1]Table!$A$2:$N998,K$1,FALSE)</f>
        <v>mg/stuk</v>
      </c>
      <c r="L826">
        <f>VLOOKUP($A826,[1]Table!$A$2:$N998,L$1,FALSE)</f>
        <v>500</v>
      </c>
      <c r="M826" t="str">
        <f>VLOOKUP($A826,[1]Table!$A$2:$N998,M$1,FALSE)</f>
        <v>mg</v>
      </c>
      <c r="N826" t="str">
        <f>VLOOKUP($A826,[1]Table!$A$2:$N998,N$1,FALSE)</f>
        <v>Epilepsie, adjuvante therapie bij partiele aanvallen en/of gegeneraliseerde aanvallen||Epilepsie, myoclone aanvallen||Neonatale epileptische aanvallen</v>
      </c>
      <c r="O826" t="str">
        <f>ConcatenateRange(AZ826:BU826,"||")</f>
        <v/>
      </c>
      <c r="AZ826" t="str">
        <f t="shared" si="308"/>
        <v/>
      </c>
      <c r="BA826" t="str">
        <f t="shared" si="309"/>
        <v/>
      </c>
      <c r="BB826" t="str">
        <f t="shared" si="310"/>
        <v/>
      </c>
      <c r="BC826" t="str">
        <f t="shared" si="311"/>
        <v/>
      </c>
      <c r="BD826" t="str">
        <f t="shared" si="312"/>
        <v/>
      </c>
      <c r="BE826" t="str">
        <f t="shared" si="313"/>
        <v/>
      </c>
      <c r="BF826" t="str">
        <f t="shared" si="314"/>
        <v/>
      </c>
      <c r="BG826" t="str">
        <f t="shared" si="315"/>
        <v/>
      </c>
      <c r="BH826" t="str">
        <f t="shared" si="316"/>
        <v/>
      </c>
      <c r="BI826" t="str">
        <f t="shared" si="317"/>
        <v/>
      </c>
      <c r="BJ826" t="str">
        <f t="shared" si="318"/>
        <v/>
      </c>
      <c r="BK826" t="str">
        <f t="shared" si="319"/>
        <v/>
      </c>
      <c r="BL826" t="str">
        <f t="shared" si="320"/>
        <v/>
      </c>
      <c r="BM826" t="str">
        <f t="shared" si="321"/>
        <v/>
      </c>
      <c r="BN826" t="str">
        <f t="shared" si="322"/>
        <v/>
      </c>
      <c r="BO826" t="str">
        <f t="shared" si="323"/>
        <v/>
      </c>
      <c r="BP826" t="str">
        <f t="shared" si="324"/>
        <v/>
      </c>
      <c r="BQ826" t="str">
        <f t="shared" si="325"/>
        <v/>
      </c>
      <c r="BR826" t="str">
        <f t="shared" si="326"/>
        <v/>
      </c>
      <c r="BS826" t="str">
        <f t="shared" si="327"/>
        <v/>
      </c>
      <c r="BT826" t="str">
        <f t="shared" si="328"/>
        <v/>
      </c>
      <c r="BU826" t="str">
        <f t="shared" si="329"/>
        <v/>
      </c>
    </row>
    <row r="827" spans="1:73">
      <c r="A827" s="1">
        <v>109924</v>
      </c>
      <c r="B827" t="str">
        <f>VLOOKUP($A827,[1]Table!$A$2:$N999,B$1,FALSE)</f>
        <v>N01BB10</v>
      </c>
      <c r="C827" t="str">
        <f>VLOOKUP($A827,[1]Table!$A$2:$N999,C$1,FALSE)</f>
        <v>ANAESTHETICA</v>
      </c>
      <c r="D827" t="str">
        <f>VLOOKUP($A827,[1]Table!$A$2:$N999,D$1,FALSE)</f>
        <v>ANAESTHETICA, LOKALE</v>
      </c>
      <c r="E827" t="str">
        <f>VLOOKUP($A827,[1]Table!$A$2:$N999,E$1,FALSE)</f>
        <v>LEVOBUPIVACAINE</v>
      </c>
      <c r="F827" t="str">
        <f>VLOOKUP($A827,[1]Table!$A$2:$N999,F$1,FALSE)</f>
        <v>LEVOBUPIVACAINE 2,5 MG/ML INJVLST AMPUL 10 ML</v>
      </c>
      <c r="G827" t="str">
        <f>VLOOKUP($A827,[1]Table!$A$2:$N999,G$1,FALSE)</f>
        <v>LEVOBUPIVACAI 2,5MG/ML INJV</v>
      </c>
      <c r="H827" t="str">
        <f>VLOOKUP($A827,[1]Table!$A$2:$N999,H$1,FALSE)</f>
        <v>injectievloeistof</v>
      </c>
      <c r="I827" t="str">
        <f>VLOOKUP($A827,[1]Table!$A$2:$N999,I$1,FALSE)</f>
        <v>intrathec||epidur||perineur||lokaal||peribulb</v>
      </c>
      <c r="J827">
        <f>VLOOKUP($A827,[1]Table!$A$2:$N999,J$1,FALSE)</f>
        <v>2.5</v>
      </c>
      <c r="K827" t="str">
        <f>VLOOKUP($A827,[1]Table!$A$2:$N999,K$1,FALSE)</f>
        <v>mg/ml</v>
      </c>
      <c r="L827">
        <f>VLOOKUP($A827,[1]Table!$A$2:$N999,L$1,FALSE)</f>
        <v>2.5</v>
      </c>
      <c r="M827" t="str">
        <f>VLOOKUP($A827,[1]Table!$A$2:$N999,M$1,FALSE)</f>
        <v>mg</v>
      </c>
      <c r="N827" t="str">
        <f>VLOOKUP($A827,[1]Table!$A$2:$N999,N$1,FALSE)</f>
        <v>Perifere zenuwblokkade bij chirurgie</v>
      </c>
      <c r="O827" t="str">
        <f>ConcatenateRange(AZ827:BU827,"||")</f>
        <v/>
      </c>
      <c r="AZ827" t="str">
        <f t="shared" si="308"/>
        <v/>
      </c>
      <c r="BA827" t="str">
        <f t="shared" si="309"/>
        <v/>
      </c>
      <c r="BB827" t="str">
        <f t="shared" si="310"/>
        <v/>
      </c>
      <c r="BC827" t="str">
        <f t="shared" si="311"/>
        <v/>
      </c>
      <c r="BD827" t="str">
        <f t="shared" si="312"/>
        <v/>
      </c>
      <c r="BE827" t="str">
        <f t="shared" si="313"/>
        <v/>
      </c>
      <c r="BF827" t="str">
        <f t="shared" si="314"/>
        <v/>
      </c>
      <c r="BG827" t="str">
        <f t="shared" si="315"/>
        <v/>
      </c>
      <c r="BH827" t="str">
        <f t="shared" si="316"/>
        <v/>
      </c>
      <c r="BI827" t="str">
        <f t="shared" si="317"/>
        <v/>
      </c>
      <c r="BJ827" t="str">
        <f t="shared" si="318"/>
        <v/>
      </c>
      <c r="BK827" t="str">
        <f t="shared" si="319"/>
        <v/>
      </c>
      <c r="BL827" t="str">
        <f t="shared" si="320"/>
        <v/>
      </c>
      <c r="BM827" t="str">
        <f t="shared" si="321"/>
        <v/>
      </c>
      <c r="BN827" t="str">
        <f t="shared" si="322"/>
        <v/>
      </c>
      <c r="BO827" t="str">
        <f t="shared" si="323"/>
        <v/>
      </c>
      <c r="BP827" t="str">
        <f t="shared" si="324"/>
        <v/>
      </c>
      <c r="BQ827" t="str">
        <f t="shared" si="325"/>
        <v/>
      </c>
      <c r="BR827" t="str">
        <f t="shared" si="326"/>
        <v/>
      </c>
      <c r="BS827" t="str">
        <f t="shared" si="327"/>
        <v/>
      </c>
      <c r="BT827" t="str">
        <f t="shared" si="328"/>
        <v/>
      </c>
      <c r="BU827" t="str">
        <f t="shared" si="329"/>
        <v/>
      </c>
    </row>
    <row r="828" spans="1:73">
      <c r="A828" s="1">
        <v>109932</v>
      </c>
      <c r="B828" t="str">
        <f>VLOOKUP($A828,[1]Table!$A$2:$N1000,B$1,FALSE)</f>
        <v>N01BB10</v>
      </c>
      <c r="C828" t="str">
        <f>VLOOKUP($A828,[1]Table!$A$2:$N1000,C$1,FALSE)</f>
        <v>ANAESTHETICA</v>
      </c>
      <c r="D828" t="str">
        <f>VLOOKUP($A828,[1]Table!$A$2:$N1000,D$1,FALSE)</f>
        <v>ANAESTHETICA, LOKALE</v>
      </c>
      <c r="E828" t="str">
        <f>VLOOKUP($A828,[1]Table!$A$2:$N1000,E$1,FALSE)</f>
        <v>LEVOBUPIVACAINE</v>
      </c>
      <c r="F828" t="str">
        <f>VLOOKUP($A828,[1]Table!$A$2:$N1000,F$1,FALSE)</f>
        <v>LEVOBUPIVACAINE 5 MG/ML INJVLST 10 ML</v>
      </c>
      <c r="G828" t="str">
        <f>VLOOKUP($A828,[1]Table!$A$2:$N1000,G$1,FALSE)</f>
        <v>LEVOBUPIVACAINE 5MG/ML INJV</v>
      </c>
      <c r="H828" t="str">
        <f>VLOOKUP($A828,[1]Table!$A$2:$N1000,H$1,FALSE)</f>
        <v>injectievloeistof</v>
      </c>
      <c r="I828" t="str">
        <f>VLOOKUP($A828,[1]Table!$A$2:$N1000,I$1,FALSE)</f>
        <v>intrathec||epidur||perineur||lokaal||peribulb</v>
      </c>
      <c r="J828">
        <f>VLOOKUP($A828,[1]Table!$A$2:$N1000,J$1,FALSE)</f>
        <v>5</v>
      </c>
      <c r="K828" t="str">
        <f>VLOOKUP($A828,[1]Table!$A$2:$N1000,K$1,FALSE)</f>
        <v>mg/ml</v>
      </c>
      <c r="L828">
        <f>VLOOKUP($A828,[1]Table!$A$2:$N1000,L$1,FALSE)</f>
        <v>5</v>
      </c>
      <c r="M828" t="str">
        <f>VLOOKUP($A828,[1]Table!$A$2:$N1000,M$1,FALSE)</f>
        <v>mg</v>
      </c>
      <c r="N828" t="str">
        <f>VLOOKUP($A828,[1]Table!$A$2:$N1000,N$1,FALSE)</f>
        <v>Perifere zenuwblokkade bij chirurgie</v>
      </c>
      <c r="O828" t="str">
        <f>ConcatenateRange(AZ828:BU828,"||")</f>
        <v/>
      </c>
      <c r="AZ828" t="str">
        <f t="shared" si="308"/>
        <v/>
      </c>
      <c r="BA828" t="str">
        <f t="shared" si="309"/>
        <v/>
      </c>
      <c r="BB828" t="str">
        <f t="shared" si="310"/>
        <v/>
      </c>
      <c r="BC828" t="str">
        <f t="shared" si="311"/>
        <v/>
      </c>
      <c r="BD828" t="str">
        <f t="shared" si="312"/>
        <v/>
      </c>
      <c r="BE828" t="str">
        <f t="shared" si="313"/>
        <v/>
      </c>
      <c r="BF828" t="str">
        <f t="shared" si="314"/>
        <v/>
      </c>
      <c r="BG828" t="str">
        <f t="shared" si="315"/>
        <v/>
      </c>
      <c r="BH828" t="str">
        <f t="shared" si="316"/>
        <v/>
      </c>
      <c r="BI828" t="str">
        <f t="shared" si="317"/>
        <v/>
      </c>
      <c r="BJ828" t="str">
        <f t="shared" si="318"/>
        <v/>
      </c>
      <c r="BK828" t="str">
        <f t="shared" si="319"/>
        <v/>
      </c>
      <c r="BL828" t="str">
        <f t="shared" si="320"/>
        <v/>
      </c>
      <c r="BM828" t="str">
        <f t="shared" si="321"/>
        <v/>
      </c>
      <c r="BN828" t="str">
        <f t="shared" si="322"/>
        <v/>
      </c>
      <c r="BO828" t="str">
        <f t="shared" si="323"/>
        <v/>
      </c>
      <c r="BP828" t="str">
        <f t="shared" si="324"/>
        <v/>
      </c>
      <c r="BQ828" t="str">
        <f t="shared" si="325"/>
        <v/>
      </c>
      <c r="BR828" t="str">
        <f t="shared" si="326"/>
        <v/>
      </c>
      <c r="BS828" t="str">
        <f t="shared" si="327"/>
        <v/>
      </c>
      <c r="BT828" t="str">
        <f t="shared" si="328"/>
        <v/>
      </c>
      <c r="BU828" t="str">
        <f t="shared" si="329"/>
        <v/>
      </c>
    </row>
    <row r="829" spans="1:73">
      <c r="A829" s="1">
        <v>86894</v>
      </c>
      <c r="B829" t="str">
        <f>VLOOKUP($A829,[1]Table!$A$2:$N1001,B$1,FALSE)</f>
        <v>R01AC02</v>
      </c>
      <c r="C829" t="str">
        <f>VLOOKUP($A829,[1]Table!$A$2:$N1001,C$1,FALSE)</f>
        <v>MIDDELEN VOOR NASAAL GEBRUIK</v>
      </c>
      <c r="D829" t="str">
        <f>VLOOKUP($A829,[1]Table!$A$2:$N1001,D$1,FALSE)</f>
        <v>DECONGESTIVA EN ANDERE LOKALE MIDDELEN VOOR NASAAL GEBRUIK</v>
      </c>
      <c r="E829" t="str">
        <f>VLOOKUP($A829,[1]Table!$A$2:$N1001,E$1,FALSE)</f>
        <v>LEVOCABASTINE</v>
      </c>
      <c r="F829" t="str">
        <f>VLOOKUP($A829,[1]Table!$A$2:$N1001,F$1,FALSE)</f>
        <v>LIVOCAB 0,5MG/ML NEUSSPRAY</v>
      </c>
      <c r="G829" t="str">
        <f>VLOOKUP($A829,[1]Table!$A$2:$N1001,G$1,FALSE)</f>
        <v>LEVOCABASTINE 0,5MG/ML NEUS</v>
      </c>
      <c r="H829" t="str">
        <f>VLOOKUP($A829,[1]Table!$A$2:$N1001,H$1,FALSE)</f>
        <v>neusspray</v>
      </c>
      <c r="I829" t="str">
        <f>VLOOKUP($A829,[1]Table!$A$2:$N1001,I$1,FALSE)</f>
        <v>nasaal</v>
      </c>
      <c r="J829">
        <f>VLOOKUP($A829,[1]Table!$A$2:$N1001,J$1,FALSE)</f>
        <v>0.5</v>
      </c>
      <c r="K829" t="str">
        <f>VLOOKUP($A829,[1]Table!$A$2:$N1001,K$1,FALSE)</f>
        <v>mg/ml</v>
      </c>
      <c r="L829">
        <f>VLOOKUP($A829,[1]Table!$A$2:$N1001,L$1,FALSE)</f>
        <v>0.5</v>
      </c>
      <c r="M829" t="str">
        <f>VLOOKUP($A829,[1]Table!$A$2:$N1001,M$1,FALSE)</f>
        <v>mg</v>
      </c>
      <c r="N829" t="str">
        <f>VLOOKUP($A829,[1]Table!$A$2:$N1001,N$1,FALSE)</f>
        <v>Allergische rhinitis</v>
      </c>
      <c r="O829" t="str">
        <f>ConcatenateRange(AZ829:BU829,"||")</f>
        <v/>
      </c>
      <c r="AZ829" t="str">
        <f t="shared" si="308"/>
        <v/>
      </c>
      <c r="BA829" t="str">
        <f t="shared" si="309"/>
        <v/>
      </c>
      <c r="BB829" t="str">
        <f t="shared" si="310"/>
        <v/>
      </c>
      <c r="BC829" t="str">
        <f t="shared" si="311"/>
        <v/>
      </c>
      <c r="BD829" t="str">
        <f t="shared" si="312"/>
        <v/>
      </c>
      <c r="BE829" t="str">
        <f t="shared" si="313"/>
        <v/>
      </c>
      <c r="BF829" t="str">
        <f t="shared" si="314"/>
        <v/>
      </c>
      <c r="BG829" t="str">
        <f t="shared" si="315"/>
        <v/>
      </c>
      <c r="BH829" t="str">
        <f t="shared" si="316"/>
        <v/>
      </c>
      <c r="BI829" t="str">
        <f t="shared" si="317"/>
        <v/>
      </c>
      <c r="BJ829" t="str">
        <f t="shared" si="318"/>
        <v/>
      </c>
      <c r="BK829" t="str">
        <f t="shared" si="319"/>
        <v/>
      </c>
      <c r="BL829" t="str">
        <f t="shared" si="320"/>
        <v/>
      </c>
      <c r="BM829" t="str">
        <f t="shared" si="321"/>
        <v/>
      </c>
      <c r="BN829" t="str">
        <f t="shared" si="322"/>
        <v/>
      </c>
      <c r="BO829" t="str">
        <f t="shared" si="323"/>
        <v/>
      </c>
      <c r="BP829" t="str">
        <f t="shared" si="324"/>
        <v/>
      </c>
      <c r="BQ829" t="str">
        <f t="shared" si="325"/>
        <v/>
      </c>
      <c r="BR829" t="str">
        <f t="shared" si="326"/>
        <v/>
      </c>
      <c r="BS829" t="str">
        <f t="shared" si="327"/>
        <v/>
      </c>
      <c r="BT829" t="str">
        <f t="shared" si="328"/>
        <v/>
      </c>
      <c r="BU829" t="str">
        <f t="shared" si="329"/>
        <v/>
      </c>
    </row>
    <row r="830" spans="1:73">
      <c r="A830" s="1">
        <v>86371</v>
      </c>
      <c r="B830" t="str">
        <f>VLOOKUP($A830,[1]Table!$A$2:$N1002,B$1,FALSE)</f>
        <v>S01GX02</v>
      </c>
      <c r="C830" t="str">
        <f>VLOOKUP($A830,[1]Table!$A$2:$N1002,C$1,FALSE)</f>
        <v>MIDDELEN VOOR OOGHEELKUNDIG GEBRUIK</v>
      </c>
      <c r="D830" t="str">
        <f>VLOOKUP($A830,[1]Table!$A$2:$N1002,D$1,FALSE)</f>
        <v>DECONGESTIVA EN ALLERGIEMIDDELEN</v>
      </c>
      <c r="E830" t="str">
        <f>VLOOKUP($A830,[1]Table!$A$2:$N1002,E$1,FALSE)</f>
        <v>LEVOCABASTINE</v>
      </c>
      <c r="F830" t="str">
        <f>VLOOKUP($A830,[1]Table!$A$2:$N1002,F$1,FALSE)</f>
        <v>LIVOCAB 0,5MG/ML OOGDRUPPELS</v>
      </c>
      <c r="G830" t="str">
        <f>VLOOKUP($A830,[1]Table!$A$2:$N1002,G$1,FALSE)</f>
        <v>LEVOCABASTINE 0,5MG/ML OOGD</v>
      </c>
      <c r="H830" t="str">
        <f>VLOOKUP($A830,[1]Table!$A$2:$N1002,H$1,FALSE)</f>
        <v>oogdruppels</v>
      </c>
      <c r="I830" t="str">
        <f>VLOOKUP($A830,[1]Table!$A$2:$N1002,I$1,FALSE)</f>
        <v>oog</v>
      </c>
      <c r="J830">
        <f>VLOOKUP($A830,[1]Table!$A$2:$N1002,J$1,FALSE)</f>
        <v>0.5</v>
      </c>
      <c r="K830" t="str">
        <f>VLOOKUP($A830,[1]Table!$A$2:$N1002,K$1,FALSE)</f>
        <v>mg/ml</v>
      </c>
      <c r="L830">
        <f>VLOOKUP($A830,[1]Table!$A$2:$N1002,L$1,FALSE)</f>
        <v>0.5</v>
      </c>
      <c r="M830" t="str">
        <f>VLOOKUP($A830,[1]Table!$A$2:$N1002,M$1,FALSE)</f>
        <v>mg</v>
      </c>
      <c r="N830" t="str">
        <f>VLOOKUP($A830,[1]Table!$A$2:$N1002,N$1,FALSE)</f>
        <v>Allergische conjunctivitis</v>
      </c>
      <c r="O830" t="str">
        <f>ConcatenateRange(AZ830:BU830,"||")</f>
        <v/>
      </c>
      <c r="AZ830" t="str">
        <f t="shared" si="308"/>
        <v/>
      </c>
      <c r="BA830" t="str">
        <f t="shared" si="309"/>
        <v/>
      </c>
      <c r="BB830" t="str">
        <f t="shared" si="310"/>
        <v/>
      </c>
      <c r="BC830" t="str">
        <f t="shared" si="311"/>
        <v/>
      </c>
      <c r="BD830" t="str">
        <f t="shared" si="312"/>
        <v/>
      </c>
      <c r="BE830" t="str">
        <f t="shared" si="313"/>
        <v/>
      </c>
      <c r="BF830" t="str">
        <f t="shared" si="314"/>
        <v/>
      </c>
      <c r="BG830" t="str">
        <f t="shared" si="315"/>
        <v/>
      </c>
      <c r="BH830" t="str">
        <f t="shared" si="316"/>
        <v/>
      </c>
      <c r="BI830" t="str">
        <f t="shared" si="317"/>
        <v/>
      </c>
      <c r="BJ830" t="str">
        <f t="shared" si="318"/>
        <v/>
      </c>
      <c r="BK830" t="str">
        <f t="shared" si="319"/>
        <v/>
      </c>
      <c r="BL830" t="str">
        <f t="shared" si="320"/>
        <v/>
      </c>
      <c r="BM830" t="str">
        <f t="shared" si="321"/>
        <v/>
      </c>
      <c r="BN830" t="str">
        <f t="shared" si="322"/>
        <v/>
      </c>
      <c r="BO830" t="str">
        <f t="shared" si="323"/>
        <v/>
      </c>
      <c r="BP830" t="str">
        <f t="shared" si="324"/>
        <v/>
      </c>
      <c r="BQ830" t="str">
        <f t="shared" si="325"/>
        <v/>
      </c>
      <c r="BR830" t="str">
        <f t="shared" si="326"/>
        <v/>
      </c>
      <c r="BS830" t="str">
        <f t="shared" si="327"/>
        <v/>
      </c>
      <c r="BT830" t="str">
        <f t="shared" si="328"/>
        <v/>
      </c>
      <c r="BU830" t="str">
        <f t="shared" si="329"/>
        <v/>
      </c>
    </row>
    <row r="831" spans="1:73">
      <c r="A831" s="1">
        <v>54925</v>
      </c>
      <c r="B831" t="str">
        <f>VLOOKUP($A831,[1]Table!$A$2:$N1003,B$1,FALSE)</f>
        <v>A16AA01</v>
      </c>
      <c r="C831" t="str">
        <f>VLOOKUP($A831,[1]Table!$A$2:$N1003,C$1,FALSE)</f>
        <v>OVERIGE MAAGDARMKANAAL- EN METABOLISMEPRODUCTEN</v>
      </c>
      <c r="D831" t="str">
        <f>VLOOKUP($A831,[1]Table!$A$2:$N1003,D$1,FALSE)</f>
        <v>OVERIGE MAAGDARMKANAAL- EN METABOLISMEPRODUCTEN</v>
      </c>
      <c r="E831" t="str">
        <f>VLOOKUP($A831,[1]Table!$A$2:$N1003,E$1,FALSE)</f>
        <v>LEVOCARNITINE</v>
      </c>
      <c r="F831" t="str">
        <f>VLOOKUP($A831,[1]Table!$A$2:$N1003,F$1,FALSE)</f>
        <v>CARNITENE 100MG/ML DRANK 10ML</v>
      </c>
      <c r="G831" t="str">
        <f>VLOOKUP($A831,[1]Table!$A$2:$N1003,G$1,FALSE)</f>
        <v>LEVOCARNITINE 100MG/ML DRAN</v>
      </c>
      <c r="H831" t="str">
        <f>VLOOKUP($A831,[1]Table!$A$2:$N1003,H$1,FALSE)</f>
        <v>drank</v>
      </c>
      <c r="I831" t="str">
        <f>VLOOKUP($A831,[1]Table!$A$2:$N1003,I$1,FALSE)</f>
        <v>or</v>
      </c>
      <c r="J831">
        <f>VLOOKUP($A831,[1]Table!$A$2:$N1003,J$1,FALSE)</f>
        <v>100</v>
      </c>
      <c r="K831" t="str">
        <f>VLOOKUP($A831,[1]Table!$A$2:$N1003,K$1,FALSE)</f>
        <v>mg/ml</v>
      </c>
      <c r="L831">
        <f>VLOOKUP($A831,[1]Table!$A$2:$N1003,L$1,FALSE)</f>
        <v>100</v>
      </c>
      <c r="M831" t="str">
        <f>VLOOKUP($A831,[1]Table!$A$2:$N1003,M$1,FALSE)</f>
        <v>mg</v>
      </c>
      <c r="N831" t="str">
        <f>VLOOKUP($A831,[1]Table!$A$2:$N1003,N$1,FALSE)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1" t="str">
        <f>ConcatenateRange(AZ831:BU831,"||")</f>
        <v/>
      </c>
      <c r="AZ831" t="str">
        <f t="shared" si="308"/>
        <v/>
      </c>
      <c r="BA831" t="str">
        <f t="shared" si="309"/>
        <v/>
      </c>
      <c r="BB831" t="str">
        <f t="shared" si="310"/>
        <v/>
      </c>
      <c r="BC831" t="str">
        <f t="shared" si="311"/>
        <v/>
      </c>
      <c r="BD831" t="str">
        <f t="shared" si="312"/>
        <v/>
      </c>
      <c r="BE831" t="str">
        <f t="shared" si="313"/>
        <v/>
      </c>
      <c r="BF831" t="str">
        <f t="shared" si="314"/>
        <v/>
      </c>
      <c r="BG831" t="str">
        <f t="shared" si="315"/>
        <v/>
      </c>
      <c r="BH831" t="str">
        <f t="shared" si="316"/>
        <v/>
      </c>
      <c r="BI831" t="str">
        <f t="shared" si="317"/>
        <v/>
      </c>
      <c r="BJ831" t="str">
        <f t="shared" si="318"/>
        <v/>
      </c>
      <c r="BK831" t="str">
        <f t="shared" si="319"/>
        <v/>
      </c>
      <c r="BL831" t="str">
        <f t="shared" si="320"/>
        <v/>
      </c>
      <c r="BM831" t="str">
        <f t="shared" si="321"/>
        <v/>
      </c>
      <c r="BN831" t="str">
        <f t="shared" si="322"/>
        <v/>
      </c>
      <c r="BO831" t="str">
        <f t="shared" si="323"/>
        <v/>
      </c>
      <c r="BP831" t="str">
        <f t="shared" si="324"/>
        <v/>
      </c>
      <c r="BQ831" t="str">
        <f t="shared" si="325"/>
        <v/>
      </c>
      <c r="BR831" t="str">
        <f t="shared" si="326"/>
        <v/>
      </c>
      <c r="BS831" t="str">
        <f t="shared" si="327"/>
        <v/>
      </c>
      <c r="BT831" t="str">
        <f t="shared" si="328"/>
        <v/>
      </c>
      <c r="BU831" t="str">
        <f t="shared" si="329"/>
        <v/>
      </c>
    </row>
    <row r="832" spans="1:73">
      <c r="A832" s="1">
        <v>54933</v>
      </c>
      <c r="B832" t="str">
        <f>VLOOKUP($A832,[1]Table!$A$2:$N1004,B$1,FALSE)</f>
        <v>A16AA01</v>
      </c>
      <c r="C832" t="str">
        <f>VLOOKUP($A832,[1]Table!$A$2:$N1004,C$1,FALSE)</f>
        <v>OVERIGE MAAGDARMKANAAL- EN METABOLISMEPRODUCTEN</v>
      </c>
      <c r="D832" t="str">
        <f>VLOOKUP($A832,[1]Table!$A$2:$N1004,D$1,FALSE)</f>
        <v>OVERIGE MAAGDARMKANAAL- EN METABOLISMEPRODUCTEN</v>
      </c>
      <c r="E832" t="str">
        <f>VLOOKUP($A832,[1]Table!$A$2:$N1004,E$1,FALSE)</f>
        <v>LEVOCARNITINE</v>
      </c>
      <c r="F832" t="str">
        <f>VLOOKUP($A832,[1]Table!$A$2:$N1004,F$1,FALSE)</f>
        <v>CARNITENE 200MG/ML AMPUL 5ML</v>
      </c>
      <c r="G832" t="str">
        <f>VLOOKUP($A832,[1]Table!$A$2:$N1004,G$1,FALSE)</f>
        <v>LEVOCARNITINE 200MG/ML INJV</v>
      </c>
      <c r="H832" t="str">
        <f>VLOOKUP($A832,[1]Table!$A$2:$N1004,H$1,FALSE)</f>
        <v>injectievloeistof</v>
      </c>
      <c r="I832" t="str">
        <f>VLOOKUP($A832,[1]Table!$A$2:$N1004,I$1,FALSE)</f>
        <v>iv</v>
      </c>
      <c r="J832">
        <f>VLOOKUP($A832,[1]Table!$A$2:$N1004,J$1,FALSE)</f>
        <v>200</v>
      </c>
      <c r="K832" t="str">
        <f>VLOOKUP($A832,[1]Table!$A$2:$N1004,K$1,FALSE)</f>
        <v>mg/ml</v>
      </c>
      <c r="L832">
        <f>VLOOKUP($A832,[1]Table!$A$2:$N1004,L$1,FALSE)</f>
        <v>200</v>
      </c>
      <c r="M832" t="str">
        <f>VLOOKUP($A832,[1]Table!$A$2:$N1004,M$1,FALSE)</f>
        <v>mg</v>
      </c>
      <c r="N832" t="str">
        <f>VLOOKUP($A832,[1]Table!$A$2:$N1004,N$1,FALSE)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2" t="str">
        <f>ConcatenateRange(AZ832:BU832,"||")</f>
        <v/>
      </c>
      <c r="AZ832" t="str">
        <f t="shared" si="308"/>
        <v/>
      </c>
      <c r="BA832" t="str">
        <f t="shared" si="309"/>
        <v/>
      </c>
      <c r="BB832" t="str">
        <f t="shared" si="310"/>
        <v/>
      </c>
      <c r="BC832" t="str">
        <f t="shared" si="311"/>
        <v/>
      </c>
      <c r="BD832" t="str">
        <f t="shared" si="312"/>
        <v/>
      </c>
      <c r="BE832" t="str">
        <f t="shared" si="313"/>
        <v/>
      </c>
      <c r="BF832" t="str">
        <f t="shared" si="314"/>
        <v/>
      </c>
      <c r="BG832" t="str">
        <f t="shared" si="315"/>
        <v/>
      </c>
      <c r="BH832" t="str">
        <f t="shared" si="316"/>
        <v/>
      </c>
      <c r="BI832" t="str">
        <f t="shared" si="317"/>
        <v/>
      </c>
      <c r="BJ832" t="str">
        <f t="shared" si="318"/>
        <v/>
      </c>
      <c r="BK832" t="str">
        <f t="shared" si="319"/>
        <v/>
      </c>
      <c r="BL832" t="str">
        <f t="shared" si="320"/>
        <v/>
      </c>
      <c r="BM832" t="str">
        <f t="shared" si="321"/>
        <v/>
      </c>
      <c r="BN832" t="str">
        <f t="shared" si="322"/>
        <v/>
      </c>
      <c r="BO832" t="str">
        <f t="shared" si="323"/>
        <v/>
      </c>
      <c r="BP832" t="str">
        <f t="shared" si="324"/>
        <v/>
      </c>
      <c r="BQ832" t="str">
        <f t="shared" si="325"/>
        <v/>
      </c>
      <c r="BR832" t="str">
        <f t="shared" si="326"/>
        <v/>
      </c>
      <c r="BS832" t="str">
        <f t="shared" si="327"/>
        <v/>
      </c>
      <c r="BT832" t="str">
        <f t="shared" si="328"/>
        <v/>
      </c>
      <c r="BU832" t="str">
        <f t="shared" si="329"/>
        <v/>
      </c>
    </row>
    <row r="833" spans="1:73">
      <c r="A833" s="1">
        <v>64203</v>
      </c>
      <c r="B833" t="str">
        <f>VLOOKUP($A833,[1]Table!$A$2:$N1005,B$1,FALSE)</f>
        <v>A16AA01</v>
      </c>
      <c r="C833" t="str">
        <f>VLOOKUP($A833,[1]Table!$A$2:$N1005,C$1,FALSE)</f>
        <v>OVERIGE MAAGDARMKANAAL- EN METABOLISMEPRODUCTEN</v>
      </c>
      <c r="D833" t="str">
        <f>VLOOKUP($A833,[1]Table!$A$2:$N1005,D$1,FALSE)</f>
        <v>OVERIGE MAAGDARMKANAAL- EN METABOLISMEPRODUCTEN</v>
      </c>
      <c r="E833" t="str">
        <f>VLOOKUP($A833,[1]Table!$A$2:$N1005,E$1,FALSE)</f>
        <v>LEVOCARNITINE</v>
      </c>
      <c r="F833" t="str">
        <f>VLOOKUP($A833,[1]Table!$A$2:$N1005,F$1,FALSE)</f>
        <v>CARNITENE 330MG TABLET</v>
      </c>
      <c r="G833" t="str">
        <f>VLOOKUP($A833,[1]Table!$A$2:$N1005,G$1,FALSE)</f>
        <v>LEVOCARNITINE 330MG TABLET</v>
      </c>
      <c r="H833" t="str">
        <f>VLOOKUP($A833,[1]Table!$A$2:$N1005,H$1,FALSE)</f>
        <v>tablet</v>
      </c>
      <c r="I833" t="str">
        <f>VLOOKUP($A833,[1]Table!$A$2:$N1005,I$1,FALSE)</f>
        <v>or</v>
      </c>
      <c r="J833">
        <f>VLOOKUP($A833,[1]Table!$A$2:$N1005,J$1,FALSE)</f>
        <v>330</v>
      </c>
      <c r="K833" t="str">
        <f>VLOOKUP($A833,[1]Table!$A$2:$N1005,K$1,FALSE)</f>
        <v>mg/stuk</v>
      </c>
      <c r="L833">
        <f>VLOOKUP($A833,[1]Table!$A$2:$N1005,L$1,FALSE)</f>
        <v>330</v>
      </c>
      <c r="M833" t="str">
        <f>VLOOKUP($A833,[1]Table!$A$2:$N1005,M$1,FALSE)</f>
        <v>mg</v>
      </c>
      <c r="N833" t="str">
        <f>VLOOKUP($A833,[1]Table!$A$2:$N1005,N$1,FALSE)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3" t="str">
        <f>ConcatenateRange(AZ833:BU833,"||")</f>
        <v/>
      </c>
      <c r="AZ833" t="str">
        <f t="shared" si="308"/>
        <v/>
      </c>
      <c r="BA833" t="str">
        <f t="shared" si="309"/>
        <v/>
      </c>
      <c r="BB833" t="str">
        <f t="shared" si="310"/>
        <v/>
      </c>
      <c r="BC833" t="str">
        <f t="shared" si="311"/>
        <v/>
      </c>
      <c r="BD833" t="str">
        <f t="shared" si="312"/>
        <v/>
      </c>
      <c r="BE833" t="str">
        <f t="shared" si="313"/>
        <v/>
      </c>
      <c r="BF833" t="str">
        <f t="shared" si="314"/>
        <v/>
      </c>
      <c r="BG833" t="str">
        <f t="shared" si="315"/>
        <v/>
      </c>
      <c r="BH833" t="str">
        <f t="shared" si="316"/>
        <v/>
      </c>
      <c r="BI833" t="str">
        <f t="shared" si="317"/>
        <v/>
      </c>
      <c r="BJ833" t="str">
        <f t="shared" si="318"/>
        <v/>
      </c>
      <c r="BK833" t="str">
        <f t="shared" si="319"/>
        <v/>
      </c>
      <c r="BL833" t="str">
        <f t="shared" si="320"/>
        <v/>
      </c>
      <c r="BM833" t="str">
        <f t="shared" si="321"/>
        <v/>
      </c>
      <c r="BN833" t="str">
        <f t="shared" si="322"/>
        <v/>
      </c>
      <c r="BO833" t="str">
        <f t="shared" si="323"/>
        <v/>
      </c>
      <c r="BP833" t="str">
        <f t="shared" si="324"/>
        <v/>
      </c>
      <c r="BQ833" t="str">
        <f t="shared" si="325"/>
        <v/>
      </c>
      <c r="BR833" t="str">
        <f t="shared" si="326"/>
        <v/>
      </c>
      <c r="BS833" t="str">
        <f t="shared" si="327"/>
        <v/>
      </c>
      <c r="BT833" t="str">
        <f t="shared" si="328"/>
        <v/>
      </c>
      <c r="BU833" t="str">
        <f t="shared" si="329"/>
        <v/>
      </c>
    </row>
    <row r="834" spans="1:73">
      <c r="A834" s="1">
        <v>126047</v>
      </c>
      <c r="B834" t="str">
        <f>VLOOKUP($A834,[1]Table!$A$2:$N1006,B$1,FALSE)</f>
        <v>R06AE09</v>
      </c>
      <c r="C834" t="str">
        <f>VLOOKUP($A834,[1]Table!$A$2:$N1006,C$1,FALSE)</f>
        <v>ANTIHISTAMINICA VOOR SYSTEMISCH GEBRUIK</v>
      </c>
      <c r="D834" t="str">
        <f>VLOOKUP($A834,[1]Table!$A$2:$N1006,D$1,FALSE)</f>
        <v>ANTIHISTAMINICA VOOR SYSTEMISCH GEBRUIK</v>
      </c>
      <c r="E834" t="str">
        <f>VLOOKUP($A834,[1]Table!$A$2:$N1006,E$1,FALSE)</f>
        <v>LEVOCETIRIZINE</v>
      </c>
      <c r="F834" t="str">
        <f>VLOOKUP($A834,[1]Table!$A$2:$N1006,F$1,FALSE)</f>
        <v>XYZAL 0,5 MG/ML DRANK 200 ML</v>
      </c>
      <c r="G834" t="str">
        <f>VLOOKUP($A834,[1]Table!$A$2:$N1006,G$1,FALSE)</f>
        <v>LEVOCETIRIZINE 0,5MG/ML DRA</v>
      </c>
      <c r="H834" t="str">
        <f>VLOOKUP($A834,[1]Table!$A$2:$N1006,H$1,FALSE)</f>
        <v>drank</v>
      </c>
      <c r="I834" t="str">
        <f>VLOOKUP($A834,[1]Table!$A$2:$N1006,I$1,FALSE)</f>
        <v>or</v>
      </c>
      <c r="J834">
        <f>VLOOKUP($A834,[1]Table!$A$2:$N1006,J$1,FALSE)</f>
        <v>0.5</v>
      </c>
      <c r="K834" t="str">
        <f>VLOOKUP($A834,[1]Table!$A$2:$N1006,K$1,FALSE)</f>
        <v>mg/ml</v>
      </c>
      <c r="L834">
        <f>VLOOKUP($A834,[1]Table!$A$2:$N1006,L$1,FALSE)</f>
        <v>0.5</v>
      </c>
      <c r="M834" t="str">
        <f>VLOOKUP($A834,[1]Table!$A$2:$N1006,M$1,FALSE)</f>
        <v>mg</v>
      </c>
      <c r="N834" t="str">
        <f>VLOOKUP($A834,[1]Table!$A$2:$N1006,N$1,FALSE)</f>
        <v>Symptomatische behandeling van allergische rhinitis (met inbegrip van persisterende allergische rhinitis) en chronische idiopathische urticaria</v>
      </c>
      <c r="O834" t="str">
        <f>ConcatenateRange(AZ834:BU834,"||")</f>
        <v/>
      </c>
      <c r="AZ834" t="str">
        <f t="shared" si="308"/>
        <v/>
      </c>
      <c r="BA834" t="str">
        <f t="shared" si="309"/>
        <v/>
      </c>
      <c r="BB834" t="str">
        <f t="shared" si="310"/>
        <v/>
      </c>
      <c r="BC834" t="str">
        <f t="shared" si="311"/>
        <v/>
      </c>
      <c r="BD834" t="str">
        <f t="shared" si="312"/>
        <v/>
      </c>
      <c r="BE834" t="str">
        <f t="shared" si="313"/>
        <v/>
      </c>
      <c r="BF834" t="str">
        <f t="shared" si="314"/>
        <v/>
      </c>
      <c r="BG834" t="str">
        <f t="shared" si="315"/>
        <v/>
      </c>
      <c r="BH834" t="str">
        <f t="shared" si="316"/>
        <v/>
      </c>
      <c r="BI834" t="str">
        <f t="shared" si="317"/>
        <v/>
      </c>
      <c r="BJ834" t="str">
        <f t="shared" si="318"/>
        <v/>
      </c>
      <c r="BK834" t="str">
        <f t="shared" si="319"/>
        <v/>
      </c>
      <c r="BL834" t="str">
        <f t="shared" si="320"/>
        <v/>
      </c>
      <c r="BM834" t="str">
        <f t="shared" si="321"/>
        <v/>
      </c>
      <c r="BN834" t="str">
        <f t="shared" si="322"/>
        <v/>
      </c>
      <c r="BO834" t="str">
        <f t="shared" si="323"/>
        <v/>
      </c>
      <c r="BP834" t="str">
        <f t="shared" si="324"/>
        <v/>
      </c>
      <c r="BQ834" t="str">
        <f t="shared" si="325"/>
        <v/>
      </c>
      <c r="BR834" t="str">
        <f t="shared" si="326"/>
        <v/>
      </c>
      <c r="BS834" t="str">
        <f t="shared" si="327"/>
        <v/>
      </c>
      <c r="BT834" t="str">
        <f t="shared" si="328"/>
        <v/>
      </c>
      <c r="BU834" t="str">
        <f t="shared" si="329"/>
        <v/>
      </c>
    </row>
    <row r="835" spans="1:73">
      <c r="A835" s="1">
        <v>114626</v>
      </c>
      <c r="B835" t="str">
        <f>VLOOKUP($A835,[1]Table!$A$2:$N1007,B$1,FALSE)</f>
        <v>R06AE09</v>
      </c>
      <c r="C835" t="str">
        <f>VLOOKUP($A835,[1]Table!$A$2:$N1007,C$1,FALSE)</f>
        <v>ANTIHISTAMINICA VOOR SYSTEMISCH GEBRUIK</v>
      </c>
      <c r="D835" t="str">
        <f>VLOOKUP($A835,[1]Table!$A$2:$N1007,D$1,FALSE)</f>
        <v>ANTIHISTAMINICA VOOR SYSTEMISCH GEBRUIK</v>
      </c>
      <c r="E835" t="str">
        <f>VLOOKUP($A835,[1]Table!$A$2:$N1007,E$1,FALSE)</f>
        <v>LEVOCETIRIZINE</v>
      </c>
      <c r="F835" t="str">
        <f>VLOOKUP($A835,[1]Table!$A$2:$N1007,F$1,FALSE)</f>
        <v>XYZAL 5 MG TABLET FILMOMHULD</v>
      </c>
      <c r="G835" t="str">
        <f>VLOOKUP($A835,[1]Table!$A$2:$N1007,G$1,FALSE)</f>
        <v>LEVOCETIRIZINE 5MG TABL FO</v>
      </c>
      <c r="H835" t="str">
        <f>VLOOKUP($A835,[1]Table!$A$2:$N1007,H$1,FALSE)</f>
        <v>filmomhulde tablet</v>
      </c>
      <c r="I835" t="str">
        <f>VLOOKUP($A835,[1]Table!$A$2:$N1007,I$1,FALSE)</f>
        <v>or</v>
      </c>
      <c r="J835">
        <f>VLOOKUP($A835,[1]Table!$A$2:$N1007,J$1,FALSE)</f>
        <v>5</v>
      </c>
      <c r="K835" t="str">
        <f>VLOOKUP($A835,[1]Table!$A$2:$N1007,K$1,FALSE)</f>
        <v>mg/stuk</v>
      </c>
      <c r="L835">
        <f>VLOOKUP($A835,[1]Table!$A$2:$N1007,L$1,FALSE)</f>
        <v>5</v>
      </c>
      <c r="M835" t="str">
        <f>VLOOKUP($A835,[1]Table!$A$2:$N1007,M$1,FALSE)</f>
        <v>mg</v>
      </c>
      <c r="N835" t="str">
        <f>VLOOKUP($A835,[1]Table!$A$2:$N1007,N$1,FALSE)</f>
        <v>Symptomatische behandeling van allergische rhinitis (met inbegrip van persisterende allergische rhinitis) en chronische idiopathische urticaria</v>
      </c>
      <c r="O835" t="str">
        <f>ConcatenateRange(AZ835:BU835,"||")</f>
        <v/>
      </c>
      <c r="AZ835" t="str">
        <f t="shared" si="308"/>
        <v/>
      </c>
      <c r="BA835" t="str">
        <f t="shared" si="309"/>
        <v/>
      </c>
      <c r="BB835" t="str">
        <f t="shared" si="310"/>
        <v/>
      </c>
      <c r="BC835" t="str">
        <f t="shared" si="311"/>
        <v/>
      </c>
      <c r="BD835" t="str">
        <f t="shared" si="312"/>
        <v/>
      </c>
      <c r="BE835" t="str">
        <f t="shared" si="313"/>
        <v/>
      </c>
      <c r="BF835" t="str">
        <f t="shared" si="314"/>
        <v/>
      </c>
      <c r="BG835" t="str">
        <f t="shared" si="315"/>
        <v/>
      </c>
      <c r="BH835" t="str">
        <f t="shared" si="316"/>
        <v/>
      </c>
      <c r="BI835" t="str">
        <f t="shared" si="317"/>
        <v/>
      </c>
      <c r="BJ835" t="str">
        <f t="shared" si="318"/>
        <v/>
      </c>
      <c r="BK835" t="str">
        <f t="shared" si="319"/>
        <v/>
      </c>
      <c r="BL835" t="str">
        <f t="shared" si="320"/>
        <v/>
      </c>
      <c r="BM835" t="str">
        <f t="shared" si="321"/>
        <v/>
      </c>
      <c r="BN835" t="str">
        <f t="shared" si="322"/>
        <v/>
      </c>
      <c r="BO835" t="str">
        <f t="shared" si="323"/>
        <v/>
      </c>
      <c r="BP835" t="str">
        <f t="shared" si="324"/>
        <v/>
      </c>
      <c r="BQ835" t="str">
        <f t="shared" si="325"/>
        <v/>
      </c>
      <c r="BR835" t="str">
        <f t="shared" si="326"/>
        <v/>
      </c>
      <c r="BS835" t="str">
        <f t="shared" si="327"/>
        <v/>
      </c>
      <c r="BT835" t="str">
        <f t="shared" si="328"/>
        <v/>
      </c>
      <c r="BU835" t="str">
        <f t="shared" si="329"/>
        <v/>
      </c>
    </row>
    <row r="836" spans="1:73">
      <c r="A836" s="1">
        <v>38563</v>
      </c>
      <c r="B836" t="str">
        <f>VLOOKUP($A836,[1]Table!$A$2:$N1008,B$1,FALSE)</f>
        <v>N04BA02</v>
      </c>
      <c r="C836" t="str">
        <f>VLOOKUP($A836,[1]Table!$A$2:$N1008,C$1,FALSE)</f>
        <v>PARKINSONMIDDELEN</v>
      </c>
      <c r="D836" t="str">
        <f>VLOOKUP($A836,[1]Table!$A$2:$N1008,D$1,FALSE)</f>
        <v>DOPAMINERGICA</v>
      </c>
      <c r="E836" t="str">
        <f>VLOOKUP($A836,[1]Table!$A$2:$N1008,E$1,FALSE)</f>
        <v>LEVODOPA/BENSERAZIDE</v>
      </c>
      <c r="F836" t="str">
        <f>VLOOKUP($A836,[1]Table!$A$2:$N1008,F$1,FALSE)</f>
        <v>MADOPAR 62,5 MG CAPSULE</v>
      </c>
      <c r="G836" t="str">
        <f>VLOOKUP($A836,[1]Table!$A$2:$N1008,G$1,FALSE)</f>
        <v>LEVODOPA/BENSERA 50/12,5 C</v>
      </c>
      <c r="H836" t="str">
        <f>VLOOKUP($A836,[1]Table!$A$2:$N1008,H$1,FALSE)</f>
        <v>capsule</v>
      </c>
      <c r="I836" t="str">
        <f>VLOOKUP($A836,[1]Table!$A$2:$N1008,I$1,FALSE)</f>
        <v>or</v>
      </c>
      <c r="J836">
        <f>VLOOKUP($A836,[1]Table!$A$2:$N1008,J$1,FALSE)</f>
        <v>50</v>
      </c>
      <c r="K836" t="str">
        <f>VLOOKUP($A836,[1]Table!$A$2:$N1008,K$1,FALSE)</f>
        <v>mg/stuk</v>
      </c>
      <c r="L836">
        <f>VLOOKUP($A836,[1]Table!$A$2:$N1008,L$1,FALSE)</f>
        <v>50</v>
      </c>
      <c r="M836" t="str">
        <f>VLOOKUP($A836,[1]Table!$A$2:$N1008,M$1,FALSE)</f>
        <v>mg</v>
      </c>
      <c r="N836" t="str">
        <f>VLOOKUP($A836,[1]Table!$A$2:$N1008,N$1,FALSE)</f>
        <v>GTP cyclohydrolase I deficientie (GTPCH); 6 pyruvoyl tetrahydropterin synthase deficientie (PTPS); Dihydropteridine reductase deficientie (DHPR)||Tyrosinehydroxylase deficientie</v>
      </c>
      <c r="O836" t="str">
        <f>ConcatenateRange(AZ836:BU836,"||")</f>
        <v/>
      </c>
      <c r="AZ836" t="str">
        <f t="shared" si="308"/>
        <v/>
      </c>
      <c r="BA836" t="str">
        <f t="shared" si="309"/>
        <v/>
      </c>
      <c r="BB836" t="str">
        <f t="shared" si="310"/>
        <v/>
      </c>
      <c r="BC836" t="str">
        <f t="shared" si="311"/>
        <v/>
      </c>
      <c r="BD836" t="str">
        <f t="shared" si="312"/>
        <v/>
      </c>
      <c r="BE836" t="str">
        <f t="shared" si="313"/>
        <v/>
      </c>
      <c r="BF836" t="str">
        <f t="shared" si="314"/>
        <v/>
      </c>
      <c r="BG836" t="str">
        <f t="shared" si="315"/>
        <v/>
      </c>
      <c r="BH836" t="str">
        <f t="shared" si="316"/>
        <v/>
      </c>
      <c r="BI836" t="str">
        <f t="shared" si="317"/>
        <v/>
      </c>
      <c r="BJ836" t="str">
        <f t="shared" si="318"/>
        <v/>
      </c>
      <c r="BK836" t="str">
        <f t="shared" si="319"/>
        <v/>
      </c>
      <c r="BL836" t="str">
        <f t="shared" si="320"/>
        <v/>
      </c>
      <c r="BM836" t="str">
        <f t="shared" si="321"/>
        <v/>
      </c>
      <c r="BN836" t="str">
        <f t="shared" si="322"/>
        <v/>
      </c>
      <c r="BO836" t="str">
        <f t="shared" si="323"/>
        <v/>
      </c>
      <c r="BP836" t="str">
        <f t="shared" si="324"/>
        <v/>
      </c>
      <c r="BQ836" t="str">
        <f t="shared" si="325"/>
        <v/>
      </c>
      <c r="BR836" t="str">
        <f t="shared" si="326"/>
        <v/>
      </c>
      <c r="BS836" t="str">
        <f t="shared" si="327"/>
        <v/>
      </c>
      <c r="BT836" t="str">
        <f t="shared" si="328"/>
        <v/>
      </c>
      <c r="BU836" t="str">
        <f t="shared" si="329"/>
        <v/>
      </c>
    </row>
    <row r="837" spans="1:73">
      <c r="A837" s="1">
        <v>73695</v>
      </c>
      <c r="B837" t="str">
        <f>VLOOKUP($A837,[1]Table!$A$2:$N1009,B$1,FALSE)</f>
        <v>N04BA02</v>
      </c>
      <c r="C837" t="str">
        <f>VLOOKUP($A837,[1]Table!$A$2:$N1009,C$1,FALSE)</f>
        <v>PARKINSONMIDDELEN</v>
      </c>
      <c r="D837" t="str">
        <f>VLOOKUP($A837,[1]Table!$A$2:$N1009,D$1,FALSE)</f>
        <v>DOPAMINERGICA</v>
      </c>
      <c r="E837" t="s">
        <v>108</v>
      </c>
      <c r="F837" t="str">
        <f>VLOOKUP($A837,[1]Table!$A$2:$N1009,F$1,FALSE)</f>
        <v>MADOPAR HBS 125 MG CAPSULE MGA (RETARD)</v>
      </c>
      <c r="G837" t="str">
        <f>VLOOKUP($A837,[1]Table!$A$2:$N1009,G$1,FALSE)</f>
        <v>LEVODOPA/BENSERA 100/25 MGA</v>
      </c>
      <c r="H837" t="str">
        <f>VLOOKUP($A837,[1]Table!$A$2:$N1009,H$1,FALSE)</f>
        <v>capsule met gereguleerde afgifte</v>
      </c>
      <c r="I837" t="str">
        <f>VLOOKUP($A837,[1]Table!$A$2:$N1009,I$1,FALSE)</f>
        <v>or</v>
      </c>
      <c r="J837">
        <f>VLOOKUP($A837,[1]Table!$A$2:$N1009,J$1,FALSE)</f>
        <v>100</v>
      </c>
      <c r="K837" t="str">
        <f>VLOOKUP($A837,[1]Table!$A$2:$N1009,K$1,FALSE)</f>
        <v>mg/stuk</v>
      </c>
      <c r="L837">
        <f>VLOOKUP($A837,[1]Table!$A$2:$N1009,L$1,FALSE)</f>
        <v>100</v>
      </c>
      <c r="M837" t="str">
        <f>VLOOKUP($A837,[1]Table!$A$2:$N1009,M$1,FALSE)</f>
        <v>mg</v>
      </c>
      <c r="N837" t="str">
        <f>VLOOKUP($A837,[1]Table!$A$2:$N1009,N$1,FALSE)</f>
        <v>GTP cyclohydrolase I deficientie (GTPCH); 6 pyruvoyl tetrahydropterin synthase deficientie (PTPS); Dihydropteridine reductase deficientie (DHPR)||Tyrosinehydroxylase deficientie</v>
      </c>
      <c r="O837" t="str">
        <f>ConcatenateRange(AZ837:BU837,"||")</f>
        <v/>
      </c>
      <c r="AZ837" t="str">
        <f t="shared" si="308"/>
        <v/>
      </c>
      <c r="BA837" t="str">
        <f t="shared" si="309"/>
        <v/>
      </c>
      <c r="BB837" t="str">
        <f t="shared" si="310"/>
        <v/>
      </c>
      <c r="BC837" t="str">
        <f t="shared" si="311"/>
        <v/>
      </c>
      <c r="BD837" t="str">
        <f t="shared" si="312"/>
        <v/>
      </c>
      <c r="BE837" t="str">
        <f t="shared" si="313"/>
        <v/>
      </c>
      <c r="BF837" t="str">
        <f t="shared" si="314"/>
        <v/>
      </c>
      <c r="BG837" t="str">
        <f t="shared" si="315"/>
        <v/>
      </c>
      <c r="BH837" t="str">
        <f t="shared" si="316"/>
        <v/>
      </c>
      <c r="BI837" t="str">
        <f t="shared" si="317"/>
        <v/>
      </c>
      <c r="BJ837" t="str">
        <f t="shared" si="318"/>
        <v/>
      </c>
      <c r="BK837" t="str">
        <f t="shared" si="319"/>
        <v/>
      </c>
      <c r="BL837" t="str">
        <f t="shared" si="320"/>
        <v/>
      </c>
      <c r="BM837" t="str">
        <f t="shared" si="321"/>
        <v/>
      </c>
      <c r="BN837" t="str">
        <f t="shared" si="322"/>
        <v/>
      </c>
      <c r="BO837" t="str">
        <f t="shared" si="323"/>
        <v/>
      </c>
      <c r="BP837" t="str">
        <f t="shared" si="324"/>
        <v/>
      </c>
      <c r="BQ837" t="str">
        <f t="shared" si="325"/>
        <v/>
      </c>
      <c r="BR837" t="str">
        <f t="shared" si="326"/>
        <v/>
      </c>
      <c r="BS837" t="str">
        <f t="shared" si="327"/>
        <v/>
      </c>
      <c r="BT837" t="str">
        <f t="shared" si="328"/>
        <v/>
      </c>
      <c r="BU837" t="str">
        <f t="shared" si="329"/>
        <v/>
      </c>
    </row>
    <row r="838" spans="1:73">
      <c r="A838" s="1">
        <v>116971</v>
      </c>
      <c r="B838" t="str">
        <f>VLOOKUP($A838,[1]Table!$A$2:$N1010,B$1,FALSE)</f>
        <v>N04BA02</v>
      </c>
      <c r="C838" t="str">
        <f>VLOOKUP($A838,[1]Table!$A$2:$N1010,C$1,FALSE)</f>
        <v>PARKINSONMIDDELEN</v>
      </c>
      <c r="D838" t="str">
        <f>VLOOKUP($A838,[1]Table!$A$2:$N1010,D$1,FALSE)</f>
        <v>DOPAMINERGICA</v>
      </c>
      <c r="E838" t="str">
        <f>VLOOKUP($A838,[1]Table!$A$2:$N1010,E$1,FALSE)</f>
        <v>LEVODOPA/BENSERAZIDE</v>
      </c>
      <c r="F838" t="str">
        <f>VLOOKUP($A838,[1]Table!$A$2:$N1010,F$1,FALSE)</f>
        <v>MADOPAR 125 MG DISPER TABLET</v>
      </c>
      <c r="G838" t="str">
        <f>VLOOKUP($A838,[1]Table!$A$2:$N1010,G$1,FALSE)</f>
        <v>LEVODOP/BENSERAZ 100/25DISP</v>
      </c>
      <c r="H838" t="str">
        <f>VLOOKUP($A838,[1]Table!$A$2:$N1010,H$1,FALSE)</f>
        <v>dispergeerbare tablet</v>
      </c>
      <c r="I838" t="str">
        <f>VLOOKUP($A838,[1]Table!$A$2:$N1010,I$1,FALSE)</f>
        <v>or</v>
      </c>
      <c r="J838">
        <f>VLOOKUP($A838,[1]Table!$A$2:$N1010,J$1,FALSE)</f>
        <v>100</v>
      </c>
      <c r="K838" t="str">
        <f>VLOOKUP($A838,[1]Table!$A$2:$N1010,K$1,FALSE)</f>
        <v>mg/stuk</v>
      </c>
      <c r="L838">
        <f>VLOOKUP($A838,[1]Table!$A$2:$N1010,L$1,FALSE)</f>
        <v>100</v>
      </c>
      <c r="M838" t="str">
        <f>VLOOKUP($A838,[1]Table!$A$2:$N1010,M$1,FALSE)</f>
        <v>mg</v>
      </c>
      <c r="N838" t="str">
        <f>VLOOKUP($A838,[1]Table!$A$2:$N1010,N$1,FALSE)</f>
        <v>GTP cyclohydrolase I deficientie (GTPCH); 6 pyruvoyl tetrahydropterin synthase deficientie (PTPS); Dihydropteridine reductase deficientie (DHPR)||Tyrosinehydroxylase deficientie</v>
      </c>
      <c r="O838" t="str">
        <f>ConcatenateRange(AZ838:BU838,"||")</f>
        <v/>
      </c>
      <c r="AZ838" t="str">
        <f t="shared" si="308"/>
        <v/>
      </c>
      <c r="BA838" t="str">
        <f t="shared" si="309"/>
        <v/>
      </c>
      <c r="BB838" t="str">
        <f t="shared" si="310"/>
        <v/>
      </c>
      <c r="BC838" t="str">
        <f t="shared" si="311"/>
        <v/>
      </c>
      <c r="BD838" t="str">
        <f t="shared" si="312"/>
        <v/>
      </c>
      <c r="BE838" t="str">
        <f t="shared" si="313"/>
        <v/>
      </c>
      <c r="BF838" t="str">
        <f t="shared" si="314"/>
        <v/>
      </c>
      <c r="BG838" t="str">
        <f t="shared" si="315"/>
        <v/>
      </c>
      <c r="BH838" t="str">
        <f t="shared" si="316"/>
        <v/>
      </c>
      <c r="BI838" t="str">
        <f t="shared" si="317"/>
        <v/>
      </c>
      <c r="BJ838" t="str">
        <f t="shared" si="318"/>
        <v/>
      </c>
      <c r="BK838" t="str">
        <f t="shared" si="319"/>
        <v/>
      </c>
      <c r="BL838" t="str">
        <f t="shared" si="320"/>
        <v/>
      </c>
      <c r="BM838" t="str">
        <f t="shared" si="321"/>
        <v/>
      </c>
      <c r="BN838" t="str">
        <f t="shared" si="322"/>
        <v/>
      </c>
      <c r="BO838" t="str">
        <f t="shared" si="323"/>
        <v/>
      </c>
      <c r="BP838" t="str">
        <f t="shared" si="324"/>
        <v/>
      </c>
      <c r="BQ838" t="str">
        <f t="shared" si="325"/>
        <v/>
      </c>
      <c r="BR838" t="str">
        <f t="shared" si="326"/>
        <v/>
      </c>
      <c r="BS838" t="str">
        <f t="shared" si="327"/>
        <v/>
      </c>
      <c r="BT838" t="str">
        <f t="shared" si="328"/>
        <v/>
      </c>
      <c r="BU838" t="str">
        <f t="shared" si="329"/>
        <v/>
      </c>
    </row>
    <row r="839" spans="1:73">
      <c r="A839" s="1">
        <v>56677</v>
      </c>
      <c r="B839" t="str">
        <f>VLOOKUP($A839,[1]Table!$A$2:$N1011,B$1,FALSE)</f>
        <v>N04BA02</v>
      </c>
      <c r="C839" t="str">
        <f>VLOOKUP($A839,[1]Table!$A$2:$N1011,C$1,FALSE)</f>
        <v>PARKINSONMIDDELEN</v>
      </c>
      <c r="D839" t="str">
        <f>VLOOKUP($A839,[1]Table!$A$2:$N1011,D$1,FALSE)</f>
        <v>DOPAMINERGICA</v>
      </c>
      <c r="E839" t="str">
        <f>VLOOKUP($A839,[1]Table!$A$2:$N1011,E$1,FALSE)</f>
        <v>LEVODOPA/BENSERAZIDE</v>
      </c>
      <c r="F839" t="str">
        <f>VLOOKUP($A839,[1]Table!$A$2:$N1011,F$1,FALSE)</f>
        <v>MADOPAR 125 MG TABLET</v>
      </c>
      <c r="G839" t="str">
        <f>VLOOKUP($A839,[1]Table!$A$2:$N1011,G$1,FALSE)</f>
        <v>LEVODOPA/BENSERA 100/25 TAB</v>
      </c>
      <c r="H839" t="str">
        <f>VLOOKUP($A839,[1]Table!$A$2:$N1011,H$1,FALSE)</f>
        <v>tablet</v>
      </c>
      <c r="I839" t="str">
        <f>VLOOKUP($A839,[1]Table!$A$2:$N1011,I$1,FALSE)</f>
        <v>or</v>
      </c>
      <c r="J839">
        <f>VLOOKUP($A839,[1]Table!$A$2:$N1011,J$1,FALSE)</f>
        <v>100</v>
      </c>
      <c r="K839" t="str">
        <f>VLOOKUP($A839,[1]Table!$A$2:$N1011,K$1,FALSE)</f>
        <v>mg/stuk</v>
      </c>
      <c r="L839">
        <f>VLOOKUP($A839,[1]Table!$A$2:$N1011,L$1,FALSE)</f>
        <v>100</v>
      </c>
      <c r="M839" t="str">
        <f>VLOOKUP($A839,[1]Table!$A$2:$N1011,M$1,FALSE)</f>
        <v>mg</v>
      </c>
      <c r="N839" t="str">
        <f>VLOOKUP($A839,[1]Table!$A$2:$N1011,N$1,FALSE)</f>
        <v>GTP cyclohydrolase I deficientie (GTPCH); 6 pyruvoyl tetrahydropterin synthase deficientie (PTPS); Dihydropteridine reductase deficientie (DHPR)||Tyrosinehydroxylase deficientie</v>
      </c>
      <c r="O839" t="str">
        <f>ConcatenateRange(AZ839:BU839,"||")</f>
        <v/>
      </c>
      <c r="AZ839" t="str">
        <f t="shared" si="308"/>
        <v/>
      </c>
      <c r="BA839" t="str">
        <f t="shared" si="309"/>
        <v/>
      </c>
      <c r="BB839" t="str">
        <f t="shared" si="310"/>
        <v/>
      </c>
      <c r="BC839" t="str">
        <f t="shared" si="311"/>
        <v/>
      </c>
      <c r="BD839" t="str">
        <f t="shared" si="312"/>
        <v/>
      </c>
      <c r="BE839" t="str">
        <f t="shared" si="313"/>
        <v/>
      </c>
      <c r="BF839" t="str">
        <f t="shared" si="314"/>
        <v/>
      </c>
      <c r="BG839" t="str">
        <f t="shared" si="315"/>
        <v/>
      </c>
      <c r="BH839" t="str">
        <f t="shared" si="316"/>
        <v/>
      </c>
      <c r="BI839" t="str">
        <f t="shared" si="317"/>
        <v/>
      </c>
      <c r="BJ839" t="str">
        <f t="shared" si="318"/>
        <v/>
      </c>
      <c r="BK839" t="str">
        <f t="shared" si="319"/>
        <v/>
      </c>
      <c r="BL839" t="str">
        <f t="shared" si="320"/>
        <v/>
      </c>
      <c r="BM839" t="str">
        <f t="shared" si="321"/>
        <v/>
      </c>
      <c r="BN839" t="str">
        <f t="shared" si="322"/>
        <v/>
      </c>
      <c r="BO839" t="str">
        <f t="shared" si="323"/>
        <v/>
      </c>
      <c r="BP839" t="str">
        <f t="shared" si="324"/>
        <v/>
      </c>
      <c r="BQ839" t="str">
        <f t="shared" si="325"/>
        <v/>
      </c>
      <c r="BR839" t="str">
        <f t="shared" si="326"/>
        <v/>
      </c>
      <c r="BS839" t="str">
        <f t="shared" si="327"/>
        <v/>
      </c>
      <c r="BT839" t="str">
        <f t="shared" si="328"/>
        <v/>
      </c>
      <c r="BU839" t="str">
        <f t="shared" si="329"/>
        <v/>
      </c>
    </row>
    <row r="840" spans="1:73">
      <c r="A840" s="1">
        <v>56685</v>
      </c>
      <c r="B840" t="str">
        <f>VLOOKUP($A840,[1]Table!$A$2:$N1012,B$1,FALSE)</f>
        <v>N04BA02</v>
      </c>
      <c r="C840" t="str">
        <f>VLOOKUP($A840,[1]Table!$A$2:$N1012,C$1,FALSE)</f>
        <v>PARKINSONMIDDELEN</v>
      </c>
      <c r="D840" t="str">
        <f>VLOOKUP($A840,[1]Table!$A$2:$N1012,D$1,FALSE)</f>
        <v>DOPAMINERGICA</v>
      </c>
      <c r="E840" t="str">
        <f>VLOOKUP($A840,[1]Table!$A$2:$N1012,E$1,FALSE)</f>
        <v>LEVODOPA/BENSERAZIDE</v>
      </c>
      <c r="F840" t="str">
        <f>VLOOKUP($A840,[1]Table!$A$2:$N1012,F$1,FALSE)</f>
        <v>MADOPAR 250 MG TABLET</v>
      </c>
      <c r="G840" t="str">
        <f>VLOOKUP($A840,[1]Table!$A$2:$N1012,G$1,FALSE)</f>
        <v>LEVODOPA/BENSERA 200/50 TAB</v>
      </c>
      <c r="H840" t="str">
        <f>VLOOKUP($A840,[1]Table!$A$2:$N1012,H$1,FALSE)</f>
        <v>tablet</v>
      </c>
      <c r="I840" t="str">
        <f>VLOOKUP($A840,[1]Table!$A$2:$N1012,I$1,FALSE)</f>
        <v>or</v>
      </c>
      <c r="J840">
        <f>VLOOKUP($A840,[1]Table!$A$2:$N1012,J$1,FALSE)</f>
        <v>200</v>
      </c>
      <c r="K840" t="str">
        <f>VLOOKUP($A840,[1]Table!$A$2:$N1012,K$1,FALSE)</f>
        <v>mg/stuk</v>
      </c>
      <c r="L840">
        <f>VLOOKUP($A840,[1]Table!$A$2:$N1012,L$1,FALSE)</f>
        <v>50</v>
      </c>
      <c r="M840" t="str">
        <f>VLOOKUP($A840,[1]Table!$A$2:$N1012,M$1,FALSE)</f>
        <v>mg</v>
      </c>
      <c r="N840" t="str">
        <f>VLOOKUP($A840,[1]Table!$A$2:$N1012,N$1,FALSE)</f>
        <v>GTP cyclohydrolase I deficientie (GTPCH); 6 pyruvoyl tetrahydropterin synthase deficientie (PTPS); Dihydropteridine reductase deficientie (DHPR)||Tyrosinehydroxylase deficientie</v>
      </c>
      <c r="O840" t="str">
        <f>ConcatenateRange(AZ840:BU840,"||")</f>
        <v/>
      </c>
      <c r="AZ840" t="str">
        <f t="shared" si="308"/>
        <v/>
      </c>
      <c r="BA840" t="str">
        <f t="shared" si="309"/>
        <v/>
      </c>
      <c r="BB840" t="str">
        <f t="shared" si="310"/>
        <v/>
      </c>
      <c r="BC840" t="str">
        <f t="shared" si="311"/>
        <v/>
      </c>
      <c r="BD840" t="str">
        <f t="shared" si="312"/>
        <v/>
      </c>
      <c r="BE840" t="str">
        <f t="shared" si="313"/>
        <v/>
      </c>
      <c r="BF840" t="str">
        <f t="shared" si="314"/>
        <v/>
      </c>
      <c r="BG840" t="str">
        <f t="shared" si="315"/>
        <v/>
      </c>
      <c r="BH840" t="str">
        <f t="shared" si="316"/>
        <v/>
      </c>
      <c r="BI840" t="str">
        <f t="shared" si="317"/>
        <v/>
      </c>
      <c r="BJ840" t="str">
        <f t="shared" si="318"/>
        <v/>
      </c>
      <c r="BK840" t="str">
        <f t="shared" si="319"/>
        <v/>
      </c>
      <c r="BL840" t="str">
        <f t="shared" si="320"/>
        <v/>
      </c>
      <c r="BM840" t="str">
        <f t="shared" si="321"/>
        <v/>
      </c>
      <c r="BN840" t="str">
        <f t="shared" si="322"/>
        <v/>
      </c>
      <c r="BO840" t="str">
        <f t="shared" si="323"/>
        <v/>
      </c>
      <c r="BP840" t="str">
        <f t="shared" si="324"/>
        <v/>
      </c>
      <c r="BQ840" t="str">
        <f t="shared" si="325"/>
        <v/>
      </c>
      <c r="BR840" t="str">
        <f t="shared" si="326"/>
        <v/>
      </c>
      <c r="BS840" t="str">
        <f t="shared" si="327"/>
        <v/>
      </c>
      <c r="BT840" t="str">
        <f t="shared" si="328"/>
        <v/>
      </c>
      <c r="BU840" t="str">
        <f t="shared" si="329"/>
        <v/>
      </c>
    </row>
    <row r="841" spans="1:73">
      <c r="A841" s="1">
        <v>123579</v>
      </c>
      <c r="B841" t="str">
        <f>VLOOKUP($A841,[1]Table!$A$2:$N1013,B$1,FALSE)</f>
        <v>N04BA02</v>
      </c>
      <c r="C841" t="str">
        <f>VLOOKUP($A841,[1]Table!$A$2:$N1013,C$1,FALSE)</f>
        <v>PARKINSONMIDDELEN</v>
      </c>
      <c r="D841" t="str">
        <f>VLOOKUP($A841,[1]Table!$A$2:$N1013,D$1,FALSE)</f>
        <v>DOPAMINERGICA</v>
      </c>
      <c r="E841" t="str">
        <f>VLOOKUP($A841,[1]Table!$A$2:$N1013,E$1,FALSE)</f>
        <v>LEVODOPA/CARBIDOPA</v>
      </c>
      <c r="F841" t="str">
        <f>VLOOKUP($A841,[1]Table!$A$2:$N1013,F$1,FALSE)</f>
        <v>DUODOPA 20/5MG/ML GEL 100ML</v>
      </c>
      <c r="G841" t="str">
        <f>VLOOKUP($A841,[1]Table!$A$2:$N1013,G$1,FALSE)</f>
        <v>LEVODO/CARBID 20/5MG/ML GEL</v>
      </c>
      <c r="H841" t="str">
        <f>VLOOKUP($A841,[1]Table!$A$2:$N1013,H$1,FALSE)</f>
        <v>gel voor gastro-enteraal gebruik</v>
      </c>
      <c r="I841" t="str">
        <f>VLOOKUP($A841,[1]Table!$A$2:$N1013,I$1,FALSE)</f>
        <v>gastroenter</v>
      </c>
      <c r="J841">
        <f>VLOOKUP($A841,[1]Table!$A$2:$N1013,J$1,FALSE)</f>
        <v>20</v>
      </c>
      <c r="K841" t="str">
        <f>VLOOKUP($A841,[1]Table!$A$2:$N1013,K$1,FALSE)</f>
        <v>mg/ml</v>
      </c>
      <c r="L841">
        <f>VLOOKUP($A841,[1]Table!$A$2:$N1013,L$1,FALSE)</f>
        <v>20</v>
      </c>
      <c r="M841" t="str">
        <f>VLOOKUP($A841,[1]Table!$A$2:$N1013,M$1,FALSE)</f>
        <v>mg</v>
      </c>
      <c r="N841" t="str">
        <f>VLOOKUP($A841,[1]Table!$A$2:$N1013,N$1,FALSE)</f>
        <v>GTP cyclohydrolase I deficientie (GTPCH); 6 pyruvoyl tetrahydropterin synthase deficientie (PTPS); Dihydropteridine reductase deficientie (DHPR)||Tyrosinehydroxylase deficientie</v>
      </c>
      <c r="O841" t="str">
        <f>ConcatenateRange(AZ841:BU841,"||")</f>
        <v/>
      </c>
      <c r="AZ841" t="str">
        <f t="shared" si="308"/>
        <v/>
      </c>
      <c r="BA841" t="str">
        <f t="shared" si="309"/>
        <v/>
      </c>
      <c r="BB841" t="str">
        <f t="shared" si="310"/>
        <v/>
      </c>
      <c r="BC841" t="str">
        <f t="shared" si="311"/>
        <v/>
      </c>
      <c r="BD841" t="str">
        <f t="shared" si="312"/>
        <v/>
      </c>
      <c r="BE841" t="str">
        <f t="shared" si="313"/>
        <v/>
      </c>
      <c r="BF841" t="str">
        <f t="shared" si="314"/>
        <v/>
      </c>
      <c r="BG841" t="str">
        <f t="shared" si="315"/>
        <v/>
      </c>
      <c r="BH841" t="str">
        <f t="shared" si="316"/>
        <v/>
      </c>
      <c r="BI841" t="str">
        <f t="shared" si="317"/>
        <v/>
      </c>
      <c r="BJ841" t="str">
        <f t="shared" si="318"/>
        <v/>
      </c>
      <c r="BK841" t="str">
        <f t="shared" si="319"/>
        <v/>
      </c>
      <c r="BL841" t="str">
        <f t="shared" si="320"/>
        <v/>
      </c>
      <c r="BM841" t="str">
        <f t="shared" si="321"/>
        <v/>
      </c>
      <c r="BN841" t="str">
        <f t="shared" si="322"/>
        <v/>
      </c>
      <c r="BO841" t="str">
        <f t="shared" si="323"/>
        <v/>
      </c>
      <c r="BP841" t="str">
        <f t="shared" si="324"/>
        <v/>
      </c>
      <c r="BQ841" t="str">
        <f t="shared" si="325"/>
        <v/>
      </c>
      <c r="BR841" t="str">
        <f t="shared" si="326"/>
        <v/>
      </c>
      <c r="BS841" t="str">
        <f t="shared" si="327"/>
        <v/>
      </c>
      <c r="BT841" t="str">
        <f t="shared" si="328"/>
        <v/>
      </c>
      <c r="BU841" t="str">
        <f t="shared" si="329"/>
        <v/>
      </c>
    </row>
    <row r="842" spans="1:73">
      <c r="A842" s="1">
        <v>65803</v>
      </c>
      <c r="B842" t="str">
        <f>VLOOKUP($A842,[1]Table!$A$2:$N1014,B$1,FALSE)</f>
        <v>N04BA02</v>
      </c>
      <c r="C842" t="str">
        <f>VLOOKUP($A842,[1]Table!$A$2:$N1014,C$1,FALSE)</f>
        <v>PARKINSONMIDDELEN</v>
      </c>
      <c r="D842" t="str">
        <f>VLOOKUP($A842,[1]Table!$A$2:$N1014,D$1,FALSE)</f>
        <v>DOPAMINERGICA</v>
      </c>
      <c r="E842" t="str">
        <f>VLOOKUP($A842,[1]Table!$A$2:$N1014,E$1,FALSE)</f>
        <v>LEVODOPA/CARBIDOPA</v>
      </c>
      <c r="F842" t="str">
        <f>VLOOKUP($A842,[1]Table!$A$2:$N1014,F$1,FALSE)</f>
        <v>SINEMET   50/12,5 MG TABLET</v>
      </c>
      <c r="G842" t="str">
        <f>VLOOKUP($A842,[1]Table!$A$2:$N1014,G$1,FALSE)</f>
        <v>LEVODOPA/CARB 50/12,5 TAB</v>
      </c>
      <c r="H842" t="str">
        <f>VLOOKUP($A842,[1]Table!$A$2:$N1014,H$1,FALSE)</f>
        <v>tablet</v>
      </c>
      <c r="I842" t="str">
        <f>VLOOKUP($A842,[1]Table!$A$2:$N1014,I$1,FALSE)</f>
        <v>or</v>
      </c>
      <c r="J842">
        <f>VLOOKUP($A842,[1]Table!$A$2:$N1014,J$1,FALSE)</f>
        <v>50</v>
      </c>
      <c r="K842" t="str">
        <f>VLOOKUP($A842,[1]Table!$A$2:$N1014,K$1,FALSE)</f>
        <v>mg/stuk</v>
      </c>
      <c r="L842">
        <f>VLOOKUP($A842,[1]Table!$A$2:$N1014,L$1,FALSE)</f>
        <v>50</v>
      </c>
      <c r="M842" t="str">
        <f>VLOOKUP($A842,[1]Table!$A$2:$N1014,M$1,FALSE)</f>
        <v>mg</v>
      </c>
      <c r="N842" t="str">
        <f>VLOOKUP($A842,[1]Table!$A$2:$N1014,N$1,FALSE)</f>
        <v>GTP cyclohydrolase I deficientie (GTPCH); 6 pyruvoyl tetrahydropterin synthase deficientie (PTPS); Dihydropteridine reductase deficientie (DHPR)||Tyrosinehydroxylase deficientie</v>
      </c>
      <c r="O842" t="str">
        <f>ConcatenateRange(AZ842:BU842,"||")</f>
        <v/>
      </c>
      <c r="AZ842" t="str">
        <f t="shared" si="308"/>
        <v/>
      </c>
      <c r="BA842" t="str">
        <f t="shared" si="309"/>
        <v/>
      </c>
      <c r="BB842" t="str">
        <f t="shared" si="310"/>
        <v/>
      </c>
      <c r="BC842" t="str">
        <f t="shared" si="311"/>
        <v/>
      </c>
      <c r="BD842" t="str">
        <f t="shared" si="312"/>
        <v/>
      </c>
      <c r="BE842" t="str">
        <f t="shared" si="313"/>
        <v/>
      </c>
      <c r="BF842" t="str">
        <f t="shared" si="314"/>
        <v/>
      </c>
      <c r="BG842" t="str">
        <f t="shared" si="315"/>
        <v/>
      </c>
      <c r="BH842" t="str">
        <f t="shared" si="316"/>
        <v/>
      </c>
      <c r="BI842" t="str">
        <f t="shared" si="317"/>
        <v/>
      </c>
      <c r="BJ842" t="str">
        <f t="shared" si="318"/>
        <v/>
      </c>
      <c r="BK842" t="str">
        <f t="shared" si="319"/>
        <v/>
      </c>
      <c r="BL842" t="str">
        <f t="shared" si="320"/>
        <v/>
      </c>
      <c r="BM842" t="str">
        <f t="shared" si="321"/>
        <v/>
      </c>
      <c r="BN842" t="str">
        <f t="shared" si="322"/>
        <v/>
      </c>
      <c r="BO842" t="str">
        <f t="shared" si="323"/>
        <v/>
      </c>
      <c r="BP842" t="str">
        <f t="shared" si="324"/>
        <v/>
      </c>
      <c r="BQ842" t="str">
        <f t="shared" si="325"/>
        <v/>
      </c>
      <c r="BR842" t="str">
        <f t="shared" si="326"/>
        <v/>
      </c>
      <c r="BS842" t="str">
        <f t="shared" si="327"/>
        <v/>
      </c>
      <c r="BT842" t="str">
        <f t="shared" si="328"/>
        <v/>
      </c>
      <c r="BU842" t="str">
        <f t="shared" si="329"/>
        <v/>
      </c>
    </row>
    <row r="843" spans="1:73">
      <c r="A843" s="1">
        <v>38318</v>
      </c>
      <c r="B843" t="str">
        <f>VLOOKUP($A843,[1]Table!$A$2:$N1015,B$1,FALSE)</f>
        <v>N04BA02</v>
      </c>
      <c r="C843" t="str">
        <f>VLOOKUP($A843,[1]Table!$A$2:$N1015,C$1,FALSE)</f>
        <v>PARKINSONMIDDELEN</v>
      </c>
      <c r="D843" t="str">
        <f>VLOOKUP($A843,[1]Table!$A$2:$N1015,D$1,FALSE)</f>
        <v>DOPAMINERGICA</v>
      </c>
      <c r="E843" t="str">
        <f>VLOOKUP($A843,[1]Table!$A$2:$N1015,E$1,FALSE)</f>
        <v>LEVODOPA/CARBIDOPA</v>
      </c>
      <c r="F843" t="str">
        <f>VLOOKUP($A843,[1]Table!$A$2:$N1015,F$1,FALSE)</f>
        <v>LEVODOPA/CARBIDOPA 125 TABLET</v>
      </c>
      <c r="G843" t="str">
        <f>VLOOKUP($A843,[1]Table!$A$2:$N1015,G$1,FALSE)</f>
        <v>LEVODOPA/CARB 100/25MG TAB</v>
      </c>
      <c r="H843" t="str">
        <f>VLOOKUP($A843,[1]Table!$A$2:$N1015,H$1,FALSE)</f>
        <v>tablet</v>
      </c>
      <c r="I843" t="str">
        <f>VLOOKUP($A843,[1]Table!$A$2:$N1015,I$1,FALSE)</f>
        <v>or</v>
      </c>
      <c r="J843">
        <f>VLOOKUP($A843,[1]Table!$A$2:$N1015,J$1,FALSE)</f>
        <v>100</v>
      </c>
      <c r="K843" t="str">
        <f>VLOOKUP($A843,[1]Table!$A$2:$N1015,K$1,FALSE)</f>
        <v>mg/stuk</v>
      </c>
      <c r="L843">
        <f>VLOOKUP($A843,[1]Table!$A$2:$N1015,L$1,FALSE)</f>
        <v>50</v>
      </c>
      <c r="M843" t="str">
        <f>VLOOKUP($A843,[1]Table!$A$2:$N1015,M$1,FALSE)</f>
        <v>mg</v>
      </c>
      <c r="N843" t="str">
        <f>VLOOKUP($A843,[1]Table!$A$2:$N1015,N$1,FALSE)</f>
        <v>GTP cyclohydrolase I deficientie (GTPCH); 6 pyruvoyl tetrahydropterin synthase deficientie (PTPS); Dihydropteridine reductase deficientie (DHPR)||Tyrosinehydroxylase deficientie</v>
      </c>
      <c r="O843" t="str">
        <f>ConcatenateRange(AZ843:BU843,"||")</f>
        <v/>
      </c>
      <c r="AZ843" t="str">
        <f t="shared" si="308"/>
        <v/>
      </c>
      <c r="BA843" t="str">
        <f t="shared" si="309"/>
        <v/>
      </c>
      <c r="BB843" t="str">
        <f t="shared" si="310"/>
        <v/>
      </c>
      <c r="BC843" t="str">
        <f t="shared" si="311"/>
        <v/>
      </c>
      <c r="BD843" t="str">
        <f t="shared" si="312"/>
        <v/>
      </c>
      <c r="BE843" t="str">
        <f t="shared" si="313"/>
        <v/>
      </c>
      <c r="BF843" t="str">
        <f t="shared" si="314"/>
        <v/>
      </c>
      <c r="BG843" t="str">
        <f t="shared" si="315"/>
        <v/>
      </c>
      <c r="BH843" t="str">
        <f t="shared" si="316"/>
        <v/>
      </c>
      <c r="BI843" t="str">
        <f t="shared" si="317"/>
        <v/>
      </c>
      <c r="BJ843" t="str">
        <f t="shared" si="318"/>
        <v/>
      </c>
      <c r="BK843" t="str">
        <f t="shared" si="319"/>
        <v/>
      </c>
      <c r="BL843" t="str">
        <f t="shared" si="320"/>
        <v/>
      </c>
      <c r="BM843" t="str">
        <f t="shared" si="321"/>
        <v/>
      </c>
      <c r="BN843" t="str">
        <f t="shared" si="322"/>
        <v/>
      </c>
      <c r="BO843" t="str">
        <f t="shared" si="323"/>
        <v/>
      </c>
      <c r="BP843" t="str">
        <f t="shared" si="324"/>
        <v/>
      </c>
      <c r="BQ843" t="str">
        <f t="shared" si="325"/>
        <v/>
      </c>
      <c r="BR843" t="str">
        <f t="shared" si="326"/>
        <v/>
      </c>
      <c r="BS843" t="str">
        <f t="shared" si="327"/>
        <v/>
      </c>
      <c r="BT843" t="str">
        <f t="shared" si="328"/>
        <v/>
      </c>
      <c r="BU843" t="str">
        <f t="shared" si="329"/>
        <v/>
      </c>
    </row>
    <row r="844" spans="1:73">
      <c r="A844" s="1">
        <v>36609</v>
      </c>
      <c r="B844" t="str">
        <f>VLOOKUP($A844,[1]Table!$A$2:$N1016,B$1,FALSE)</f>
        <v>N04BA02</v>
      </c>
      <c r="C844" t="str">
        <f>VLOOKUP($A844,[1]Table!$A$2:$N1016,C$1,FALSE)</f>
        <v>PARKINSONMIDDELEN</v>
      </c>
      <c r="D844" t="str">
        <f>VLOOKUP($A844,[1]Table!$A$2:$N1016,D$1,FALSE)</f>
        <v>DOPAMINERGICA</v>
      </c>
      <c r="E844" t="str">
        <f>VLOOKUP($A844,[1]Table!$A$2:$N1016,E$1,FALSE)</f>
        <v>LEVODOPA/CARBIDOPA</v>
      </c>
      <c r="F844" t="str">
        <f>VLOOKUP($A844,[1]Table!$A$2:$N1016,F$1,FALSE)</f>
        <v>SINEMET  275 TABLET</v>
      </c>
      <c r="G844" t="str">
        <f>VLOOKUP($A844,[1]Table!$A$2:$N1016,G$1,FALSE)</f>
        <v>LEVODOPA/CARB 250/25MG TAB</v>
      </c>
      <c r="H844" t="str">
        <f>VLOOKUP($A844,[1]Table!$A$2:$N1016,H$1,FALSE)</f>
        <v>tablet</v>
      </c>
      <c r="I844" t="str">
        <f>VLOOKUP($A844,[1]Table!$A$2:$N1016,I$1,FALSE)</f>
        <v>or</v>
      </c>
      <c r="J844">
        <f>VLOOKUP($A844,[1]Table!$A$2:$N1016,J$1,FALSE)</f>
        <v>250</v>
      </c>
      <c r="K844" t="str">
        <f>VLOOKUP($A844,[1]Table!$A$2:$N1016,K$1,FALSE)</f>
        <v>mg/stuk</v>
      </c>
      <c r="L844">
        <f>VLOOKUP($A844,[1]Table!$A$2:$N1016,L$1,FALSE)</f>
        <v>250</v>
      </c>
      <c r="M844" t="str">
        <f>VLOOKUP($A844,[1]Table!$A$2:$N1016,M$1,FALSE)</f>
        <v>mg</v>
      </c>
      <c r="N844" t="str">
        <f>VLOOKUP($A844,[1]Table!$A$2:$N1016,N$1,FALSE)</f>
        <v>GTP cyclohydrolase I deficientie (GTPCH); 6 pyruvoyl tetrahydropterin synthase deficientie (PTPS); Dihydropteridine reductase deficientie (DHPR)||Tyrosinehydroxylase deficientie</v>
      </c>
      <c r="O844" t="str">
        <f>ConcatenateRange(AZ844:BU844,"||")</f>
        <v/>
      </c>
      <c r="AZ844" t="str">
        <f t="shared" si="308"/>
        <v/>
      </c>
      <c r="BA844" t="str">
        <f t="shared" si="309"/>
        <v/>
      </c>
      <c r="BB844" t="str">
        <f t="shared" si="310"/>
        <v/>
      </c>
      <c r="BC844" t="str">
        <f t="shared" si="311"/>
        <v/>
      </c>
      <c r="BD844" t="str">
        <f t="shared" si="312"/>
        <v/>
      </c>
      <c r="BE844" t="str">
        <f t="shared" si="313"/>
        <v/>
      </c>
      <c r="BF844" t="str">
        <f t="shared" si="314"/>
        <v/>
      </c>
      <c r="BG844" t="str">
        <f t="shared" si="315"/>
        <v/>
      </c>
      <c r="BH844" t="str">
        <f t="shared" si="316"/>
        <v/>
      </c>
      <c r="BI844" t="str">
        <f t="shared" si="317"/>
        <v/>
      </c>
      <c r="BJ844" t="str">
        <f t="shared" si="318"/>
        <v/>
      </c>
      <c r="BK844" t="str">
        <f t="shared" si="319"/>
        <v/>
      </c>
      <c r="BL844" t="str">
        <f t="shared" si="320"/>
        <v/>
      </c>
      <c r="BM844" t="str">
        <f t="shared" si="321"/>
        <v/>
      </c>
      <c r="BN844" t="str">
        <f t="shared" si="322"/>
        <v/>
      </c>
      <c r="BO844" t="str">
        <f t="shared" si="323"/>
        <v/>
      </c>
      <c r="BP844" t="str">
        <f t="shared" si="324"/>
        <v/>
      </c>
      <c r="BQ844" t="str">
        <f t="shared" si="325"/>
        <v/>
      </c>
      <c r="BR844" t="str">
        <f t="shared" si="326"/>
        <v/>
      </c>
      <c r="BS844" t="str">
        <f t="shared" si="327"/>
        <v/>
      </c>
      <c r="BT844" t="str">
        <f t="shared" si="328"/>
        <v/>
      </c>
      <c r="BU844" t="str">
        <f t="shared" si="329"/>
        <v/>
      </c>
    </row>
    <row r="845" spans="1:73">
      <c r="A845" s="1">
        <v>86851</v>
      </c>
      <c r="B845" t="str">
        <f>VLOOKUP($A845,[1]Table!$A$2:$N1017,B$1,FALSE)</f>
        <v>N04BA02</v>
      </c>
      <c r="C845" t="str">
        <f>VLOOKUP($A845,[1]Table!$A$2:$N1017,C$1,FALSE)</f>
        <v>PARKINSONMIDDELEN</v>
      </c>
      <c r="D845" t="str">
        <f>VLOOKUP($A845,[1]Table!$A$2:$N1017,D$1,FALSE)</f>
        <v>DOPAMINERGICA</v>
      </c>
      <c r="E845" t="s">
        <v>109</v>
      </c>
      <c r="F845" t="str">
        <f>VLOOKUP($A845,[1]Table!$A$2:$N1017,F$1,FALSE)</f>
        <v>LEVODOPA/CARBIDOPA PCH 125 TABLET (RETARD)</v>
      </c>
      <c r="G845" t="str">
        <f>VLOOKUP($A845,[1]Table!$A$2:$N1017,G$1,FALSE)</f>
        <v>LEVODOPA/CARB 100/25MG TMGA</v>
      </c>
      <c r="H845" t="str">
        <f>VLOOKUP($A845,[1]Table!$A$2:$N1017,H$1,FALSE)</f>
        <v>tablet met gereguleerde afgifte</v>
      </c>
      <c r="I845" t="str">
        <f>VLOOKUP($A845,[1]Table!$A$2:$N1017,I$1,FALSE)</f>
        <v>or</v>
      </c>
      <c r="J845">
        <f>VLOOKUP($A845,[1]Table!$A$2:$N1017,J$1,FALSE)</f>
        <v>100</v>
      </c>
      <c r="K845" t="str">
        <f>VLOOKUP($A845,[1]Table!$A$2:$N1017,K$1,FALSE)</f>
        <v>mg/stuk</v>
      </c>
      <c r="L845">
        <f>VLOOKUP($A845,[1]Table!$A$2:$N1017,L$1,FALSE)</f>
        <v>100</v>
      </c>
      <c r="M845" t="str">
        <f>VLOOKUP($A845,[1]Table!$A$2:$N1017,M$1,FALSE)</f>
        <v>mg</v>
      </c>
      <c r="N845" t="str">
        <f>VLOOKUP($A845,[1]Table!$A$2:$N1017,N$1,FALSE)</f>
        <v>GTP cyclohydrolase I deficientie (GTPCH); 6 pyruvoyl tetrahydropterin synthase deficientie (PTPS); Dihydropteridine reductase deficientie (DHPR)||Tyrosinehydroxylase deficientie</v>
      </c>
      <c r="O845" t="str">
        <f>ConcatenateRange(AZ845:BU845,"||")</f>
        <v/>
      </c>
      <c r="AZ845" t="str">
        <f t="shared" si="308"/>
        <v/>
      </c>
      <c r="BA845" t="str">
        <f t="shared" si="309"/>
        <v/>
      </c>
      <c r="BB845" t="str">
        <f t="shared" si="310"/>
        <v/>
      </c>
      <c r="BC845" t="str">
        <f t="shared" si="311"/>
        <v/>
      </c>
      <c r="BD845" t="str">
        <f t="shared" si="312"/>
        <v/>
      </c>
      <c r="BE845" t="str">
        <f t="shared" si="313"/>
        <v/>
      </c>
      <c r="BF845" t="str">
        <f t="shared" si="314"/>
        <v/>
      </c>
      <c r="BG845" t="str">
        <f t="shared" si="315"/>
        <v/>
      </c>
      <c r="BH845" t="str">
        <f t="shared" si="316"/>
        <v/>
      </c>
      <c r="BI845" t="str">
        <f t="shared" si="317"/>
        <v/>
      </c>
      <c r="BJ845" t="str">
        <f t="shared" si="318"/>
        <v/>
      </c>
      <c r="BK845" t="str">
        <f t="shared" si="319"/>
        <v/>
      </c>
      <c r="BL845" t="str">
        <f t="shared" si="320"/>
        <v/>
      </c>
      <c r="BM845" t="str">
        <f t="shared" si="321"/>
        <v/>
      </c>
      <c r="BN845" t="str">
        <f t="shared" si="322"/>
        <v/>
      </c>
      <c r="BO845" t="str">
        <f t="shared" si="323"/>
        <v/>
      </c>
      <c r="BP845" t="str">
        <f t="shared" si="324"/>
        <v/>
      </c>
      <c r="BQ845" t="str">
        <f t="shared" si="325"/>
        <v/>
      </c>
      <c r="BR845" t="str">
        <f t="shared" si="326"/>
        <v/>
      </c>
      <c r="BS845" t="str">
        <f t="shared" si="327"/>
        <v/>
      </c>
      <c r="BT845" t="str">
        <f t="shared" si="328"/>
        <v/>
      </c>
      <c r="BU845" t="str">
        <f t="shared" si="329"/>
        <v/>
      </c>
    </row>
    <row r="846" spans="1:73">
      <c r="A846" s="1">
        <v>81337</v>
      </c>
      <c r="B846" t="str">
        <f>VLOOKUP($A846,[1]Table!$A$2:$N1018,B$1,FALSE)</f>
        <v>N04BA02</v>
      </c>
      <c r="C846" t="str">
        <f>VLOOKUP($A846,[1]Table!$A$2:$N1018,C$1,FALSE)</f>
        <v>PARKINSONMIDDELEN</v>
      </c>
      <c r="D846" t="str">
        <f>VLOOKUP($A846,[1]Table!$A$2:$N1018,D$1,FALSE)</f>
        <v>DOPAMINERGICA</v>
      </c>
      <c r="E846" t="s">
        <v>109</v>
      </c>
      <c r="F846" t="str">
        <f>VLOOKUP($A846,[1]Table!$A$2:$N1018,F$1,FALSE)</f>
        <v>LEVODOPA/CARBIDOPA 250 MG TABLET (RETARD)</v>
      </c>
      <c r="G846" t="str">
        <f>VLOOKUP($A846,[1]Table!$A$2:$N1018,G$1,FALSE)</f>
        <v>LEVODOPA/CARB 200/50MG TMGA</v>
      </c>
      <c r="H846" t="str">
        <f>VLOOKUP($A846,[1]Table!$A$2:$N1018,H$1,FALSE)</f>
        <v>tablet met gereguleerde afgifte</v>
      </c>
      <c r="I846" t="str">
        <f>VLOOKUP($A846,[1]Table!$A$2:$N1018,I$1,FALSE)</f>
        <v>or</v>
      </c>
      <c r="J846">
        <f>VLOOKUP($A846,[1]Table!$A$2:$N1018,J$1,FALSE)</f>
        <v>200</v>
      </c>
      <c r="K846" t="str">
        <f>VLOOKUP($A846,[1]Table!$A$2:$N1018,K$1,FALSE)</f>
        <v>mg/stuk</v>
      </c>
      <c r="L846">
        <f>VLOOKUP($A846,[1]Table!$A$2:$N1018,L$1,FALSE)</f>
        <v>200</v>
      </c>
      <c r="M846" t="str">
        <f>VLOOKUP($A846,[1]Table!$A$2:$N1018,M$1,FALSE)</f>
        <v>mg</v>
      </c>
      <c r="N846" t="str">
        <f>VLOOKUP($A846,[1]Table!$A$2:$N1018,N$1,FALSE)</f>
        <v>GTP cyclohydrolase I deficientie (GTPCH); 6 pyruvoyl tetrahydropterin synthase deficientie (PTPS); Dihydropteridine reductase deficientie (DHPR)||Tyrosinehydroxylase deficientie</v>
      </c>
      <c r="O846" t="str">
        <f>ConcatenateRange(AZ846:BU846,"||")</f>
        <v/>
      </c>
      <c r="AZ846" t="str">
        <f t="shared" si="308"/>
        <v/>
      </c>
      <c r="BA846" t="str">
        <f t="shared" si="309"/>
        <v/>
      </c>
      <c r="BB846" t="str">
        <f t="shared" si="310"/>
        <v/>
      </c>
      <c r="BC846" t="str">
        <f t="shared" si="311"/>
        <v/>
      </c>
      <c r="BD846" t="str">
        <f t="shared" si="312"/>
        <v/>
      </c>
      <c r="BE846" t="str">
        <f t="shared" si="313"/>
        <v/>
      </c>
      <c r="BF846" t="str">
        <f t="shared" si="314"/>
        <v/>
      </c>
      <c r="BG846" t="str">
        <f t="shared" si="315"/>
        <v/>
      </c>
      <c r="BH846" t="str">
        <f t="shared" si="316"/>
        <v/>
      </c>
      <c r="BI846" t="str">
        <f t="shared" si="317"/>
        <v/>
      </c>
      <c r="BJ846" t="str">
        <f t="shared" si="318"/>
        <v/>
      </c>
      <c r="BK846" t="str">
        <f t="shared" si="319"/>
        <v/>
      </c>
      <c r="BL846" t="str">
        <f t="shared" si="320"/>
        <v/>
      </c>
      <c r="BM846" t="str">
        <f t="shared" si="321"/>
        <v/>
      </c>
      <c r="BN846" t="str">
        <f t="shared" si="322"/>
        <v/>
      </c>
      <c r="BO846" t="str">
        <f t="shared" si="323"/>
        <v/>
      </c>
      <c r="BP846" t="str">
        <f t="shared" si="324"/>
        <v/>
      </c>
      <c r="BQ846" t="str">
        <f t="shared" si="325"/>
        <v/>
      </c>
      <c r="BR846" t="str">
        <f t="shared" si="326"/>
        <v/>
      </c>
      <c r="BS846" t="str">
        <f t="shared" si="327"/>
        <v/>
      </c>
      <c r="BT846" t="str">
        <f t="shared" si="328"/>
        <v/>
      </c>
      <c r="BU846" t="str">
        <f t="shared" si="329"/>
        <v/>
      </c>
    </row>
    <row r="847" spans="1:73">
      <c r="A847" s="1">
        <v>136344</v>
      </c>
      <c r="B847" t="str">
        <f>VLOOKUP($A847,[1]Table!$A$2:$N1019,B$1,FALSE)</f>
        <v>J01MA12</v>
      </c>
      <c r="C847" t="str">
        <f>VLOOKUP($A847,[1]Table!$A$2:$N1019,C$1,FALSE)</f>
        <v>ANTIBACTERIELE MIDDELEN VOOR SYSTEMISCH GEBRUIK</v>
      </c>
      <c r="D847" t="str">
        <f>VLOOKUP($A847,[1]Table!$A$2:$N1019,D$1,FALSE)</f>
        <v>CHINOLONEN</v>
      </c>
      <c r="E847" t="str">
        <f>VLOOKUP($A847,[1]Table!$A$2:$N1019,E$1,FALSE)</f>
        <v>LEVOFLOXACINE</v>
      </c>
      <c r="F847" t="str">
        <f>VLOOKUP($A847,[1]Table!$A$2:$N1019,F$1,FALSE)</f>
        <v>LEVOFLOXACINE  5 MG/ML INFVLST ZAK 100 ML</v>
      </c>
      <c r="G847" t="str">
        <f>VLOOKUP($A847,[1]Table!$A$2:$N1019,G$1,FALSE)</f>
        <v>LEVOFLOXACINE 5MG/ML INFVLS</v>
      </c>
      <c r="H847" t="str">
        <f>VLOOKUP($A847,[1]Table!$A$2:$N1019,H$1,FALSE)</f>
        <v>infusievloeistof</v>
      </c>
      <c r="I847" t="str">
        <f>VLOOKUP($A847,[1]Table!$A$2:$N1019,I$1,FALSE)</f>
        <v>iv</v>
      </c>
      <c r="J847">
        <f>VLOOKUP($A847,[1]Table!$A$2:$N1019,J$1,FALSE)</f>
        <v>5</v>
      </c>
      <c r="K847" t="str">
        <f>VLOOKUP($A847,[1]Table!$A$2:$N1019,K$1,FALSE)</f>
        <v>mg/ml</v>
      </c>
      <c r="L847">
        <f>VLOOKUP($A847,[1]Table!$A$2:$N1019,L$1,FALSE)</f>
        <v>5</v>
      </c>
      <c r="M847" t="str">
        <f>VLOOKUP($A847,[1]Table!$A$2:$N1019,M$1,FALSE)</f>
        <v>mg</v>
      </c>
      <c r="N847" t="str">
        <f>VLOOKUP($A847,[1]Table!$A$2:$N1019,N$1,FALSE)</f>
        <v>Infecties||Ernstige infecties</v>
      </c>
      <c r="O847" t="str">
        <f>ConcatenateRange(AZ847:BU847,"||")</f>
        <v/>
      </c>
      <c r="AZ847" t="str">
        <f t="shared" si="308"/>
        <v/>
      </c>
      <c r="BA847" t="str">
        <f t="shared" si="309"/>
        <v/>
      </c>
      <c r="BB847" t="str">
        <f t="shared" si="310"/>
        <v/>
      </c>
      <c r="BC847" t="str">
        <f t="shared" si="311"/>
        <v/>
      </c>
      <c r="BD847" t="str">
        <f t="shared" si="312"/>
        <v/>
      </c>
      <c r="BE847" t="str">
        <f t="shared" si="313"/>
        <v/>
      </c>
      <c r="BF847" t="str">
        <f t="shared" si="314"/>
        <v/>
      </c>
      <c r="BG847" t="str">
        <f t="shared" si="315"/>
        <v/>
      </c>
      <c r="BH847" t="str">
        <f t="shared" si="316"/>
        <v/>
      </c>
      <c r="BI847" t="str">
        <f t="shared" si="317"/>
        <v/>
      </c>
      <c r="BJ847" t="str">
        <f t="shared" si="318"/>
        <v/>
      </c>
      <c r="BK847" t="str">
        <f t="shared" si="319"/>
        <v/>
      </c>
      <c r="BL847" t="str">
        <f t="shared" si="320"/>
        <v/>
      </c>
      <c r="BM847" t="str">
        <f t="shared" si="321"/>
        <v/>
      </c>
      <c r="BN847" t="str">
        <f t="shared" si="322"/>
        <v/>
      </c>
      <c r="BO847" t="str">
        <f t="shared" si="323"/>
        <v/>
      </c>
      <c r="BP847" t="str">
        <f t="shared" si="324"/>
        <v/>
      </c>
      <c r="BQ847" t="str">
        <f t="shared" si="325"/>
        <v/>
      </c>
      <c r="BR847" t="str">
        <f t="shared" si="326"/>
        <v/>
      </c>
      <c r="BS847" t="str">
        <f t="shared" si="327"/>
        <v/>
      </c>
      <c r="BT847" t="str">
        <f t="shared" si="328"/>
        <v/>
      </c>
      <c r="BU847" t="str">
        <f t="shared" si="329"/>
        <v/>
      </c>
    </row>
    <row r="848" spans="1:73">
      <c r="A848" s="1">
        <v>103926</v>
      </c>
      <c r="B848" t="str">
        <f>VLOOKUP($A848,[1]Table!$A$2:$N1020,B$1,FALSE)</f>
        <v>J01MA12</v>
      </c>
      <c r="C848" t="str">
        <f>VLOOKUP($A848,[1]Table!$A$2:$N1020,C$1,FALSE)</f>
        <v>ANTIBACTERIELE MIDDELEN VOOR SYSTEMISCH GEBRUIK</v>
      </c>
      <c r="D848" t="str">
        <f>VLOOKUP($A848,[1]Table!$A$2:$N1020,D$1,FALSE)</f>
        <v>CHINOLONEN</v>
      </c>
      <c r="E848" t="str">
        <f>VLOOKUP($A848,[1]Table!$A$2:$N1020,E$1,FALSE)</f>
        <v>LEVOFLOXACINE</v>
      </c>
      <c r="F848" t="str">
        <f>VLOOKUP($A848,[1]Table!$A$2:$N1020,F$1,FALSE)</f>
        <v>LEVOFLOXACINE 250 MG TABLET OMHULD</v>
      </c>
      <c r="G848" t="str">
        <f>VLOOKUP($A848,[1]Table!$A$2:$N1020,G$1,FALSE)</f>
        <v>LEVOFLOXACINE 250MG TAB OMH</v>
      </c>
      <c r="H848" t="str">
        <f>VLOOKUP($A848,[1]Table!$A$2:$N1020,H$1,FALSE)</f>
        <v>omhulde tablet</v>
      </c>
      <c r="I848" t="str">
        <f>VLOOKUP($A848,[1]Table!$A$2:$N1020,I$1,FALSE)</f>
        <v>or</v>
      </c>
      <c r="J848">
        <f>VLOOKUP($A848,[1]Table!$A$2:$N1020,J$1,FALSE)</f>
        <v>250</v>
      </c>
      <c r="K848" t="str">
        <f>VLOOKUP($A848,[1]Table!$A$2:$N1020,K$1,FALSE)</f>
        <v>mg/stuk</v>
      </c>
      <c r="L848">
        <f>VLOOKUP($A848,[1]Table!$A$2:$N1020,L$1,FALSE)</f>
        <v>250</v>
      </c>
      <c r="M848" t="str">
        <f>VLOOKUP($A848,[1]Table!$A$2:$N1020,M$1,FALSE)</f>
        <v>mg</v>
      </c>
      <c r="N848" t="str">
        <f>VLOOKUP($A848,[1]Table!$A$2:$N1020,N$1,FALSE)</f>
        <v>Infecties||Ernstige infecties</v>
      </c>
      <c r="O848" t="str">
        <f>ConcatenateRange(AZ848:BU848,"||")</f>
        <v/>
      </c>
      <c r="AZ848" t="str">
        <f t="shared" si="308"/>
        <v/>
      </c>
      <c r="BA848" t="str">
        <f t="shared" si="309"/>
        <v/>
      </c>
      <c r="BB848" t="str">
        <f t="shared" si="310"/>
        <v/>
      </c>
      <c r="BC848" t="str">
        <f t="shared" si="311"/>
        <v/>
      </c>
      <c r="BD848" t="str">
        <f t="shared" si="312"/>
        <v/>
      </c>
      <c r="BE848" t="str">
        <f t="shared" si="313"/>
        <v/>
      </c>
      <c r="BF848" t="str">
        <f t="shared" si="314"/>
        <v/>
      </c>
      <c r="BG848" t="str">
        <f t="shared" si="315"/>
        <v/>
      </c>
      <c r="BH848" t="str">
        <f t="shared" si="316"/>
        <v/>
      </c>
      <c r="BI848" t="str">
        <f t="shared" si="317"/>
        <v/>
      </c>
      <c r="BJ848" t="str">
        <f t="shared" si="318"/>
        <v/>
      </c>
      <c r="BK848" t="str">
        <f t="shared" si="319"/>
        <v/>
      </c>
      <c r="BL848" t="str">
        <f t="shared" si="320"/>
        <v/>
      </c>
      <c r="BM848" t="str">
        <f t="shared" si="321"/>
        <v/>
      </c>
      <c r="BN848" t="str">
        <f t="shared" si="322"/>
        <v/>
      </c>
      <c r="BO848" t="str">
        <f t="shared" si="323"/>
        <v/>
      </c>
      <c r="BP848" t="str">
        <f t="shared" si="324"/>
        <v/>
      </c>
      <c r="BQ848" t="str">
        <f t="shared" si="325"/>
        <v/>
      </c>
      <c r="BR848" t="str">
        <f t="shared" si="326"/>
        <v/>
      </c>
      <c r="BS848" t="str">
        <f t="shared" si="327"/>
        <v/>
      </c>
      <c r="BT848" t="str">
        <f t="shared" si="328"/>
        <v/>
      </c>
      <c r="BU848" t="str">
        <f t="shared" si="329"/>
        <v/>
      </c>
    </row>
    <row r="849" spans="1:73">
      <c r="A849" s="1">
        <v>103934</v>
      </c>
      <c r="B849" t="str">
        <f>VLOOKUP($A849,[1]Table!$A$2:$N1021,B$1,FALSE)</f>
        <v>J01MA12</v>
      </c>
      <c r="C849" t="str">
        <f>VLOOKUP($A849,[1]Table!$A$2:$N1021,C$1,FALSE)</f>
        <v>ANTIBACTERIELE MIDDELEN VOOR SYSTEMISCH GEBRUIK</v>
      </c>
      <c r="D849" t="str">
        <f>VLOOKUP($A849,[1]Table!$A$2:$N1021,D$1,FALSE)</f>
        <v>CHINOLONEN</v>
      </c>
      <c r="E849" t="str">
        <f>VLOOKUP($A849,[1]Table!$A$2:$N1021,E$1,FALSE)</f>
        <v>LEVOFLOXACINE</v>
      </c>
      <c r="F849" t="str">
        <f>VLOOKUP($A849,[1]Table!$A$2:$N1021,F$1,FALSE)</f>
        <v>LEVOFLOXACINE 500 MG TABLET FILMOMHULD</v>
      </c>
      <c r="G849" t="str">
        <f>VLOOKUP($A849,[1]Table!$A$2:$N1021,G$1,FALSE)</f>
        <v>LEVOFLOXACINE 500MG TAB OMH</v>
      </c>
      <c r="H849" t="str">
        <f>VLOOKUP($A849,[1]Table!$A$2:$N1021,H$1,FALSE)</f>
        <v>omhulde tablet</v>
      </c>
      <c r="I849" t="str">
        <f>VLOOKUP($A849,[1]Table!$A$2:$N1021,I$1,FALSE)</f>
        <v>or</v>
      </c>
      <c r="J849">
        <f>VLOOKUP($A849,[1]Table!$A$2:$N1021,J$1,FALSE)</f>
        <v>500</v>
      </c>
      <c r="K849" t="str">
        <f>VLOOKUP($A849,[1]Table!$A$2:$N1021,K$1,FALSE)</f>
        <v>mg/stuk</v>
      </c>
      <c r="L849">
        <f>VLOOKUP($A849,[1]Table!$A$2:$N1021,L$1,FALSE)</f>
        <v>250</v>
      </c>
      <c r="M849" t="str">
        <f>VLOOKUP($A849,[1]Table!$A$2:$N1021,M$1,FALSE)</f>
        <v>mg</v>
      </c>
      <c r="N849" t="str">
        <f>VLOOKUP($A849,[1]Table!$A$2:$N1021,N$1,FALSE)</f>
        <v>Infecties||Ernstige infecties</v>
      </c>
      <c r="O849" t="str">
        <f>ConcatenateRange(AZ849:BU849,"||")</f>
        <v/>
      </c>
      <c r="AZ849" t="str">
        <f t="shared" si="308"/>
        <v/>
      </c>
      <c r="BA849" t="str">
        <f t="shared" si="309"/>
        <v/>
      </c>
      <c r="BB849" t="str">
        <f t="shared" si="310"/>
        <v/>
      </c>
      <c r="BC849" t="str">
        <f t="shared" si="311"/>
        <v/>
      </c>
      <c r="BD849" t="str">
        <f t="shared" si="312"/>
        <v/>
      </c>
      <c r="BE849" t="str">
        <f t="shared" si="313"/>
        <v/>
      </c>
      <c r="BF849" t="str">
        <f t="shared" si="314"/>
        <v/>
      </c>
      <c r="BG849" t="str">
        <f t="shared" si="315"/>
        <v/>
      </c>
      <c r="BH849" t="str">
        <f t="shared" si="316"/>
        <v/>
      </c>
      <c r="BI849" t="str">
        <f t="shared" si="317"/>
        <v/>
      </c>
      <c r="BJ849" t="str">
        <f t="shared" si="318"/>
        <v/>
      </c>
      <c r="BK849" t="str">
        <f t="shared" si="319"/>
        <v/>
      </c>
      <c r="BL849" t="str">
        <f t="shared" si="320"/>
        <v/>
      </c>
      <c r="BM849" t="str">
        <f t="shared" si="321"/>
        <v/>
      </c>
      <c r="BN849" t="str">
        <f t="shared" si="322"/>
        <v/>
      </c>
      <c r="BO849" t="str">
        <f t="shared" si="323"/>
        <v/>
      </c>
      <c r="BP849" t="str">
        <f t="shared" si="324"/>
        <v/>
      </c>
      <c r="BQ849" t="str">
        <f t="shared" si="325"/>
        <v/>
      </c>
      <c r="BR849" t="str">
        <f t="shared" si="326"/>
        <v/>
      </c>
      <c r="BS849" t="str">
        <f t="shared" si="327"/>
        <v/>
      </c>
      <c r="BT849" t="str">
        <f t="shared" si="328"/>
        <v/>
      </c>
      <c r="BU849" t="str">
        <f t="shared" si="329"/>
        <v/>
      </c>
    </row>
    <row r="850" spans="1:73">
      <c r="A850" s="1">
        <v>160806</v>
      </c>
      <c r="B850" t="str">
        <f>VLOOKUP($A850,[1]Table!$A$2:$N1022,B$1,FALSE)</f>
        <v>H03AA01</v>
      </c>
      <c r="C850" t="str">
        <f>VLOOKUP($A850,[1]Table!$A$2:$N1022,C$1,FALSE)</f>
        <v>SCHILDKLIERMIDDELEN</v>
      </c>
      <c r="D850" t="str">
        <f>VLOOKUP($A850,[1]Table!$A$2:$N1022,D$1,FALSE)</f>
        <v>THYREOMIMETICA</v>
      </c>
      <c r="E850" t="str">
        <f>VLOOKUP($A850,[1]Table!$A$2:$N1022,E$1,FALSE)</f>
        <v>LEVOTHYROXINE</v>
      </c>
      <c r="F850" t="str">
        <f>VLOOKUP($A850,[1]Table!$A$2:$N1022,F$1,FALSE)</f>
        <v>TIROSINT 25 MICROG CAPSULE</v>
      </c>
      <c r="G850" t="str">
        <f>VLOOKUP($A850,[1]Table!$A$2:$N1022,G$1,FALSE)</f>
        <v>LEVOTHYROXINE 25UG CAPSULE</v>
      </c>
      <c r="H850" t="str">
        <f>VLOOKUP($A850,[1]Table!$A$2:$N1022,H$1,FALSE)</f>
        <v>capsule</v>
      </c>
      <c r="I850" t="str">
        <f>VLOOKUP($A850,[1]Table!$A$2:$N1022,I$1,FALSE)</f>
        <v>or</v>
      </c>
      <c r="J850">
        <f>VLOOKUP($A850,[1]Table!$A$2:$N1022,J$1,FALSE)</f>
        <v>25</v>
      </c>
      <c r="K850" t="str">
        <f>VLOOKUP($A850,[1]Table!$A$2:$N1022,K$1,FALSE)</f>
        <v>mcg/stuk</v>
      </c>
      <c r="L850">
        <f>VLOOKUP($A850,[1]Table!$A$2:$N1022,L$1,FALSE)</f>
        <v>25</v>
      </c>
      <c r="M850" t="str">
        <f>VLOOKUP($A850,[1]Table!$A$2:$N1022,M$1,FALSE)</f>
        <v>mcg</v>
      </c>
      <c r="N850" t="str">
        <f>VLOOKUP($A850,[1]Table!$A$2:$N1022,N$1,FALSE)</f>
        <v>Hypothyreoidie||Congenitale hypothyreoidie||Suppletie na thyreostatica||Juveniel myxoedeem</v>
      </c>
      <c r="O850" t="str">
        <f>ConcatenateRange(AZ850:BU850,"||")</f>
        <v/>
      </c>
      <c r="AZ850" t="str">
        <f t="shared" si="308"/>
        <v/>
      </c>
      <c r="BA850" t="str">
        <f t="shared" si="309"/>
        <v/>
      </c>
      <c r="BB850" t="str">
        <f t="shared" si="310"/>
        <v/>
      </c>
      <c r="BC850" t="str">
        <f t="shared" si="311"/>
        <v/>
      </c>
      <c r="BD850" t="str">
        <f t="shared" si="312"/>
        <v/>
      </c>
      <c r="BE850" t="str">
        <f t="shared" si="313"/>
        <v/>
      </c>
      <c r="BF850" t="str">
        <f t="shared" si="314"/>
        <v/>
      </c>
      <c r="BG850" t="str">
        <f t="shared" si="315"/>
        <v/>
      </c>
      <c r="BH850" t="str">
        <f t="shared" si="316"/>
        <v/>
      </c>
      <c r="BI850" t="str">
        <f t="shared" si="317"/>
        <v/>
      </c>
      <c r="BJ850" t="str">
        <f t="shared" si="318"/>
        <v/>
      </c>
      <c r="BK850" t="str">
        <f t="shared" si="319"/>
        <v/>
      </c>
      <c r="BL850" t="str">
        <f t="shared" si="320"/>
        <v/>
      </c>
      <c r="BM850" t="str">
        <f t="shared" si="321"/>
        <v/>
      </c>
      <c r="BN850" t="str">
        <f t="shared" si="322"/>
        <v/>
      </c>
      <c r="BO850" t="str">
        <f t="shared" si="323"/>
        <v/>
      </c>
      <c r="BP850" t="str">
        <f t="shared" si="324"/>
        <v/>
      </c>
      <c r="BQ850" t="str">
        <f t="shared" si="325"/>
        <v/>
      </c>
      <c r="BR850" t="str">
        <f t="shared" si="326"/>
        <v/>
      </c>
      <c r="BS850" t="str">
        <f t="shared" si="327"/>
        <v/>
      </c>
      <c r="BT850" t="str">
        <f t="shared" si="328"/>
        <v/>
      </c>
      <c r="BU850" t="str">
        <f t="shared" si="329"/>
        <v/>
      </c>
    </row>
    <row r="851" spans="1:73">
      <c r="A851" s="1">
        <v>42137</v>
      </c>
      <c r="B851" t="str">
        <f>VLOOKUP($A851,[1]Table!$A$2:$N1023,B$1,FALSE)</f>
        <v>H03AA01</v>
      </c>
      <c r="C851" t="str">
        <f>VLOOKUP($A851,[1]Table!$A$2:$N1023,C$1,FALSE)</f>
        <v>SCHILDKLIERMIDDELEN</v>
      </c>
      <c r="D851" t="str">
        <f>VLOOKUP($A851,[1]Table!$A$2:$N1023,D$1,FALSE)</f>
        <v>THYREOMIMETICA</v>
      </c>
      <c r="E851" t="str">
        <f>VLOOKUP($A851,[1]Table!$A$2:$N1023,E$1,FALSE)</f>
        <v>LEVOTHYROXINE</v>
      </c>
      <c r="F851" t="str">
        <f>VLOOKUP($A851,[1]Table!$A$2:$N1023,F$1,FALSE)</f>
        <v>THYRAX DUOTAB 25 MICROG TABLET</v>
      </c>
      <c r="G851" t="str">
        <f>VLOOKUP($A851,[1]Table!$A$2:$N1023,G$1,FALSE)</f>
        <v>LEVOTHYROX 25UG TAB (ZUUR)</v>
      </c>
      <c r="H851" t="str">
        <f>VLOOKUP($A851,[1]Table!$A$2:$N1023,H$1,FALSE)</f>
        <v>tablet</v>
      </c>
      <c r="I851" t="str">
        <f>VLOOKUP($A851,[1]Table!$A$2:$N1023,I$1,FALSE)</f>
        <v>or</v>
      </c>
      <c r="J851">
        <f>VLOOKUP($A851,[1]Table!$A$2:$N1023,J$1,FALSE)</f>
        <v>25</v>
      </c>
      <c r="K851" t="str">
        <f>VLOOKUP($A851,[1]Table!$A$2:$N1023,K$1,FALSE)</f>
        <v>mcg/stuk</v>
      </c>
      <c r="L851">
        <f>VLOOKUP($A851,[1]Table!$A$2:$N1023,L$1,FALSE)</f>
        <v>25</v>
      </c>
      <c r="M851" t="str">
        <f>VLOOKUP($A851,[1]Table!$A$2:$N1023,M$1,FALSE)</f>
        <v>mcg</v>
      </c>
      <c r="N851" t="str">
        <f>VLOOKUP($A851,[1]Table!$A$2:$N1023,N$1,FALSE)</f>
        <v>Hypothyreoidie||Congenitale hypothyreoidie||Suppletie na thyreostatica||Juveniel myxoedeem</v>
      </c>
      <c r="O851" t="str">
        <f>ConcatenateRange(AZ851:BU851,"||")</f>
        <v/>
      </c>
      <c r="AZ851" t="str">
        <f t="shared" si="308"/>
        <v/>
      </c>
      <c r="BA851" t="str">
        <f t="shared" si="309"/>
        <v/>
      </c>
      <c r="BB851" t="str">
        <f t="shared" si="310"/>
        <v/>
      </c>
      <c r="BC851" t="str">
        <f t="shared" si="311"/>
        <v/>
      </c>
      <c r="BD851" t="str">
        <f t="shared" si="312"/>
        <v/>
      </c>
      <c r="BE851" t="str">
        <f t="shared" si="313"/>
        <v/>
      </c>
      <c r="BF851" t="str">
        <f t="shared" si="314"/>
        <v/>
      </c>
      <c r="BG851" t="str">
        <f t="shared" si="315"/>
        <v/>
      </c>
      <c r="BH851" t="str">
        <f t="shared" si="316"/>
        <v/>
      </c>
      <c r="BI851" t="str">
        <f t="shared" si="317"/>
        <v/>
      </c>
      <c r="BJ851" t="str">
        <f t="shared" si="318"/>
        <v/>
      </c>
      <c r="BK851" t="str">
        <f t="shared" si="319"/>
        <v/>
      </c>
      <c r="BL851" t="str">
        <f t="shared" si="320"/>
        <v/>
      </c>
      <c r="BM851" t="str">
        <f t="shared" si="321"/>
        <v/>
      </c>
      <c r="BN851" t="str">
        <f t="shared" si="322"/>
        <v/>
      </c>
      <c r="BO851" t="str">
        <f t="shared" si="323"/>
        <v/>
      </c>
      <c r="BP851" t="str">
        <f t="shared" si="324"/>
        <v/>
      </c>
      <c r="BQ851" t="str">
        <f t="shared" si="325"/>
        <v/>
      </c>
      <c r="BR851" t="str">
        <f t="shared" si="326"/>
        <v/>
      </c>
      <c r="BS851" t="str">
        <f t="shared" si="327"/>
        <v/>
      </c>
      <c r="BT851" t="str">
        <f t="shared" si="328"/>
        <v/>
      </c>
      <c r="BU851" t="str">
        <f t="shared" si="329"/>
        <v/>
      </c>
    </row>
    <row r="852" spans="1:73">
      <c r="A852" s="1">
        <v>64580</v>
      </c>
      <c r="B852" t="str">
        <f>VLOOKUP($A852,[1]Table!$A$2:$N1024,B$1,FALSE)</f>
        <v>H03AA01</v>
      </c>
      <c r="C852" t="str">
        <f>VLOOKUP($A852,[1]Table!$A$2:$N1024,C$1,FALSE)</f>
        <v>SCHILDKLIERMIDDELEN</v>
      </c>
      <c r="D852" t="str">
        <f>VLOOKUP($A852,[1]Table!$A$2:$N1024,D$1,FALSE)</f>
        <v>THYREOMIMETICA</v>
      </c>
      <c r="E852" t="str">
        <f>VLOOKUP($A852,[1]Table!$A$2:$N1024,E$1,FALSE)</f>
        <v>LEVOTHYROXINE</v>
      </c>
      <c r="F852" t="str">
        <f>VLOOKUP($A852,[1]Table!$A$2:$N1024,F$1,FALSE)</f>
        <v>EUTHYROX 25 MICROGRAM TABLET</v>
      </c>
      <c r="G852" t="str">
        <f>VLOOKUP($A852,[1]Table!$A$2:$N1024,G$1,FALSE)</f>
        <v>LEVOTHYROX 25UG TAB (NATR)</v>
      </c>
      <c r="H852" t="str">
        <f>VLOOKUP($A852,[1]Table!$A$2:$N1024,H$1,FALSE)</f>
        <v>tablet</v>
      </c>
      <c r="I852" t="str">
        <f>VLOOKUP($A852,[1]Table!$A$2:$N1024,I$1,FALSE)</f>
        <v>or</v>
      </c>
      <c r="J852">
        <f>VLOOKUP($A852,[1]Table!$A$2:$N1024,J$1,FALSE)</f>
        <v>25</v>
      </c>
      <c r="K852" t="str">
        <f>VLOOKUP($A852,[1]Table!$A$2:$N1024,K$1,FALSE)</f>
        <v>mcg/stuk</v>
      </c>
      <c r="L852">
        <f>VLOOKUP($A852,[1]Table!$A$2:$N1024,L$1,FALSE)</f>
        <v>12.5</v>
      </c>
      <c r="M852" t="str">
        <f>VLOOKUP($A852,[1]Table!$A$2:$N1024,M$1,FALSE)</f>
        <v>mcg</v>
      </c>
      <c r="N852" t="str">
        <f>VLOOKUP($A852,[1]Table!$A$2:$N1024,N$1,FALSE)</f>
        <v>Hypothyreoidie||Congenitale hypothyreoidie||Suppletie na thyreostatica||Juveniel myxoedeem</v>
      </c>
      <c r="O852" t="str">
        <f>ConcatenateRange(AZ852:BU852,"||")</f>
        <v/>
      </c>
      <c r="AZ852" t="str">
        <f t="shared" si="308"/>
        <v/>
      </c>
      <c r="BA852" t="str">
        <f t="shared" si="309"/>
        <v/>
      </c>
      <c r="BB852" t="str">
        <f t="shared" si="310"/>
        <v/>
      </c>
      <c r="BC852" t="str">
        <f t="shared" si="311"/>
        <v/>
      </c>
      <c r="BD852" t="str">
        <f t="shared" si="312"/>
        <v/>
      </c>
      <c r="BE852" t="str">
        <f t="shared" si="313"/>
        <v/>
      </c>
      <c r="BF852" t="str">
        <f t="shared" si="314"/>
        <v/>
      </c>
      <c r="BG852" t="str">
        <f t="shared" si="315"/>
        <v/>
      </c>
      <c r="BH852" t="str">
        <f t="shared" si="316"/>
        <v/>
      </c>
      <c r="BI852" t="str">
        <f t="shared" si="317"/>
        <v/>
      </c>
      <c r="BJ852" t="str">
        <f t="shared" si="318"/>
        <v/>
      </c>
      <c r="BK852" t="str">
        <f t="shared" si="319"/>
        <v/>
      </c>
      <c r="BL852" t="str">
        <f t="shared" si="320"/>
        <v/>
      </c>
      <c r="BM852" t="str">
        <f t="shared" si="321"/>
        <v/>
      </c>
      <c r="BN852" t="str">
        <f t="shared" si="322"/>
        <v/>
      </c>
      <c r="BO852" t="str">
        <f t="shared" si="323"/>
        <v/>
      </c>
      <c r="BP852" t="str">
        <f t="shared" si="324"/>
        <v/>
      </c>
      <c r="BQ852" t="str">
        <f t="shared" si="325"/>
        <v/>
      </c>
      <c r="BR852" t="str">
        <f t="shared" si="326"/>
        <v/>
      </c>
      <c r="BS852" t="str">
        <f t="shared" si="327"/>
        <v/>
      </c>
      <c r="BT852" t="str">
        <f t="shared" si="328"/>
        <v/>
      </c>
      <c r="BU852" t="str">
        <f t="shared" si="329"/>
        <v/>
      </c>
    </row>
    <row r="853" spans="1:73">
      <c r="A853" s="1">
        <v>38628</v>
      </c>
      <c r="B853" t="str">
        <f>VLOOKUP($A853,[1]Table!$A$2:$N1025,B$1,FALSE)</f>
        <v>H03AA01</v>
      </c>
      <c r="C853" t="str">
        <f>VLOOKUP($A853,[1]Table!$A$2:$N1025,C$1,FALSE)</f>
        <v>SCHILDKLIERMIDDELEN</v>
      </c>
      <c r="D853" t="str">
        <f>VLOOKUP($A853,[1]Table!$A$2:$N1025,D$1,FALSE)</f>
        <v>THYREOMIMETICA</v>
      </c>
      <c r="E853" t="str">
        <f>VLOOKUP($A853,[1]Table!$A$2:$N1025,E$1,FALSE)</f>
        <v>LEVOTHYROXINE</v>
      </c>
      <c r="F853" t="str">
        <f>VLOOKUP($A853,[1]Table!$A$2:$N1025,F$1,FALSE)</f>
        <v>ELTROXIN 50 MICROGRAM TABLET</v>
      </c>
      <c r="G853" t="str">
        <f>VLOOKUP($A853,[1]Table!$A$2:$N1025,G$1,FALSE)</f>
        <v>LEVOTHYROX 50UG TAB (NATR)</v>
      </c>
      <c r="H853" t="str">
        <f>VLOOKUP($A853,[1]Table!$A$2:$N1025,H$1,FALSE)</f>
        <v>tablet</v>
      </c>
      <c r="I853" t="str">
        <f>VLOOKUP($A853,[1]Table!$A$2:$N1025,I$1,FALSE)</f>
        <v>or</v>
      </c>
      <c r="J853">
        <f>VLOOKUP($A853,[1]Table!$A$2:$N1025,J$1,FALSE)</f>
        <v>50</v>
      </c>
      <c r="K853" t="str">
        <f>VLOOKUP($A853,[1]Table!$A$2:$N1025,K$1,FALSE)</f>
        <v>mcg/stuk</v>
      </c>
      <c r="L853">
        <f>VLOOKUP($A853,[1]Table!$A$2:$N1025,L$1,FALSE)</f>
        <v>50</v>
      </c>
      <c r="M853" t="str">
        <f>VLOOKUP($A853,[1]Table!$A$2:$N1025,M$1,FALSE)</f>
        <v>mcg</v>
      </c>
      <c r="N853" t="str">
        <f>VLOOKUP($A853,[1]Table!$A$2:$N1025,N$1,FALSE)</f>
        <v>Hypothyreoidie||Congenitale hypothyreoidie||Suppletie na thyreostatica||Juveniel myxoedeem</v>
      </c>
      <c r="O853" t="str">
        <f>ConcatenateRange(AZ853:BU853,"||")</f>
        <v/>
      </c>
      <c r="AZ853" t="str">
        <f t="shared" si="308"/>
        <v/>
      </c>
      <c r="BA853" t="str">
        <f t="shared" si="309"/>
        <v/>
      </c>
      <c r="BB853" t="str">
        <f t="shared" si="310"/>
        <v/>
      </c>
      <c r="BC853" t="str">
        <f t="shared" si="311"/>
        <v/>
      </c>
      <c r="BD853" t="str">
        <f t="shared" si="312"/>
        <v/>
      </c>
      <c r="BE853" t="str">
        <f t="shared" si="313"/>
        <v/>
      </c>
      <c r="BF853" t="str">
        <f t="shared" si="314"/>
        <v/>
      </c>
      <c r="BG853" t="str">
        <f t="shared" si="315"/>
        <v/>
      </c>
      <c r="BH853" t="str">
        <f t="shared" si="316"/>
        <v/>
      </c>
      <c r="BI853" t="str">
        <f t="shared" si="317"/>
        <v/>
      </c>
      <c r="BJ853" t="str">
        <f t="shared" si="318"/>
        <v/>
      </c>
      <c r="BK853" t="str">
        <f t="shared" si="319"/>
        <v/>
      </c>
      <c r="BL853" t="str">
        <f t="shared" si="320"/>
        <v/>
      </c>
      <c r="BM853" t="str">
        <f t="shared" si="321"/>
        <v/>
      </c>
      <c r="BN853" t="str">
        <f t="shared" si="322"/>
        <v/>
      </c>
      <c r="BO853" t="str">
        <f t="shared" si="323"/>
        <v/>
      </c>
      <c r="BP853" t="str">
        <f t="shared" si="324"/>
        <v/>
      </c>
      <c r="BQ853" t="str">
        <f t="shared" si="325"/>
        <v/>
      </c>
      <c r="BR853" t="str">
        <f t="shared" si="326"/>
        <v/>
      </c>
      <c r="BS853" t="str">
        <f t="shared" si="327"/>
        <v/>
      </c>
      <c r="BT853" t="str">
        <f t="shared" si="328"/>
        <v/>
      </c>
      <c r="BU853" t="str">
        <f t="shared" si="329"/>
        <v/>
      </c>
    </row>
    <row r="854" spans="1:73">
      <c r="A854" s="1">
        <v>131946</v>
      </c>
      <c r="B854" t="str">
        <f>VLOOKUP($A854,[1]Table!$A$2:$N1026,B$1,FALSE)</f>
        <v>H03AA01</v>
      </c>
      <c r="C854" t="str">
        <f>VLOOKUP($A854,[1]Table!$A$2:$N1026,C$1,FALSE)</f>
        <v>SCHILDKLIERMIDDELEN</v>
      </c>
      <c r="D854" t="str">
        <f>VLOOKUP($A854,[1]Table!$A$2:$N1026,D$1,FALSE)</f>
        <v>THYREOMIMETICA</v>
      </c>
      <c r="E854" t="str">
        <f>VLOOKUP($A854,[1]Table!$A$2:$N1026,E$1,FALSE)</f>
        <v>LEVOTHYROXINE</v>
      </c>
      <c r="F854" t="str">
        <f>VLOOKUP($A854,[1]Table!$A$2:$N1026,F$1,FALSE)</f>
        <v>EUTHYROX 88 MICROGRAM TABLET</v>
      </c>
      <c r="G854" t="str">
        <f>VLOOKUP($A854,[1]Table!$A$2:$N1026,G$1,FALSE)</f>
        <v>LEVOTHYROXINE 88UG TABLET</v>
      </c>
      <c r="H854" t="str">
        <f>VLOOKUP($A854,[1]Table!$A$2:$N1026,H$1,FALSE)</f>
        <v>tablet</v>
      </c>
      <c r="I854" t="str">
        <f>VLOOKUP($A854,[1]Table!$A$2:$N1026,I$1,FALSE)</f>
        <v>or</v>
      </c>
      <c r="J854">
        <f>VLOOKUP($A854,[1]Table!$A$2:$N1026,J$1,FALSE)</f>
        <v>88</v>
      </c>
      <c r="K854" t="str">
        <f>VLOOKUP($A854,[1]Table!$A$2:$N1026,K$1,FALSE)</f>
        <v>mcg/stuk</v>
      </c>
      <c r="L854">
        <f>VLOOKUP($A854,[1]Table!$A$2:$N1026,L$1,FALSE)</f>
        <v>88</v>
      </c>
      <c r="M854" t="str">
        <f>VLOOKUP($A854,[1]Table!$A$2:$N1026,M$1,FALSE)</f>
        <v>mcg</v>
      </c>
      <c r="N854" t="str">
        <f>VLOOKUP($A854,[1]Table!$A$2:$N1026,N$1,FALSE)</f>
        <v>Hypothyreoidie||Congenitale hypothyreoidie||Suppletie na thyreostatica||Juveniel myxoedeem</v>
      </c>
      <c r="O854" t="str">
        <f>ConcatenateRange(AZ854:BU854,"||")</f>
        <v/>
      </c>
      <c r="AZ854" t="str">
        <f t="shared" si="308"/>
        <v/>
      </c>
      <c r="BA854" t="str">
        <f t="shared" si="309"/>
        <v/>
      </c>
      <c r="BB854" t="str">
        <f t="shared" si="310"/>
        <v/>
      </c>
      <c r="BC854" t="str">
        <f t="shared" si="311"/>
        <v/>
      </c>
      <c r="BD854" t="str">
        <f t="shared" si="312"/>
        <v/>
      </c>
      <c r="BE854" t="str">
        <f t="shared" si="313"/>
        <v/>
      </c>
      <c r="BF854" t="str">
        <f t="shared" si="314"/>
        <v/>
      </c>
      <c r="BG854" t="str">
        <f t="shared" si="315"/>
        <v/>
      </c>
      <c r="BH854" t="str">
        <f t="shared" si="316"/>
        <v/>
      </c>
      <c r="BI854" t="str">
        <f t="shared" si="317"/>
        <v/>
      </c>
      <c r="BJ854" t="str">
        <f t="shared" si="318"/>
        <v/>
      </c>
      <c r="BK854" t="str">
        <f t="shared" si="319"/>
        <v/>
      </c>
      <c r="BL854" t="str">
        <f t="shared" si="320"/>
        <v/>
      </c>
      <c r="BM854" t="str">
        <f t="shared" si="321"/>
        <v/>
      </c>
      <c r="BN854" t="str">
        <f t="shared" si="322"/>
        <v/>
      </c>
      <c r="BO854" t="str">
        <f t="shared" si="323"/>
        <v/>
      </c>
      <c r="BP854" t="str">
        <f t="shared" si="324"/>
        <v/>
      </c>
      <c r="BQ854" t="str">
        <f t="shared" si="325"/>
        <v/>
      </c>
      <c r="BR854" t="str">
        <f t="shared" si="326"/>
        <v/>
      </c>
      <c r="BS854" t="str">
        <f t="shared" si="327"/>
        <v/>
      </c>
      <c r="BT854" t="str">
        <f t="shared" si="328"/>
        <v/>
      </c>
      <c r="BU854" t="str">
        <f t="shared" si="329"/>
        <v/>
      </c>
    </row>
    <row r="855" spans="1:73">
      <c r="A855" s="1">
        <v>38571</v>
      </c>
      <c r="B855" t="str">
        <f>VLOOKUP($A855,[1]Table!$A$2:$N1027,B$1,FALSE)</f>
        <v>H03AA01</v>
      </c>
      <c r="C855" t="str">
        <f>VLOOKUP($A855,[1]Table!$A$2:$N1027,C$1,FALSE)</f>
        <v>SCHILDKLIERMIDDELEN</v>
      </c>
      <c r="D855" t="str">
        <f>VLOOKUP($A855,[1]Table!$A$2:$N1027,D$1,FALSE)</f>
        <v>THYREOMIMETICA</v>
      </c>
      <c r="E855" t="str">
        <f>VLOOKUP($A855,[1]Table!$A$2:$N1027,E$1,FALSE)</f>
        <v>LEVOTHYROXINE</v>
      </c>
      <c r="F855" t="str">
        <f>VLOOKUP($A855,[1]Table!$A$2:$N1027,F$1,FALSE)</f>
        <v>THYRAX DUOTAB 100 MICROG TABLET</v>
      </c>
      <c r="G855" t="str">
        <f>VLOOKUP($A855,[1]Table!$A$2:$N1027,G$1,FALSE)</f>
        <v>LEVOTHYROX 100UG TAB (ZUUR)</v>
      </c>
      <c r="H855" t="str">
        <f>VLOOKUP($A855,[1]Table!$A$2:$N1027,H$1,FALSE)</f>
        <v>tablet</v>
      </c>
      <c r="I855" t="str">
        <f>VLOOKUP($A855,[1]Table!$A$2:$N1027,I$1,FALSE)</f>
        <v>or</v>
      </c>
      <c r="J855">
        <f>VLOOKUP($A855,[1]Table!$A$2:$N1027,J$1,FALSE)</f>
        <v>100</v>
      </c>
      <c r="K855" t="str">
        <f>VLOOKUP($A855,[1]Table!$A$2:$N1027,K$1,FALSE)</f>
        <v>mcg/stuk</v>
      </c>
      <c r="L855">
        <f>VLOOKUP($A855,[1]Table!$A$2:$N1027,L$1,FALSE)</f>
        <v>100</v>
      </c>
      <c r="M855" t="str">
        <f>VLOOKUP($A855,[1]Table!$A$2:$N1027,M$1,FALSE)</f>
        <v>mcg</v>
      </c>
      <c r="N855" t="str">
        <f>VLOOKUP($A855,[1]Table!$A$2:$N1027,N$1,FALSE)</f>
        <v>Hypothyreoidie||Congenitale hypothyreoidie||Suppletie na thyreostatica||Juveniel myxoedeem</v>
      </c>
      <c r="O855" t="str">
        <f>ConcatenateRange(AZ855:BU855,"||")</f>
        <v/>
      </c>
      <c r="AZ855" t="str">
        <f t="shared" si="308"/>
        <v/>
      </c>
      <c r="BA855" t="str">
        <f t="shared" si="309"/>
        <v/>
      </c>
      <c r="BB855" t="str">
        <f t="shared" si="310"/>
        <v/>
      </c>
      <c r="BC855" t="str">
        <f t="shared" si="311"/>
        <v/>
      </c>
      <c r="BD855" t="str">
        <f t="shared" si="312"/>
        <v/>
      </c>
      <c r="BE855" t="str">
        <f t="shared" si="313"/>
        <v/>
      </c>
      <c r="BF855" t="str">
        <f t="shared" si="314"/>
        <v/>
      </c>
      <c r="BG855" t="str">
        <f t="shared" si="315"/>
        <v/>
      </c>
      <c r="BH855" t="str">
        <f t="shared" si="316"/>
        <v/>
      </c>
      <c r="BI855" t="str">
        <f t="shared" si="317"/>
        <v/>
      </c>
      <c r="BJ855" t="str">
        <f t="shared" si="318"/>
        <v/>
      </c>
      <c r="BK855" t="str">
        <f t="shared" si="319"/>
        <v/>
      </c>
      <c r="BL855" t="str">
        <f t="shared" si="320"/>
        <v/>
      </c>
      <c r="BM855" t="str">
        <f t="shared" si="321"/>
        <v/>
      </c>
      <c r="BN855" t="str">
        <f t="shared" si="322"/>
        <v/>
      </c>
      <c r="BO855" t="str">
        <f t="shared" si="323"/>
        <v/>
      </c>
      <c r="BP855" t="str">
        <f t="shared" si="324"/>
        <v/>
      </c>
      <c r="BQ855" t="str">
        <f t="shared" si="325"/>
        <v/>
      </c>
      <c r="BR855" t="str">
        <f t="shared" si="326"/>
        <v/>
      </c>
      <c r="BS855" t="str">
        <f t="shared" si="327"/>
        <v/>
      </c>
      <c r="BT855" t="str">
        <f t="shared" si="328"/>
        <v/>
      </c>
      <c r="BU855" t="str">
        <f t="shared" si="329"/>
        <v/>
      </c>
    </row>
    <row r="856" spans="1:73">
      <c r="A856" s="1">
        <v>38636</v>
      </c>
      <c r="B856" t="str">
        <f>VLOOKUP($A856,[1]Table!$A$2:$N1028,B$1,FALSE)</f>
        <v>H03AA01</v>
      </c>
      <c r="C856" t="str">
        <f>VLOOKUP($A856,[1]Table!$A$2:$N1028,C$1,FALSE)</f>
        <v>SCHILDKLIERMIDDELEN</v>
      </c>
      <c r="D856" t="str">
        <f>VLOOKUP($A856,[1]Table!$A$2:$N1028,D$1,FALSE)</f>
        <v>THYREOMIMETICA</v>
      </c>
      <c r="E856" t="str">
        <f>VLOOKUP($A856,[1]Table!$A$2:$N1028,E$1,FALSE)</f>
        <v>LEVOTHYROXINE</v>
      </c>
      <c r="F856" t="str">
        <f>VLOOKUP($A856,[1]Table!$A$2:$N1028,F$1,FALSE)</f>
        <v>ELTROXIN 100 MICROGRAM TABLET</v>
      </c>
      <c r="G856" t="str">
        <f>VLOOKUP($A856,[1]Table!$A$2:$N1028,G$1,FALSE)</f>
        <v>LEVOTHYROX 100UG TAB (NATR)</v>
      </c>
      <c r="H856" t="str">
        <f>VLOOKUP($A856,[1]Table!$A$2:$N1028,H$1,FALSE)</f>
        <v>tablet</v>
      </c>
      <c r="I856" t="str">
        <f>VLOOKUP($A856,[1]Table!$A$2:$N1028,I$1,FALSE)</f>
        <v>or</v>
      </c>
      <c r="J856">
        <f>VLOOKUP($A856,[1]Table!$A$2:$N1028,J$1,FALSE)</f>
        <v>100</v>
      </c>
      <c r="K856" t="str">
        <f>VLOOKUP($A856,[1]Table!$A$2:$N1028,K$1,FALSE)</f>
        <v>mcg/stuk</v>
      </c>
      <c r="L856">
        <f>VLOOKUP($A856,[1]Table!$A$2:$N1028,L$1,FALSE)</f>
        <v>100</v>
      </c>
      <c r="M856" t="str">
        <f>VLOOKUP($A856,[1]Table!$A$2:$N1028,M$1,FALSE)</f>
        <v>mcg</v>
      </c>
      <c r="N856" t="str">
        <f>VLOOKUP($A856,[1]Table!$A$2:$N1028,N$1,FALSE)</f>
        <v>Hypothyreoidie||Congenitale hypothyreoidie||Suppletie na thyreostatica||Juveniel myxoedeem</v>
      </c>
      <c r="O856" t="str">
        <f>ConcatenateRange(AZ856:BU856,"||")</f>
        <v/>
      </c>
      <c r="AZ856" t="str">
        <f t="shared" si="308"/>
        <v/>
      </c>
      <c r="BA856" t="str">
        <f t="shared" si="309"/>
        <v/>
      </c>
      <c r="BB856" t="str">
        <f t="shared" si="310"/>
        <v/>
      </c>
      <c r="BC856" t="str">
        <f t="shared" si="311"/>
        <v/>
      </c>
      <c r="BD856" t="str">
        <f t="shared" si="312"/>
        <v/>
      </c>
      <c r="BE856" t="str">
        <f t="shared" si="313"/>
        <v/>
      </c>
      <c r="BF856" t="str">
        <f t="shared" si="314"/>
        <v/>
      </c>
      <c r="BG856" t="str">
        <f t="shared" si="315"/>
        <v/>
      </c>
      <c r="BH856" t="str">
        <f t="shared" si="316"/>
        <v/>
      </c>
      <c r="BI856" t="str">
        <f t="shared" si="317"/>
        <v/>
      </c>
      <c r="BJ856" t="str">
        <f t="shared" si="318"/>
        <v/>
      </c>
      <c r="BK856" t="str">
        <f t="shared" si="319"/>
        <v/>
      </c>
      <c r="BL856" t="str">
        <f t="shared" si="320"/>
        <v/>
      </c>
      <c r="BM856" t="str">
        <f t="shared" si="321"/>
        <v/>
      </c>
      <c r="BN856" t="str">
        <f t="shared" si="322"/>
        <v/>
      </c>
      <c r="BO856" t="str">
        <f t="shared" si="323"/>
        <v/>
      </c>
      <c r="BP856" t="str">
        <f t="shared" si="324"/>
        <v/>
      </c>
      <c r="BQ856" t="str">
        <f t="shared" si="325"/>
        <v/>
      </c>
      <c r="BR856" t="str">
        <f t="shared" si="326"/>
        <v/>
      </c>
      <c r="BS856" t="str">
        <f t="shared" si="327"/>
        <v/>
      </c>
      <c r="BT856" t="str">
        <f t="shared" si="328"/>
        <v/>
      </c>
      <c r="BU856" t="str">
        <f t="shared" si="329"/>
        <v/>
      </c>
    </row>
    <row r="857" spans="1:73">
      <c r="A857" s="1">
        <v>131954</v>
      </c>
      <c r="B857" t="str">
        <f>VLOOKUP($A857,[1]Table!$A$2:$N1029,B$1,FALSE)</f>
        <v>H03AA01</v>
      </c>
      <c r="C857" t="str">
        <f>VLOOKUP($A857,[1]Table!$A$2:$N1029,C$1,FALSE)</f>
        <v>SCHILDKLIERMIDDELEN</v>
      </c>
      <c r="D857" t="str">
        <f>VLOOKUP($A857,[1]Table!$A$2:$N1029,D$1,FALSE)</f>
        <v>THYREOMIMETICA</v>
      </c>
      <c r="E857" t="str">
        <f>VLOOKUP($A857,[1]Table!$A$2:$N1029,E$1,FALSE)</f>
        <v>LEVOTHYROXINE</v>
      </c>
      <c r="F857" t="str">
        <f>VLOOKUP($A857,[1]Table!$A$2:$N1029,F$1,FALSE)</f>
        <v>EUTHYROX 112 MICROGRAM TABLET</v>
      </c>
      <c r="G857" t="str">
        <f>VLOOKUP($A857,[1]Table!$A$2:$N1029,G$1,FALSE)</f>
        <v>LEVOTHYROXINE 112UG TABLET</v>
      </c>
      <c r="H857" t="str">
        <f>VLOOKUP($A857,[1]Table!$A$2:$N1029,H$1,FALSE)</f>
        <v>tablet</v>
      </c>
      <c r="I857" t="str">
        <f>VLOOKUP($A857,[1]Table!$A$2:$N1029,I$1,FALSE)</f>
        <v>or</v>
      </c>
      <c r="J857">
        <f>VLOOKUP($A857,[1]Table!$A$2:$N1029,J$1,FALSE)</f>
        <v>112</v>
      </c>
      <c r="K857" t="str">
        <f>VLOOKUP($A857,[1]Table!$A$2:$N1029,K$1,FALSE)</f>
        <v>mcg/stuk</v>
      </c>
      <c r="L857">
        <f>VLOOKUP($A857,[1]Table!$A$2:$N1029,L$1,FALSE)</f>
        <v>112</v>
      </c>
      <c r="M857" t="str">
        <f>VLOOKUP($A857,[1]Table!$A$2:$N1029,M$1,FALSE)</f>
        <v>mcg</v>
      </c>
      <c r="N857" t="str">
        <f>VLOOKUP($A857,[1]Table!$A$2:$N1029,N$1,FALSE)</f>
        <v>Hypothyreoidie||Congenitale hypothyreoidie||Suppletie na thyreostatica||Juveniel myxoedeem</v>
      </c>
      <c r="O857" t="str">
        <f>ConcatenateRange(AZ857:BU857,"||")</f>
        <v/>
      </c>
      <c r="AZ857" t="str">
        <f t="shared" si="308"/>
        <v/>
      </c>
      <c r="BA857" t="str">
        <f t="shared" si="309"/>
        <v/>
      </c>
      <c r="BB857" t="str">
        <f t="shared" si="310"/>
        <v/>
      </c>
      <c r="BC857" t="str">
        <f t="shared" si="311"/>
        <v/>
      </c>
      <c r="BD857" t="str">
        <f t="shared" si="312"/>
        <v/>
      </c>
      <c r="BE857" t="str">
        <f t="shared" si="313"/>
        <v/>
      </c>
      <c r="BF857" t="str">
        <f t="shared" si="314"/>
        <v/>
      </c>
      <c r="BG857" t="str">
        <f t="shared" si="315"/>
        <v/>
      </c>
      <c r="BH857" t="str">
        <f t="shared" si="316"/>
        <v/>
      </c>
      <c r="BI857" t="str">
        <f t="shared" si="317"/>
        <v/>
      </c>
      <c r="BJ857" t="str">
        <f t="shared" si="318"/>
        <v/>
      </c>
      <c r="BK857" t="str">
        <f t="shared" si="319"/>
        <v/>
      </c>
      <c r="BL857" t="str">
        <f t="shared" si="320"/>
        <v/>
      </c>
      <c r="BM857" t="str">
        <f t="shared" si="321"/>
        <v/>
      </c>
      <c r="BN857" t="str">
        <f t="shared" si="322"/>
        <v/>
      </c>
      <c r="BO857" t="str">
        <f t="shared" si="323"/>
        <v/>
      </c>
      <c r="BP857" t="str">
        <f t="shared" si="324"/>
        <v/>
      </c>
      <c r="BQ857" t="str">
        <f t="shared" si="325"/>
        <v/>
      </c>
      <c r="BR857" t="str">
        <f t="shared" si="326"/>
        <v/>
      </c>
      <c r="BS857" t="str">
        <f t="shared" si="327"/>
        <v/>
      </c>
      <c r="BT857" t="str">
        <f t="shared" si="328"/>
        <v/>
      </c>
      <c r="BU857" t="str">
        <f t="shared" si="329"/>
        <v/>
      </c>
    </row>
    <row r="858" spans="1:73">
      <c r="A858" s="1">
        <v>87823</v>
      </c>
      <c r="B858" t="str">
        <f>VLOOKUP($A858,[1]Table!$A$2:$N1030,B$1,FALSE)</f>
        <v>H03AA01</v>
      </c>
      <c r="C858" t="str">
        <f>VLOOKUP($A858,[1]Table!$A$2:$N1030,C$1,FALSE)</f>
        <v>SCHILDKLIERMIDDELEN</v>
      </c>
      <c r="D858" t="str">
        <f>VLOOKUP($A858,[1]Table!$A$2:$N1030,D$1,FALSE)</f>
        <v>THYREOMIMETICA</v>
      </c>
      <c r="E858" t="str">
        <f>VLOOKUP($A858,[1]Table!$A$2:$N1030,E$1,FALSE)</f>
        <v>LEVOTHYROXINE</v>
      </c>
      <c r="F858" t="str">
        <f>VLOOKUP($A858,[1]Table!$A$2:$N1030,F$1,FALSE)</f>
        <v>EUTHYROX 125  MICROGRAM TABLET</v>
      </c>
      <c r="G858" t="str">
        <f>VLOOKUP($A858,[1]Table!$A$2:$N1030,G$1,FALSE)</f>
        <v>LEVOTHYROX 125UG TAB (NATR)</v>
      </c>
      <c r="H858" t="str">
        <f>VLOOKUP($A858,[1]Table!$A$2:$N1030,H$1,FALSE)</f>
        <v>tablet</v>
      </c>
      <c r="I858" t="str">
        <f>VLOOKUP($A858,[1]Table!$A$2:$N1030,I$1,FALSE)</f>
        <v>or</v>
      </c>
      <c r="J858">
        <f>VLOOKUP($A858,[1]Table!$A$2:$N1030,J$1,FALSE)</f>
        <v>125</v>
      </c>
      <c r="K858" t="str">
        <f>VLOOKUP($A858,[1]Table!$A$2:$N1030,K$1,FALSE)</f>
        <v>mcg/stuk</v>
      </c>
      <c r="L858">
        <f>VLOOKUP($A858,[1]Table!$A$2:$N1030,L$1,FALSE)</f>
        <v>125</v>
      </c>
      <c r="M858" t="str">
        <f>VLOOKUP($A858,[1]Table!$A$2:$N1030,M$1,FALSE)</f>
        <v>mcg</v>
      </c>
      <c r="N858" t="str">
        <f>VLOOKUP($A858,[1]Table!$A$2:$N1030,N$1,FALSE)</f>
        <v>Hypothyreoidie||Congenitale hypothyreoidie||Suppletie na thyreostatica||Juveniel myxoedeem</v>
      </c>
      <c r="O858" t="str">
        <f>ConcatenateRange(AZ858:BU858,"||")</f>
        <v/>
      </c>
      <c r="AZ858" t="str">
        <f t="shared" ref="AZ858:AZ918" si="330">IF(AA858&lt;&gt;0,AA$2,"")</f>
        <v/>
      </c>
      <c r="BA858" t="str">
        <f t="shared" ref="BA858:BA918" si="331">IF(AB858&lt;&gt;0,AB$2,"")</f>
        <v/>
      </c>
      <c r="BB858" t="str">
        <f t="shared" ref="BB858:BB918" si="332">IF(AC858&lt;&gt;0,AC$2,"")</f>
        <v/>
      </c>
      <c r="BC858" t="str">
        <f t="shared" ref="BC858:BC918" si="333">IF(AD858&lt;&gt;0,AD$2,"")</f>
        <v/>
      </c>
      <c r="BD858" t="str">
        <f t="shared" ref="BD858:BD918" si="334">IF(AE858&lt;&gt;0,AE$2,"")</f>
        <v/>
      </c>
      <c r="BE858" t="str">
        <f t="shared" ref="BE858:BE918" si="335">IF(AF858&lt;&gt;0,AF$2,"")</f>
        <v/>
      </c>
      <c r="BF858" t="str">
        <f t="shared" ref="BF858:BF918" si="336">IF(AG858&lt;&gt;0,AG$2,"")</f>
        <v/>
      </c>
      <c r="BG858" t="str">
        <f t="shared" ref="BG858:BG918" si="337">IF(AH858&lt;&gt;0,AH$2,"")</f>
        <v/>
      </c>
      <c r="BH858" t="str">
        <f t="shared" ref="BH858:BH918" si="338">IF(AI858&lt;&gt;0,AI$2,"")</f>
        <v/>
      </c>
      <c r="BI858" t="str">
        <f t="shared" ref="BI858:BI918" si="339">IF(AJ858&lt;&gt;0,AJ$2,"")</f>
        <v/>
      </c>
      <c r="BJ858" t="str">
        <f t="shared" ref="BJ858:BJ918" si="340">IF(AK858&lt;&gt;0,AK$2,"")</f>
        <v/>
      </c>
      <c r="BK858" t="str">
        <f t="shared" ref="BK858:BK918" si="341">IF(AL858&lt;&gt;0,AL$2,"")</f>
        <v/>
      </c>
      <c r="BL858" t="str">
        <f t="shared" ref="BL858:BL918" si="342">IF(AM858&lt;&gt;0,AM$2,"")</f>
        <v/>
      </c>
      <c r="BM858" t="str">
        <f t="shared" ref="BM858:BM918" si="343">IF(AN858&lt;&gt;0,AN$2,"")</f>
        <v/>
      </c>
      <c r="BN858" t="str">
        <f t="shared" ref="BN858:BN918" si="344">IF(AO858&lt;&gt;0,AO$2,"")</f>
        <v/>
      </c>
      <c r="BO858" t="str">
        <f t="shared" ref="BO858:BO918" si="345">IF(AP858&lt;&gt;0,AP$2,"")</f>
        <v/>
      </c>
      <c r="BP858" t="str">
        <f t="shared" ref="BP858:BP918" si="346">IF(AQ858&lt;&gt;0,AQ$2,"")</f>
        <v/>
      </c>
      <c r="BQ858" t="str">
        <f t="shared" ref="BQ858:BQ918" si="347">IF(AR858&lt;&gt;0,AR$2,"")</f>
        <v/>
      </c>
      <c r="BR858" t="str">
        <f t="shared" ref="BR858:BR918" si="348">IF(AS858&lt;&gt;0,AS$2,"")</f>
        <v/>
      </c>
      <c r="BS858" t="str">
        <f t="shared" ref="BS858:BS918" si="349">IF(AT858&lt;&gt;0,AT$2,"")</f>
        <v/>
      </c>
      <c r="BT858" t="str">
        <f t="shared" ref="BT858:BT918" si="350">IF(AU858&lt;&gt;0,AU$2,"")</f>
        <v/>
      </c>
      <c r="BU858" t="str">
        <f t="shared" ref="BU858:BU918" si="351">IF(AV858&lt;&gt;0,AV$2,"")</f>
        <v/>
      </c>
    </row>
    <row r="859" spans="1:73">
      <c r="A859" s="1">
        <v>131962</v>
      </c>
      <c r="B859" t="str">
        <f>VLOOKUP($A859,[1]Table!$A$2:$N1031,B$1,FALSE)</f>
        <v>H03AA01</v>
      </c>
      <c r="C859" t="str">
        <f>VLOOKUP($A859,[1]Table!$A$2:$N1031,C$1,FALSE)</f>
        <v>SCHILDKLIERMIDDELEN</v>
      </c>
      <c r="D859" t="str">
        <f>VLOOKUP($A859,[1]Table!$A$2:$N1031,D$1,FALSE)</f>
        <v>THYREOMIMETICA</v>
      </c>
      <c r="E859" t="str">
        <f>VLOOKUP($A859,[1]Table!$A$2:$N1031,E$1,FALSE)</f>
        <v>LEVOTHYROXINE</v>
      </c>
      <c r="F859" t="str">
        <f>VLOOKUP($A859,[1]Table!$A$2:$N1031,F$1,FALSE)</f>
        <v>EUTHYROX  137 MICROGRAM TABLET</v>
      </c>
      <c r="G859" t="str">
        <f>VLOOKUP($A859,[1]Table!$A$2:$N1031,G$1,FALSE)</f>
        <v>LEVOTHYROXINE 137UG TABLET</v>
      </c>
      <c r="H859" t="str">
        <f>VLOOKUP($A859,[1]Table!$A$2:$N1031,H$1,FALSE)</f>
        <v>tablet</v>
      </c>
      <c r="I859" t="str">
        <f>VLOOKUP($A859,[1]Table!$A$2:$N1031,I$1,FALSE)</f>
        <v>or</v>
      </c>
      <c r="J859">
        <f>VLOOKUP($A859,[1]Table!$A$2:$N1031,J$1,FALSE)</f>
        <v>137</v>
      </c>
      <c r="K859" t="str">
        <f>VLOOKUP($A859,[1]Table!$A$2:$N1031,K$1,FALSE)</f>
        <v>mcg/stuk</v>
      </c>
      <c r="L859">
        <f>VLOOKUP($A859,[1]Table!$A$2:$N1031,L$1,FALSE)</f>
        <v>68.5</v>
      </c>
      <c r="M859" t="str">
        <f>VLOOKUP($A859,[1]Table!$A$2:$N1031,M$1,FALSE)</f>
        <v>mcg</v>
      </c>
      <c r="N859" t="str">
        <f>VLOOKUP($A859,[1]Table!$A$2:$N1031,N$1,FALSE)</f>
        <v>Hypothyreoidie||Congenitale hypothyreoidie||Suppletie na thyreostatica||Juveniel myxoedeem</v>
      </c>
      <c r="O859" t="str">
        <f>ConcatenateRange(AZ859:BU859,"||")</f>
        <v/>
      </c>
      <c r="AZ859" t="str">
        <f t="shared" si="330"/>
        <v/>
      </c>
      <c r="BA859" t="str">
        <f t="shared" si="331"/>
        <v/>
      </c>
      <c r="BB859" t="str">
        <f t="shared" si="332"/>
        <v/>
      </c>
      <c r="BC859" t="str">
        <f t="shared" si="333"/>
        <v/>
      </c>
      <c r="BD859" t="str">
        <f t="shared" si="334"/>
        <v/>
      </c>
      <c r="BE859" t="str">
        <f t="shared" si="335"/>
        <v/>
      </c>
      <c r="BF859" t="str">
        <f t="shared" si="336"/>
        <v/>
      </c>
      <c r="BG859" t="str">
        <f t="shared" si="337"/>
        <v/>
      </c>
      <c r="BH859" t="str">
        <f t="shared" si="338"/>
        <v/>
      </c>
      <c r="BI859" t="str">
        <f t="shared" si="339"/>
        <v/>
      </c>
      <c r="BJ859" t="str">
        <f t="shared" si="340"/>
        <v/>
      </c>
      <c r="BK859" t="str">
        <f t="shared" si="341"/>
        <v/>
      </c>
      <c r="BL859" t="str">
        <f t="shared" si="342"/>
        <v/>
      </c>
      <c r="BM859" t="str">
        <f t="shared" si="343"/>
        <v/>
      </c>
      <c r="BN859" t="str">
        <f t="shared" si="344"/>
        <v/>
      </c>
      <c r="BO859" t="str">
        <f t="shared" si="345"/>
        <v/>
      </c>
      <c r="BP859" t="str">
        <f t="shared" si="346"/>
        <v/>
      </c>
      <c r="BQ859" t="str">
        <f t="shared" si="347"/>
        <v/>
      </c>
      <c r="BR859" t="str">
        <f t="shared" si="348"/>
        <v/>
      </c>
      <c r="BS859" t="str">
        <f t="shared" si="349"/>
        <v/>
      </c>
      <c r="BT859" t="str">
        <f t="shared" si="350"/>
        <v/>
      </c>
      <c r="BU859" t="str">
        <f t="shared" si="351"/>
        <v/>
      </c>
    </row>
    <row r="860" spans="1:73">
      <c r="A860" s="1">
        <v>77801</v>
      </c>
      <c r="B860" t="str">
        <f>VLOOKUP($A860,[1]Table!$A$2:$N1032,B$1,FALSE)</f>
        <v>H03AA01</v>
      </c>
      <c r="C860" t="str">
        <f>VLOOKUP($A860,[1]Table!$A$2:$N1032,C$1,FALSE)</f>
        <v>SCHILDKLIERMIDDELEN</v>
      </c>
      <c r="D860" t="str">
        <f>VLOOKUP($A860,[1]Table!$A$2:$N1032,D$1,FALSE)</f>
        <v>THYREOMIMETICA</v>
      </c>
      <c r="E860" t="str">
        <f>VLOOKUP($A860,[1]Table!$A$2:$N1032,E$1,FALSE)</f>
        <v>LEVOTHYROXINE</v>
      </c>
      <c r="F860" t="str">
        <f>VLOOKUP($A860,[1]Table!$A$2:$N1032,F$1,FALSE)</f>
        <v>THYRAX DUOTAB 150 MICROGRAM TABLET</v>
      </c>
      <c r="G860" t="str">
        <f>VLOOKUP($A860,[1]Table!$A$2:$N1032,G$1,FALSE)</f>
        <v>LEVOTHYROX 150UG TAB (ZUUR)</v>
      </c>
      <c r="H860" t="str">
        <f>VLOOKUP($A860,[1]Table!$A$2:$N1032,H$1,FALSE)</f>
        <v>tablet</v>
      </c>
      <c r="I860" t="str">
        <f>VLOOKUP($A860,[1]Table!$A$2:$N1032,I$1,FALSE)</f>
        <v>or</v>
      </c>
      <c r="J860">
        <f>VLOOKUP($A860,[1]Table!$A$2:$N1032,J$1,FALSE)</f>
        <v>150</v>
      </c>
      <c r="K860" t="str">
        <f>VLOOKUP($A860,[1]Table!$A$2:$N1032,K$1,FALSE)</f>
        <v>mcg/stuk</v>
      </c>
      <c r="L860">
        <f>VLOOKUP($A860,[1]Table!$A$2:$N1032,L$1,FALSE)</f>
        <v>150</v>
      </c>
      <c r="M860" t="str">
        <f>VLOOKUP($A860,[1]Table!$A$2:$N1032,M$1,FALSE)</f>
        <v>mcg</v>
      </c>
      <c r="N860" t="str">
        <f>VLOOKUP($A860,[1]Table!$A$2:$N1032,N$1,FALSE)</f>
        <v>Hypothyreoidie||Congenitale hypothyreoidie||Suppletie na thyreostatica||Juveniel myxoedeem</v>
      </c>
      <c r="O860" t="str">
        <f>ConcatenateRange(AZ860:BU860,"||")</f>
        <v/>
      </c>
      <c r="AZ860" t="str">
        <f t="shared" si="330"/>
        <v/>
      </c>
      <c r="BA860" t="str">
        <f t="shared" si="331"/>
        <v/>
      </c>
      <c r="BB860" t="str">
        <f t="shared" si="332"/>
        <v/>
      </c>
      <c r="BC860" t="str">
        <f t="shared" si="333"/>
        <v/>
      </c>
      <c r="BD860" t="str">
        <f t="shared" si="334"/>
        <v/>
      </c>
      <c r="BE860" t="str">
        <f t="shared" si="335"/>
        <v/>
      </c>
      <c r="BF860" t="str">
        <f t="shared" si="336"/>
        <v/>
      </c>
      <c r="BG860" t="str">
        <f t="shared" si="337"/>
        <v/>
      </c>
      <c r="BH860" t="str">
        <f t="shared" si="338"/>
        <v/>
      </c>
      <c r="BI860" t="str">
        <f t="shared" si="339"/>
        <v/>
      </c>
      <c r="BJ860" t="str">
        <f t="shared" si="340"/>
        <v/>
      </c>
      <c r="BK860" t="str">
        <f t="shared" si="341"/>
        <v/>
      </c>
      <c r="BL860" t="str">
        <f t="shared" si="342"/>
        <v/>
      </c>
      <c r="BM860" t="str">
        <f t="shared" si="343"/>
        <v/>
      </c>
      <c r="BN860" t="str">
        <f t="shared" si="344"/>
        <v/>
      </c>
      <c r="BO860" t="str">
        <f t="shared" si="345"/>
        <v/>
      </c>
      <c r="BP860" t="str">
        <f t="shared" si="346"/>
        <v/>
      </c>
      <c r="BQ860" t="str">
        <f t="shared" si="347"/>
        <v/>
      </c>
      <c r="BR860" t="str">
        <f t="shared" si="348"/>
        <v/>
      </c>
      <c r="BS860" t="str">
        <f t="shared" si="349"/>
        <v/>
      </c>
      <c r="BT860" t="str">
        <f t="shared" si="350"/>
        <v/>
      </c>
      <c r="BU860" t="str">
        <f t="shared" si="351"/>
        <v/>
      </c>
    </row>
    <row r="861" spans="1:73">
      <c r="A861" s="1">
        <v>114669</v>
      </c>
      <c r="B861" t="str">
        <f>VLOOKUP($A861,[1]Table!$A$2:$N1033,B$1,FALSE)</f>
        <v>H03AA01</v>
      </c>
      <c r="C861" t="str">
        <f>VLOOKUP($A861,[1]Table!$A$2:$N1033,C$1,FALSE)</f>
        <v>SCHILDKLIERMIDDELEN</v>
      </c>
      <c r="D861" t="str">
        <f>VLOOKUP($A861,[1]Table!$A$2:$N1033,D$1,FALSE)</f>
        <v>THYREOMIMETICA</v>
      </c>
      <c r="E861" t="str">
        <f>VLOOKUP($A861,[1]Table!$A$2:$N1033,E$1,FALSE)</f>
        <v>LEVOTHYROXINE</v>
      </c>
      <c r="F861" t="str">
        <f>VLOOKUP($A861,[1]Table!$A$2:$N1033,F$1,FALSE)</f>
        <v>EUTHYROX 175 MICROGRAM TABLET</v>
      </c>
      <c r="G861" t="str">
        <f>VLOOKUP($A861,[1]Table!$A$2:$N1033,G$1,FALSE)</f>
        <v>LEVOTHYROX 175UG TAB (NATR)</v>
      </c>
      <c r="H861" t="str">
        <f>VLOOKUP($A861,[1]Table!$A$2:$N1033,H$1,FALSE)</f>
        <v>tablet</v>
      </c>
      <c r="I861" t="str">
        <f>VLOOKUP($A861,[1]Table!$A$2:$N1033,I$1,FALSE)</f>
        <v>or</v>
      </c>
      <c r="J861">
        <f>VLOOKUP($A861,[1]Table!$A$2:$N1033,J$1,FALSE)</f>
        <v>175</v>
      </c>
      <c r="K861" t="str">
        <f>VLOOKUP($A861,[1]Table!$A$2:$N1033,K$1,FALSE)</f>
        <v>mcg/stuk</v>
      </c>
      <c r="L861">
        <f>VLOOKUP($A861,[1]Table!$A$2:$N1033,L$1,FALSE)</f>
        <v>175</v>
      </c>
      <c r="M861" t="str">
        <f>VLOOKUP($A861,[1]Table!$A$2:$N1033,M$1,FALSE)</f>
        <v>mcg</v>
      </c>
      <c r="N861" t="str">
        <f>VLOOKUP($A861,[1]Table!$A$2:$N1033,N$1,FALSE)</f>
        <v>Hypothyreoidie||Congenitale hypothyreoidie||Suppletie na thyreostatica||Juveniel myxoedeem</v>
      </c>
      <c r="O861" t="str">
        <f>ConcatenateRange(AZ861:BU861,"||")</f>
        <v/>
      </c>
      <c r="AZ861" t="str">
        <f t="shared" si="330"/>
        <v/>
      </c>
      <c r="BA861" t="str">
        <f t="shared" si="331"/>
        <v/>
      </c>
      <c r="BB861" t="str">
        <f t="shared" si="332"/>
        <v/>
      </c>
      <c r="BC861" t="str">
        <f t="shared" si="333"/>
        <v/>
      </c>
      <c r="BD861" t="str">
        <f t="shared" si="334"/>
        <v/>
      </c>
      <c r="BE861" t="str">
        <f t="shared" si="335"/>
        <v/>
      </c>
      <c r="BF861" t="str">
        <f t="shared" si="336"/>
        <v/>
      </c>
      <c r="BG861" t="str">
        <f t="shared" si="337"/>
        <v/>
      </c>
      <c r="BH861" t="str">
        <f t="shared" si="338"/>
        <v/>
      </c>
      <c r="BI861" t="str">
        <f t="shared" si="339"/>
        <v/>
      </c>
      <c r="BJ861" t="str">
        <f t="shared" si="340"/>
        <v/>
      </c>
      <c r="BK861" t="str">
        <f t="shared" si="341"/>
        <v/>
      </c>
      <c r="BL861" t="str">
        <f t="shared" si="342"/>
        <v/>
      </c>
      <c r="BM861" t="str">
        <f t="shared" si="343"/>
        <v/>
      </c>
      <c r="BN861" t="str">
        <f t="shared" si="344"/>
        <v/>
      </c>
      <c r="BO861" t="str">
        <f t="shared" si="345"/>
        <v/>
      </c>
      <c r="BP861" t="str">
        <f t="shared" si="346"/>
        <v/>
      </c>
      <c r="BQ861" t="str">
        <f t="shared" si="347"/>
        <v/>
      </c>
      <c r="BR861" t="str">
        <f t="shared" si="348"/>
        <v/>
      </c>
      <c r="BS861" t="str">
        <f t="shared" si="349"/>
        <v/>
      </c>
      <c r="BT861" t="str">
        <f t="shared" si="350"/>
        <v/>
      </c>
      <c r="BU861" t="str">
        <f t="shared" si="351"/>
        <v/>
      </c>
    </row>
    <row r="862" spans="1:73">
      <c r="A862" s="1">
        <v>126225</v>
      </c>
      <c r="B862" t="str">
        <f>VLOOKUP($A862,[1]Table!$A$2:$N1034,B$1,FALSE)</f>
        <v>N01BB02</v>
      </c>
      <c r="C862" t="str">
        <f>VLOOKUP($A862,[1]Table!$A$2:$N1034,C$1,FALSE)</f>
        <v>ANAESTHETICA</v>
      </c>
      <c r="D862" t="str">
        <f>VLOOKUP($A862,[1]Table!$A$2:$N1034,D$1,FALSE)</f>
        <v>ANAESTHETICA, LOKALE</v>
      </c>
      <c r="E862" t="str">
        <f>VLOOKUP($A862,[1]Table!$A$2:$N1034,E$1,FALSE)</f>
        <v>LIDOCAINE</v>
      </c>
      <c r="F862" t="str">
        <f>VLOOKUP($A862,[1]Table!$A$2:$N1034,F$1,FALSE)</f>
        <v>XYLOCAINE 20MG/G GEL 30G</v>
      </c>
      <c r="G862" t="str">
        <f>VLOOKUP($A862,[1]Table!$A$2:$N1034,G$1,FALSE)</f>
        <v>LIDOCAINE 20MG/G GEL</v>
      </c>
      <c r="H862" t="str">
        <f>VLOOKUP($A862,[1]Table!$A$2:$N1034,H$1,FALSE)</f>
        <v>gel</v>
      </c>
      <c r="I862" t="s">
        <v>68</v>
      </c>
      <c r="J862">
        <f>VLOOKUP($A862,[1]Table!$A$2:$N1034,J$1,FALSE)</f>
        <v>20</v>
      </c>
      <c r="K862" t="str">
        <f>VLOOKUP($A862,[1]Table!$A$2:$N1034,K$1,FALSE)</f>
        <v>mg/gr</v>
      </c>
      <c r="L862">
        <f>VLOOKUP($A862,[1]Table!$A$2:$N1034,L$1,FALSE)</f>
        <v>20</v>
      </c>
      <c r="M862" t="str">
        <f>VLOOKUP($A862,[1]Table!$A$2:$N1034,M$1,FALSE)</f>
        <v>mg</v>
      </c>
      <c r="N862" t="str">
        <f>VLOOKUP($A862,[1]Table!$A$2:$N1034,N$1,FALSE)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62" t="str">
        <f>ConcatenateRange(AZ862:BU862,"||")</f>
        <v/>
      </c>
      <c r="AZ862" t="str">
        <f t="shared" si="330"/>
        <v/>
      </c>
      <c r="BA862" t="str">
        <f t="shared" si="331"/>
        <v/>
      </c>
      <c r="BB862" t="str">
        <f t="shared" si="332"/>
        <v/>
      </c>
      <c r="BC862" t="str">
        <f t="shared" si="333"/>
        <v/>
      </c>
      <c r="BD862" t="str">
        <f t="shared" si="334"/>
        <v/>
      </c>
      <c r="BE862" t="str">
        <f t="shared" si="335"/>
        <v/>
      </c>
      <c r="BF862" t="str">
        <f t="shared" si="336"/>
        <v/>
      </c>
      <c r="BG862" t="str">
        <f t="shared" si="337"/>
        <v/>
      </c>
      <c r="BH862" t="str">
        <f t="shared" si="338"/>
        <v/>
      </c>
      <c r="BI862" t="str">
        <f t="shared" si="339"/>
        <v/>
      </c>
      <c r="BJ862" t="str">
        <f t="shared" si="340"/>
        <v/>
      </c>
      <c r="BK862" t="str">
        <f t="shared" si="341"/>
        <v/>
      </c>
      <c r="BL862" t="str">
        <f t="shared" si="342"/>
        <v/>
      </c>
      <c r="BM862" t="str">
        <f t="shared" si="343"/>
        <v/>
      </c>
      <c r="BN862" t="str">
        <f t="shared" si="344"/>
        <v/>
      </c>
      <c r="BO862" t="str">
        <f t="shared" si="345"/>
        <v/>
      </c>
      <c r="BP862" t="str">
        <f t="shared" si="346"/>
        <v/>
      </c>
      <c r="BQ862" t="str">
        <f t="shared" si="347"/>
        <v/>
      </c>
      <c r="BR862" t="str">
        <f t="shared" si="348"/>
        <v/>
      </c>
      <c r="BS862" t="str">
        <f t="shared" si="349"/>
        <v/>
      </c>
      <c r="BT862" t="str">
        <f t="shared" si="350"/>
        <v/>
      </c>
      <c r="BU862" t="str">
        <f t="shared" si="351"/>
        <v/>
      </c>
    </row>
    <row r="863" spans="1:73">
      <c r="A863" s="1">
        <v>117552</v>
      </c>
      <c r="B863" t="str">
        <f>VLOOKUP($A863,[1]Table!$A$2:$N1035,B$1,FALSE)</f>
        <v>N01BB02</v>
      </c>
      <c r="C863" t="str">
        <f>VLOOKUP($A863,[1]Table!$A$2:$N1035,C$1,FALSE)</f>
        <v>ANAESTHETICA</v>
      </c>
      <c r="D863" t="str">
        <f>VLOOKUP($A863,[1]Table!$A$2:$N1035,D$1,FALSE)</f>
        <v>ANAESTHETICA, LOKALE</v>
      </c>
      <c r="E863" t="str">
        <f>VLOOKUP($A863,[1]Table!$A$2:$N1035,E$1,FALSE)</f>
        <v>LIDOCAINE</v>
      </c>
      <c r="F863" t="str">
        <f>VLOOKUP($A863,[1]Table!$A$2:$N1035,F$1,FALSE)</f>
        <v>LIDOCAINE ORALE GEL 2% 100 ML VOOR ENDOSCOPIE EN BEELD</v>
      </c>
      <c r="G863" t="str">
        <f>VLOOKUP($A863,[1]Table!$A$2:$N1035,G$1,FALSE)</f>
        <v>LIDOCAINE 20MG/ML GEL ORAAL</v>
      </c>
      <c r="H863" t="str">
        <f>VLOOKUP($A863,[1]Table!$A$2:$N1035,H$1,FALSE)</f>
        <v>gel voor oraal gebruik</v>
      </c>
      <c r="I863" t="str">
        <f>VLOOKUP($A863,[1]Table!$A$2:$N1035,I$1,FALSE)</f>
        <v>or</v>
      </c>
      <c r="J863">
        <f>VLOOKUP($A863,[1]Table!$A$2:$N1035,J$1,FALSE)</f>
        <v>20</v>
      </c>
      <c r="K863" t="str">
        <f>VLOOKUP($A863,[1]Table!$A$2:$N1035,K$1,FALSE)</f>
        <v>mg/ml</v>
      </c>
      <c r="L863">
        <f>VLOOKUP($A863,[1]Table!$A$2:$N1035,L$1,FALSE)</f>
        <v>20</v>
      </c>
      <c r="M863" t="str">
        <f>VLOOKUP($A863,[1]Table!$A$2:$N1035,M$1,FALSE)</f>
        <v>mg</v>
      </c>
      <c r="N863" t="str">
        <f>VLOOKUP($A863,[1]Table!$A$2:$N1035,N$1,FALSE)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63" t="str">
        <f>ConcatenateRange(AZ863:BU863,"||")</f>
        <v/>
      </c>
      <c r="AZ863" t="str">
        <f t="shared" si="330"/>
        <v/>
      </c>
      <c r="BA863" t="str">
        <f t="shared" si="331"/>
        <v/>
      </c>
      <c r="BB863" t="str">
        <f t="shared" si="332"/>
        <v/>
      </c>
      <c r="BC863" t="str">
        <f t="shared" si="333"/>
        <v/>
      </c>
      <c r="BD863" t="str">
        <f t="shared" si="334"/>
        <v/>
      </c>
      <c r="BE863" t="str">
        <f t="shared" si="335"/>
        <v/>
      </c>
      <c r="BF863" t="str">
        <f t="shared" si="336"/>
        <v/>
      </c>
      <c r="BG863" t="str">
        <f t="shared" si="337"/>
        <v/>
      </c>
      <c r="BH863" t="str">
        <f t="shared" si="338"/>
        <v/>
      </c>
      <c r="BI863" t="str">
        <f t="shared" si="339"/>
        <v/>
      </c>
      <c r="BJ863" t="str">
        <f t="shared" si="340"/>
        <v/>
      </c>
      <c r="BK863" t="str">
        <f t="shared" si="341"/>
        <v/>
      </c>
      <c r="BL863" t="str">
        <f t="shared" si="342"/>
        <v/>
      </c>
      <c r="BM863" t="str">
        <f t="shared" si="343"/>
        <v/>
      </c>
      <c r="BN863" t="str">
        <f t="shared" si="344"/>
        <v/>
      </c>
      <c r="BO863" t="str">
        <f t="shared" si="345"/>
        <v/>
      </c>
      <c r="BP863" t="str">
        <f t="shared" si="346"/>
        <v/>
      </c>
      <c r="BQ863" t="str">
        <f t="shared" si="347"/>
        <v/>
      </c>
      <c r="BR863" t="str">
        <f t="shared" si="348"/>
        <v/>
      </c>
      <c r="BS863" t="str">
        <f t="shared" si="349"/>
        <v/>
      </c>
      <c r="BT863" t="str">
        <f t="shared" si="350"/>
        <v/>
      </c>
      <c r="BU863" t="str">
        <f t="shared" si="351"/>
        <v/>
      </c>
    </row>
    <row r="864" spans="1:73">
      <c r="A864" s="1">
        <v>161268</v>
      </c>
      <c r="B864" t="str">
        <f>VLOOKUP($A864,[1]Table!$A$2:$N1036,B$1,FALSE)</f>
        <v>N01BB02</v>
      </c>
      <c r="C864" t="str">
        <f>VLOOKUP($A864,[1]Table!$A$2:$N1036,C$1,FALSE)</f>
        <v>ANAESTHETICA</v>
      </c>
      <c r="D864" t="str">
        <f>VLOOKUP($A864,[1]Table!$A$2:$N1036,D$1,FALSE)</f>
        <v>ANAESTHETICA, LOKALE</v>
      </c>
      <c r="E864" t="str">
        <f>VLOOKUP($A864,[1]Table!$A$2:$N1036,E$1,FALSE)</f>
        <v>LIDOCAINE</v>
      </c>
      <c r="F864" t="str">
        <f>VLOOKUP($A864,[1]Table!$A$2:$N1036,F$1,FALSE)</f>
        <v>DYNEXAN GEL 20 MG/G OROMUCOSAAL 10 GRAM</v>
      </c>
      <c r="G864" t="str">
        <f>VLOOKUP($A864,[1]Table!$A$2:$N1036,G$1,FALSE)</f>
        <v>LIDOCAINE 20MG/G GEL OROMUC</v>
      </c>
      <c r="H864" t="str">
        <f>VLOOKUP($A864,[1]Table!$A$2:$N1036,H$1,FALSE)</f>
        <v>gel voor oromucosaal gebruik</v>
      </c>
      <c r="I864" t="str">
        <f>VLOOKUP($A864,[1]Table!$A$2:$N1036,I$1,FALSE)</f>
        <v>oromuc</v>
      </c>
      <c r="J864">
        <f>VLOOKUP($A864,[1]Table!$A$2:$N1036,J$1,FALSE)</f>
        <v>20</v>
      </c>
      <c r="K864" t="str">
        <f>VLOOKUP($A864,[1]Table!$A$2:$N1036,K$1,FALSE)</f>
        <v>mg/gr</v>
      </c>
      <c r="L864">
        <f>VLOOKUP($A864,[1]Table!$A$2:$N1036,L$1,FALSE)</f>
        <v>20</v>
      </c>
      <c r="M864" t="str">
        <f>VLOOKUP($A864,[1]Table!$A$2:$N1036,M$1,FALSE)</f>
        <v>mg</v>
      </c>
      <c r="N864" t="str">
        <f>VLOOKUP($A864,[1]Table!$A$2:$N1036,N$1,FALSE)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64" t="str">
        <f>ConcatenateRange(AZ864:BU864,"||")</f>
        <v/>
      </c>
      <c r="AZ864" t="str">
        <f t="shared" si="330"/>
        <v/>
      </c>
      <c r="BA864" t="str">
        <f t="shared" si="331"/>
        <v/>
      </c>
      <c r="BB864" t="str">
        <f t="shared" si="332"/>
        <v/>
      </c>
      <c r="BC864" t="str">
        <f t="shared" si="333"/>
        <v/>
      </c>
      <c r="BD864" t="str">
        <f t="shared" si="334"/>
        <v/>
      </c>
      <c r="BE864" t="str">
        <f t="shared" si="335"/>
        <v/>
      </c>
      <c r="BF864" t="str">
        <f t="shared" si="336"/>
        <v/>
      </c>
      <c r="BG864" t="str">
        <f t="shared" si="337"/>
        <v/>
      </c>
      <c r="BH864" t="str">
        <f t="shared" si="338"/>
        <v/>
      </c>
      <c r="BI864" t="str">
        <f t="shared" si="339"/>
        <v/>
      </c>
      <c r="BJ864" t="str">
        <f t="shared" si="340"/>
        <v/>
      </c>
      <c r="BK864" t="str">
        <f t="shared" si="341"/>
        <v/>
      </c>
      <c r="BL864" t="str">
        <f t="shared" si="342"/>
        <v/>
      </c>
      <c r="BM864" t="str">
        <f t="shared" si="343"/>
        <v/>
      </c>
      <c r="BN864" t="str">
        <f t="shared" si="344"/>
        <v/>
      </c>
      <c r="BO864" t="str">
        <f t="shared" si="345"/>
        <v/>
      </c>
      <c r="BP864" t="str">
        <f t="shared" si="346"/>
        <v/>
      </c>
      <c r="BQ864" t="str">
        <f t="shared" si="347"/>
        <v/>
      </c>
      <c r="BR864" t="str">
        <f t="shared" si="348"/>
        <v/>
      </c>
      <c r="BS864" t="str">
        <f t="shared" si="349"/>
        <v/>
      </c>
      <c r="BT864" t="str">
        <f t="shared" si="350"/>
        <v/>
      </c>
      <c r="BU864" t="str">
        <f t="shared" si="351"/>
        <v/>
      </c>
    </row>
    <row r="865" spans="1:73">
      <c r="A865" s="1">
        <v>22411</v>
      </c>
      <c r="B865" t="str">
        <f>VLOOKUP($A865,[1]Table!$A$2:$N1038,B$1,FALSE)</f>
        <v>N01BB02</v>
      </c>
      <c r="C865" t="str">
        <f>VLOOKUP($A865,[1]Table!$A$2:$N1038,C$1,FALSE)</f>
        <v>ANAESTHETICA</v>
      </c>
      <c r="D865" t="str">
        <f>VLOOKUP($A865,[1]Table!$A$2:$N1038,D$1,FALSE)</f>
        <v>ANAESTHETICA, LOKALE</v>
      </c>
      <c r="E865" t="str">
        <f>VLOOKUP($A865,[1]Table!$A$2:$N1038,E$1,FALSE)</f>
        <v>LIDOCAINE</v>
      </c>
      <c r="F865" t="str">
        <f>VLOOKUP($A865,[1]Table!$A$2:$N1038,F$1,FALSE)</f>
        <v>XYLOCAINE 10 MG/ML FLACON 20ML</v>
      </c>
      <c r="G865" t="str">
        <f>VLOOKUP($A865,[1]Table!$A$2:$N1038,G$1,FALSE)</f>
        <v>LIDOCAINE 10MG/ML I (HCL)</v>
      </c>
      <c r="H865" t="str">
        <f>VLOOKUP($A865,[1]Table!$A$2:$N1038,H$1,FALSE)</f>
        <v>injectievloeistof</v>
      </c>
      <c r="I865" t="str">
        <f>VLOOKUP($A865,[1]Table!$A$2:$N1038,I$1,FALSE)</f>
        <v>perineur||intracut</v>
      </c>
      <c r="J865">
        <f>VLOOKUP($A865,[1]Table!$A$2:$N1038,J$1,FALSE)</f>
        <v>10</v>
      </c>
      <c r="K865" t="str">
        <f>VLOOKUP($A865,[1]Table!$A$2:$N1038,K$1,FALSE)</f>
        <v>mg/ml</v>
      </c>
      <c r="L865">
        <f>VLOOKUP($A865,[1]Table!$A$2:$N1038,L$1,FALSE)</f>
        <v>10</v>
      </c>
      <c r="M865" t="str">
        <f>VLOOKUP($A865,[1]Table!$A$2:$N1038,M$1,FALSE)</f>
        <v>mg</v>
      </c>
      <c r="N865" t="str">
        <f>VLOOKUP($A865,[1]Table!$A$2:$N1038,N$1,FALSE)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65" t="str">
        <f>ConcatenateRange(AZ865:BU865,"||")</f>
        <v/>
      </c>
      <c r="AZ865" t="str">
        <f t="shared" si="330"/>
        <v/>
      </c>
      <c r="BA865" t="str">
        <f t="shared" si="331"/>
        <v/>
      </c>
      <c r="BB865" t="str">
        <f t="shared" si="332"/>
        <v/>
      </c>
      <c r="BC865" t="str">
        <f t="shared" si="333"/>
        <v/>
      </c>
      <c r="BD865" t="str">
        <f t="shared" si="334"/>
        <v/>
      </c>
      <c r="BE865" t="str">
        <f t="shared" si="335"/>
        <v/>
      </c>
      <c r="BF865" t="str">
        <f t="shared" si="336"/>
        <v/>
      </c>
      <c r="BG865" t="str">
        <f t="shared" si="337"/>
        <v/>
      </c>
      <c r="BH865" t="str">
        <f t="shared" si="338"/>
        <v/>
      </c>
      <c r="BI865" t="str">
        <f t="shared" si="339"/>
        <v/>
      </c>
      <c r="BJ865" t="str">
        <f t="shared" si="340"/>
        <v/>
      </c>
      <c r="BK865" t="str">
        <f t="shared" si="341"/>
        <v/>
      </c>
      <c r="BL865" t="str">
        <f t="shared" si="342"/>
        <v/>
      </c>
      <c r="BM865" t="str">
        <f t="shared" si="343"/>
        <v/>
      </c>
      <c r="BN865" t="str">
        <f t="shared" si="344"/>
        <v/>
      </c>
      <c r="BO865" t="str">
        <f t="shared" si="345"/>
        <v/>
      </c>
      <c r="BP865" t="str">
        <f t="shared" si="346"/>
        <v/>
      </c>
      <c r="BQ865" t="str">
        <f t="shared" si="347"/>
        <v/>
      </c>
      <c r="BR865" t="str">
        <f t="shared" si="348"/>
        <v/>
      </c>
      <c r="BS865" t="str">
        <f t="shared" si="349"/>
        <v/>
      </c>
      <c r="BT865" t="str">
        <f t="shared" si="350"/>
        <v/>
      </c>
      <c r="BU865" t="str">
        <f t="shared" si="351"/>
        <v/>
      </c>
    </row>
    <row r="866" spans="1:73">
      <c r="A866" s="1">
        <v>72362</v>
      </c>
      <c r="B866" t="str">
        <f>VLOOKUP($A866,[1]Table!$A$2:$N1039,B$1,FALSE)</f>
        <v>N01BB02</v>
      </c>
      <c r="C866" t="str">
        <f>VLOOKUP($A866,[1]Table!$A$2:$N1039,C$1,FALSE)</f>
        <v>ANAESTHETICA</v>
      </c>
      <c r="D866" t="str">
        <f>VLOOKUP($A866,[1]Table!$A$2:$N1039,D$1,FALSE)</f>
        <v>ANAESTHETICA, LOKALE</v>
      </c>
      <c r="E866" t="str">
        <f>VLOOKUP($A866,[1]Table!$A$2:$N1039,E$1,FALSE)</f>
        <v>LIDOCAINE</v>
      </c>
      <c r="F866" t="str">
        <f>VLOOKUP($A866,[1]Table!$A$2:$N1039,F$1,FALSE)</f>
        <v>LIDOCAINE HCL 10 MG/ML AMPUL 10 ML</v>
      </c>
      <c r="G866" t="str">
        <f>VLOOKUP($A866,[1]Table!$A$2:$N1039,G$1,FALSE)</f>
        <v>LIDOCAINE 10MG/ML I (H1W)</v>
      </c>
      <c r="H866" t="str">
        <f>VLOOKUP($A866,[1]Table!$A$2:$N1039,H$1,FALSE)</f>
        <v>injectievloeistof</v>
      </c>
      <c r="I866" t="str">
        <f>VLOOKUP($A866,[1]Table!$A$2:$N1039,I$1,FALSE)</f>
        <v>perineur||iv</v>
      </c>
      <c r="J866">
        <f>VLOOKUP($A866,[1]Table!$A$2:$N1039,J$1,FALSE)</f>
        <v>10</v>
      </c>
      <c r="K866" t="str">
        <f>VLOOKUP($A866,[1]Table!$A$2:$N1039,K$1,FALSE)</f>
        <v>mg/ml</v>
      </c>
      <c r="L866">
        <f>VLOOKUP($A866,[1]Table!$A$2:$N1039,L$1,FALSE)</f>
        <v>10</v>
      </c>
      <c r="M866" t="str">
        <f>VLOOKUP($A866,[1]Table!$A$2:$N1039,M$1,FALSE)</f>
        <v>mg</v>
      </c>
      <c r="N866" t="str">
        <f>VLOOKUP($A866,[1]Table!$A$2:$N1039,N$1,FALSE)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66" t="str">
        <f>ConcatenateRange(AZ866:BU866,"||")</f>
        <v/>
      </c>
      <c r="AZ866" t="str">
        <f t="shared" si="330"/>
        <v/>
      </c>
      <c r="BA866" t="str">
        <f t="shared" si="331"/>
        <v/>
      </c>
      <c r="BB866" t="str">
        <f t="shared" si="332"/>
        <v/>
      </c>
      <c r="BC866" t="str">
        <f t="shared" si="333"/>
        <v/>
      </c>
      <c r="BD866" t="str">
        <f t="shared" si="334"/>
        <v/>
      </c>
      <c r="BE866" t="str">
        <f t="shared" si="335"/>
        <v/>
      </c>
      <c r="BF866" t="str">
        <f t="shared" si="336"/>
        <v/>
      </c>
      <c r="BG866" t="str">
        <f t="shared" si="337"/>
        <v/>
      </c>
      <c r="BH866" t="str">
        <f t="shared" si="338"/>
        <v/>
      </c>
      <c r="BI866" t="str">
        <f t="shared" si="339"/>
        <v/>
      </c>
      <c r="BJ866" t="str">
        <f t="shared" si="340"/>
        <v/>
      </c>
      <c r="BK866" t="str">
        <f t="shared" si="341"/>
        <v/>
      </c>
      <c r="BL866" t="str">
        <f t="shared" si="342"/>
        <v/>
      </c>
      <c r="BM866" t="str">
        <f t="shared" si="343"/>
        <v/>
      </c>
      <c r="BN866" t="str">
        <f t="shared" si="344"/>
        <v/>
      </c>
      <c r="BO866" t="str">
        <f t="shared" si="345"/>
        <v/>
      </c>
      <c r="BP866" t="str">
        <f t="shared" si="346"/>
        <v/>
      </c>
      <c r="BQ866" t="str">
        <f t="shared" si="347"/>
        <v/>
      </c>
      <c r="BR866" t="str">
        <f t="shared" si="348"/>
        <v/>
      </c>
      <c r="BS866" t="str">
        <f t="shared" si="349"/>
        <v/>
      </c>
      <c r="BT866" t="str">
        <f t="shared" si="350"/>
        <v/>
      </c>
      <c r="BU866" t="str">
        <f t="shared" si="351"/>
        <v/>
      </c>
    </row>
    <row r="867" spans="1:73">
      <c r="A867" s="1">
        <v>22438</v>
      </c>
      <c r="B867" t="str">
        <f>VLOOKUP($A867,[1]Table!$A$2:$N1037,B$1,FALSE)</f>
        <v>N01BB02</v>
      </c>
      <c r="C867" t="str">
        <f>VLOOKUP($A867,[1]Table!$A$2:$N1037,C$1,FALSE)</f>
        <v>ANAESTHETICA</v>
      </c>
      <c r="D867" t="str">
        <f>VLOOKUP($A867,[1]Table!$A$2:$N1037,D$1,FALSE)</f>
        <v>ANAESTHETICA, LOKALE</v>
      </c>
      <c r="E867" t="str">
        <f>VLOOKUP($A867,[1]Table!$A$2:$N1037,E$1,FALSE)</f>
        <v>LIDOCAINE</v>
      </c>
      <c r="F867" t="str">
        <f>VLOOKUP($A867,[1]Table!$A$2:$N1037,F$1,FALSE)</f>
        <v>XYLOCAINE 20 MG/ML FLACON 20 ML</v>
      </c>
      <c r="G867" t="str">
        <f>VLOOKUP($A867,[1]Table!$A$2:$N1037,G$1,FALSE)</f>
        <v>LIDOCAINE 20MG/ML I (HCL)</v>
      </c>
      <c r="H867" t="str">
        <f>VLOOKUP($A867,[1]Table!$A$2:$N1037,H$1,FALSE)</f>
        <v>injectievloeistof</v>
      </c>
      <c r="I867" t="str">
        <f>VLOOKUP($A867,[1]Table!$A$2:$N1037,I$1,FALSE)</f>
        <v>perineur||im||iv||sc||epidur</v>
      </c>
      <c r="J867">
        <f>VLOOKUP($A867,[1]Table!$A$2:$N1037,J$1,FALSE)</f>
        <v>20</v>
      </c>
      <c r="K867" t="str">
        <f>VLOOKUP($A867,[1]Table!$A$2:$N1037,K$1,FALSE)</f>
        <v>mg/ml</v>
      </c>
      <c r="L867">
        <f>VLOOKUP($A867,[1]Table!$A$2:$N1037,L$1,FALSE)</f>
        <v>20</v>
      </c>
      <c r="M867" t="str">
        <f>VLOOKUP($A867,[1]Table!$A$2:$N1037,M$1,FALSE)</f>
        <v>mg</v>
      </c>
      <c r="N867" t="str">
        <f>VLOOKUP($A867,[1]Table!$A$2:$N1037,N$1,FALSE)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67" t="str">
        <f>ConcatenateRange(AZ867:BU867,"||")</f>
        <v/>
      </c>
      <c r="AZ867" t="str">
        <f t="shared" si="330"/>
        <v/>
      </c>
      <c r="BA867" t="str">
        <f t="shared" si="331"/>
        <v/>
      </c>
      <c r="BB867" t="str">
        <f t="shared" si="332"/>
        <v/>
      </c>
      <c r="BC867" t="str">
        <f t="shared" si="333"/>
        <v/>
      </c>
      <c r="BD867" t="str">
        <f t="shared" si="334"/>
        <v/>
      </c>
      <c r="BE867" t="str">
        <f t="shared" si="335"/>
        <v/>
      </c>
      <c r="BF867" t="str">
        <f t="shared" si="336"/>
        <v/>
      </c>
      <c r="BG867" t="str">
        <f t="shared" si="337"/>
        <v/>
      </c>
      <c r="BH867" t="str">
        <f t="shared" si="338"/>
        <v/>
      </c>
      <c r="BI867" t="str">
        <f t="shared" si="339"/>
        <v/>
      </c>
      <c r="BJ867" t="str">
        <f t="shared" si="340"/>
        <v/>
      </c>
      <c r="BK867" t="str">
        <f t="shared" si="341"/>
        <v/>
      </c>
      <c r="BL867" t="str">
        <f t="shared" si="342"/>
        <v/>
      </c>
      <c r="BM867" t="str">
        <f t="shared" si="343"/>
        <v/>
      </c>
      <c r="BN867" t="str">
        <f t="shared" si="344"/>
        <v/>
      </c>
      <c r="BO867" t="str">
        <f t="shared" si="345"/>
        <v/>
      </c>
      <c r="BP867" t="str">
        <f t="shared" si="346"/>
        <v/>
      </c>
      <c r="BQ867" t="str">
        <f t="shared" si="347"/>
        <v/>
      </c>
      <c r="BR867" t="str">
        <f t="shared" si="348"/>
        <v/>
      </c>
      <c r="BS867" t="str">
        <f t="shared" si="349"/>
        <v/>
      </c>
      <c r="BT867" t="str">
        <f t="shared" si="350"/>
        <v/>
      </c>
      <c r="BU867" t="str">
        <f t="shared" si="351"/>
        <v/>
      </c>
    </row>
    <row r="868" spans="1:73">
      <c r="A868" s="1">
        <v>31682</v>
      </c>
      <c r="B868" t="str">
        <f>VLOOKUP($A868,[1]Table!$A$2:$N1040,B$1,FALSE)</f>
        <v>S02DA01</v>
      </c>
      <c r="C868" t="str">
        <f>VLOOKUP($A868,[1]Table!$A$2:$N1040,C$1,FALSE)</f>
        <v>MIDDELEN VOOR OORHEELKUNDIG GEBRUIK</v>
      </c>
      <c r="D868" t="str">
        <f>VLOOKUP($A868,[1]Table!$A$2:$N1040,D$1,FALSE)</f>
        <v>OVERIGE MIDDELEN VOOR OORHEELKUNDIG GEBRUIK</v>
      </c>
      <c r="E868" t="str">
        <f>VLOOKUP($A868,[1]Table!$A$2:$N1040,E$1,FALSE)</f>
        <v>LIDOCAINE</v>
      </c>
      <c r="F868" t="str">
        <f>VLOOKUP($A868,[1]Table!$A$2:$N1040,F$1,FALSE)</f>
        <v>OTALGAN OORDRUPPELS</v>
      </c>
      <c r="G868" t="str">
        <f>VLOOKUP($A868,[1]Table!$A$2:$N1040,G$1,FALSE)</f>
        <v>LIDOCAINE 5MG/G OORDRUPPELS</v>
      </c>
      <c r="H868" t="str">
        <f>VLOOKUP($A868,[1]Table!$A$2:$N1040,H$1,FALSE)</f>
        <v>oordruppels</v>
      </c>
      <c r="I868" t="str">
        <f>VLOOKUP($A868,[1]Table!$A$2:$N1040,I$1,FALSE)</f>
        <v>oor</v>
      </c>
      <c r="J868">
        <f>VLOOKUP($A868,[1]Table!$A$2:$N1040,J$1,FALSE)</f>
        <v>5</v>
      </c>
      <c r="K868" t="str">
        <f>VLOOKUP($A868,[1]Table!$A$2:$N1040,K$1,FALSE)</f>
        <v>mg/gr</v>
      </c>
      <c r="L868">
        <f>VLOOKUP($A868,[1]Table!$A$2:$N1040,L$1,FALSE)</f>
        <v>5</v>
      </c>
      <c r="M868" t="str">
        <f>VLOOKUP($A868,[1]Table!$A$2:$N1040,M$1,FALSE)</f>
        <v>mg</v>
      </c>
      <c r="N868" t="str">
        <f>VLOOKUP($A868,[1]Table!$A$2:$N1040,N$1,FALSE)</f>
        <v>Oorpijn</v>
      </c>
      <c r="O868" t="str">
        <f>ConcatenateRange(AZ868:BU868,"||")</f>
        <v/>
      </c>
      <c r="AZ868" t="str">
        <f t="shared" si="330"/>
        <v/>
      </c>
      <c r="BA868" t="str">
        <f t="shared" si="331"/>
        <v/>
      </c>
      <c r="BB868" t="str">
        <f t="shared" si="332"/>
        <v/>
      </c>
      <c r="BC868" t="str">
        <f t="shared" si="333"/>
        <v/>
      </c>
      <c r="BD868" t="str">
        <f t="shared" si="334"/>
        <v/>
      </c>
      <c r="BE868" t="str">
        <f t="shared" si="335"/>
        <v/>
      </c>
      <c r="BF868" t="str">
        <f t="shared" si="336"/>
        <v/>
      </c>
      <c r="BG868" t="str">
        <f t="shared" si="337"/>
        <v/>
      </c>
      <c r="BH868" t="str">
        <f t="shared" si="338"/>
        <v/>
      </c>
      <c r="BI868" t="str">
        <f t="shared" si="339"/>
        <v/>
      </c>
      <c r="BJ868" t="str">
        <f t="shared" si="340"/>
        <v/>
      </c>
      <c r="BK868" t="str">
        <f t="shared" si="341"/>
        <v/>
      </c>
      <c r="BL868" t="str">
        <f t="shared" si="342"/>
        <v/>
      </c>
      <c r="BM868" t="str">
        <f t="shared" si="343"/>
        <v/>
      </c>
      <c r="BN868" t="str">
        <f t="shared" si="344"/>
        <v/>
      </c>
      <c r="BO868" t="str">
        <f t="shared" si="345"/>
        <v/>
      </c>
      <c r="BP868" t="str">
        <f t="shared" si="346"/>
        <v/>
      </c>
      <c r="BQ868" t="str">
        <f t="shared" si="347"/>
        <v/>
      </c>
      <c r="BR868" t="str">
        <f t="shared" si="348"/>
        <v/>
      </c>
      <c r="BS868" t="str">
        <f t="shared" si="349"/>
        <v/>
      </c>
      <c r="BT868" t="str">
        <f t="shared" si="350"/>
        <v/>
      </c>
      <c r="BU868" t="str">
        <f t="shared" si="351"/>
        <v/>
      </c>
    </row>
    <row r="869" spans="1:73">
      <c r="A869" s="1">
        <v>126217</v>
      </c>
      <c r="B869" t="str">
        <f>VLOOKUP($A869,[1]Table!$A$2:$N1041,B$1,FALSE)</f>
        <v>N01BB02</v>
      </c>
      <c r="C869" t="str">
        <f>VLOOKUP($A869,[1]Table!$A$2:$N1041,C$1,FALSE)</f>
        <v>ANAESTHETICA</v>
      </c>
      <c r="D869" t="str">
        <f>VLOOKUP($A869,[1]Table!$A$2:$N1041,D$1,FALSE)</f>
        <v>ANAESTHETICA, LOKALE</v>
      </c>
      <c r="E869" t="str">
        <f>VLOOKUP($A869,[1]Table!$A$2:$N1041,E$1,FALSE)</f>
        <v>LIDOCAINE</v>
      </c>
      <c r="F869" t="str">
        <f>VLOOKUP($A869,[1]Table!$A$2:$N1041,F$1,FALSE)</f>
        <v>XYLOCAINE 100MG/ML SPRAY IN VERSTUIVER 5000 MG</v>
      </c>
      <c r="G869" t="str">
        <f>VLOOKUP($A869,[1]Table!$A$2:$N1041,G$1,FALSE)</f>
        <v>LIDOCAINE 100MG/ML SPRAY</v>
      </c>
      <c r="H869" t="str">
        <f>VLOOKUP($A869,[1]Table!$A$2:$N1041,H$1,FALSE)</f>
        <v>spray</v>
      </c>
      <c r="I869" t="s">
        <v>68</v>
      </c>
      <c r="J869">
        <f>VLOOKUP($A869,[1]Table!$A$2:$N1041,J$1,FALSE)</f>
        <v>100</v>
      </c>
      <c r="K869" t="str">
        <f>VLOOKUP($A869,[1]Table!$A$2:$N1041,K$1,FALSE)</f>
        <v>mg/ml</v>
      </c>
      <c r="L869">
        <f>VLOOKUP($A869,[1]Table!$A$2:$N1041,L$1,FALSE)</f>
        <v>100</v>
      </c>
      <c r="M869" t="str">
        <f>VLOOKUP($A869,[1]Table!$A$2:$N1041,M$1,FALSE)</f>
        <v>mg</v>
      </c>
      <c r="N869" t="str">
        <f>VLOOKUP($A869,[1]Table!$A$2:$N1041,N$1,FALSE)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69" t="str">
        <f>ConcatenateRange(AZ869:BU869,"||")</f>
        <v/>
      </c>
      <c r="AZ869" t="str">
        <f t="shared" si="330"/>
        <v/>
      </c>
      <c r="BA869" t="str">
        <f t="shared" si="331"/>
        <v/>
      </c>
      <c r="BB869" t="str">
        <f t="shared" si="332"/>
        <v/>
      </c>
      <c r="BC869" t="str">
        <f t="shared" si="333"/>
        <v/>
      </c>
      <c r="BD869" t="str">
        <f t="shared" si="334"/>
        <v/>
      </c>
      <c r="BE869" t="str">
        <f t="shared" si="335"/>
        <v/>
      </c>
      <c r="BF869" t="str">
        <f t="shared" si="336"/>
        <v/>
      </c>
      <c r="BG869" t="str">
        <f t="shared" si="337"/>
        <v/>
      </c>
      <c r="BH869" t="str">
        <f t="shared" si="338"/>
        <v/>
      </c>
      <c r="BI869" t="str">
        <f t="shared" si="339"/>
        <v/>
      </c>
      <c r="BJ869" t="str">
        <f t="shared" si="340"/>
        <v/>
      </c>
      <c r="BK869" t="str">
        <f t="shared" si="341"/>
        <v/>
      </c>
      <c r="BL869" t="str">
        <f t="shared" si="342"/>
        <v/>
      </c>
      <c r="BM869" t="str">
        <f t="shared" si="343"/>
        <v/>
      </c>
      <c r="BN869" t="str">
        <f t="shared" si="344"/>
        <v/>
      </c>
      <c r="BO869" t="str">
        <f t="shared" si="345"/>
        <v/>
      </c>
      <c r="BP869" t="str">
        <f t="shared" si="346"/>
        <v/>
      </c>
      <c r="BQ869" t="str">
        <f t="shared" si="347"/>
        <v/>
      </c>
      <c r="BR869" t="str">
        <f t="shared" si="348"/>
        <v/>
      </c>
      <c r="BS869" t="str">
        <f t="shared" si="349"/>
        <v/>
      </c>
      <c r="BT869" t="str">
        <f t="shared" si="350"/>
        <v/>
      </c>
      <c r="BU869" t="str">
        <f t="shared" si="351"/>
        <v/>
      </c>
    </row>
    <row r="870" spans="1:73">
      <c r="A870" s="22">
        <v>171212</v>
      </c>
      <c r="B870" t="str">
        <f>VLOOKUP($A870,[1]Table!$A$2:$N1702,B$1,FALSE)</f>
        <v>N01BB52</v>
      </c>
      <c r="C870" t="str">
        <f>VLOOKUP($A870,[1]Table!$A$2:$N1702,C$1,FALSE)</f>
        <v>ANAESTHETICA</v>
      </c>
      <c r="D870" t="str">
        <f>VLOOKUP($A870,[1]Table!$A$2:$N1702,D$1,FALSE)</f>
        <v>ANAESTHETICA, LOKALE</v>
      </c>
      <c r="E870" t="str">
        <f>VLOOKUP($A870,[1]Table!$A$2:$N1702,E$1,FALSE)</f>
        <v>LIDOCAINE/ADRENALINE</v>
      </c>
      <c r="F870" t="str">
        <f>VLOOKUP($A870,[1]Table!$A$2:$N1702,F$1,FALSE)</f>
        <v>XYLOCAINE 1 % + ADRENALINE 1:200.000 20 ML</v>
      </c>
      <c r="G870" t="str">
        <f>VLOOKUP($A870,[1]Table!$A$2:$N1702,G$1,FALSE)</f>
        <v>LIDOC/ADREN 10MG/5UG/ML INJ</v>
      </c>
      <c r="H870" t="str">
        <f>VLOOKUP($A870,[1]Table!$A$2:$N1702,H$1,FALSE)</f>
        <v>injectievloeistof</v>
      </c>
      <c r="I870" t="str">
        <f>VLOOKUP($A870,[1]Table!$A$2:$N1702,I$1,FALSE)</f>
        <v>epidur||perineur</v>
      </c>
      <c r="J870">
        <f>VLOOKUP($A870,[1]Table!$A$2:$N1702,J$1,FALSE)</f>
        <v>5</v>
      </c>
      <c r="K870" t="str">
        <f>VLOOKUP($A870,[1]Table!$A$2:$N1702,K$1,FALSE)</f>
        <v>mcg/ml</v>
      </c>
      <c r="L870">
        <f>VLOOKUP($A870,[1]Table!$A$2:$N1702,L$1,FALSE)</f>
        <v>5</v>
      </c>
      <c r="M870" t="str">
        <f>VLOOKUP($A870,[1]Table!$A$2:$N1702,M$1,FALSE)</f>
        <v>mcg</v>
      </c>
      <c r="N870" t="str">
        <f>VLOOKUP($A870,[1]Table!$A$2:$N1702,N$1,FALSE)</f>
        <v>Glijmiddel voor catheters en bij scopieen</v>
      </c>
      <c r="AZ870" t="str">
        <f t="shared" si="330"/>
        <v/>
      </c>
      <c r="BA870" t="str">
        <f t="shared" si="331"/>
        <v/>
      </c>
      <c r="BB870" t="str">
        <f t="shared" si="332"/>
        <v/>
      </c>
      <c r="BC870" t="str">
        <f t="shared" si="333"/>
        <v/>
      </c>
      <c r="BD870" t="str">
        <f t="shared" si="334"/>
        <v/>
      </c>
      <c r="BE870" t="str">
        <f t="shared" si="335"/>
        <v/>
      </c>
      <c r="BF870" t="str">
        <f t="shared" si="336"/>
        <v/>
      </c>
      <c r="BG870" t="str">
        <f t="shared" si="337"/>
        <v/>
      </c>
      <c r="BH870" t="str">
        <f t="shared" si="338"/>
        <v/>
      </c>
      <c r="BI870" t="str">
        <f t="shared" si="339"/>
        <v/>
      </c>
      <c r="BJ870" t="str">
        <f t="shared" si="340"/>
        <v/>
      </c>
      <c r="BK870" t="str">
        <f t="shared" si="341"/>
        <v/>
      </c>
      <c r="BL870" t="str">
        <f t="shared" si="342"/>
        <v/>
      </c>
      <c r="BM870" t="str">
        <f t="shared" si="343"/>
        <v/>
      </c>
      <c r="BN870" t="str">
        <f t="shared" si="344"/>
        <v/>
      </c>
      <c r="BO870" t="str">
        <f t="shared" si="345"/>
        <v/>
      </c>
      <c r="BP870" t="str">
        <f t="shared" si="346"/>
        <v/>
      </c>
      <c r="BQ870" t="str">
        <f t="shared" si="347"/>
        <v/>
      </c>
      <c r="BR870" t="str">
        <f t="shared" si="348"/>
        <v/>
      </c>
      <c r="BS870" t="str">
        <f t="shared" si="349"/>
        <v/>
      </c>
      <c r="BT870" t="str">
        <f t="shared" si="350"/>
        <v/>
      </c>
      <c r="BU870" t="str">
        <f t="shared" si="351"/>
        <v/>
      </c>
    </row>
    <row r="871" spans="1:73">
      <c r="A871" s="22">
        <v>171255</v>
      </c>
      <c r="B871" t="str">
        <f>VLOOKUP($A871,[1]Table!$A$2:$N1703,B$1,FALSE)</f>
        <v>N01BB52</v>
      </c>
      <c r="C871" t="str">
        <f>VLOOKUP($A871,[1]Table!$A$2:$N1703,C$1,FALSE)</f>
        <v>ANAESTHETICA</v>
      </c>
      <c r="D871" t="str">
        <f>VLOOKUP($A871,[1]Table!$A$2:$N1703,D$1,FALSE)</f>
        <v>ANAESTHETICA, LOKALE</v>
      </c>
      <c r="E871" t="str">
        <f>VLOOKUP($A871,[1]Table!$A$2:$N1703,E$1,FALSE)</f>
        <v>LIDOCAINE/ADRENALINE</v>
      </c>
      <c r="F871" t="str">
        <f>VLOOKUP($A871,[1]Table!$A$2:$N1703,F$1,FALSE)</f>
        <v>XYLOCAINE 2% + ADRENALINE 1:200.000 20ML</v>
      </c>
      <c r="G871" t="str">
        <f>VLOOKUP($A871,[1]Table!$A$2:$N1703,G$1,FALSE)</f>
        <v>LIDOC/ADREN 20MG/5UG/ML INJ</v>
      </c>
      <c r="H871" t="str">
        <f>VLOOKUP($A871,[1]Table!$A$2:$N1703,H$1,FALSE)</f>
        <v>injectievloeistof</v>
      </c>
      <c r="I871" t="str">
        <f>VLOOKUP($A871,[1]Table!$A$2:$N1703,I$1,FALSE)</f>
        <v>epidur||perineur</v>
      </c>
      <c r="J871">
        <f>VLOOKUP($A871,[1]Table!$A$2:$N1703,J$1,FALSE)</f>
        <v>5</v>
      </c>
      <c r="K871" t="str">
        <f>VLOOKUP($A871,[1]Table!$A$2:$N1703,K$1,FALSE)</f>
        <v>mcg/ml</v>
      </c>
      <c r="L871">
        <f>VLOOKUP($A871,[1]Table!$A$2:$N1703,L$1,FALSE)</f>
        <v>5</v>
      </c>
      <c r="M871" t="str">
        <f>VLOOKUP($A871,[1]Table!$A$2:$N1703,M$1,FALSE)</f>
        <v>mcg</v>
      </c>
      <c r="N871" t="str">
        <f>VLOOKUP($A871,[1]Table!$A$2:$N1703,N$1,FALSE)</f>
        <v>Glijmiddel voor catheters en bij scopieen</v>
      </c>
      <c r="AZ871" t="str">
        <f t="shared" si="330"/>
        <v/>
      </c>
      <c r="BA871" t="str">
        <f t="shared" si="331"/>
        <v/>
      </c>
      <c r="BB871" t="str">
        <f t="shared" si="332"/>
        <v/>
      </c>
      <c r="BC871" t="str">
        <f t="shared" si="333"/>
        <v/>
      </c>
      <c r="BD871" t="str">
        <f t="shared" si="334"/>
        <v/>
      </c>
      <c r="BE871" t="str">
        <f t="shared" si="335"/>
        <v/>
      </c>
      <c r="BF871" t="str">
        <f t="shared" si="336"/>
        <v/>
      </c>
      <c r="BG871" t="str">
        <f t="shared" si="337"/>
        <v/>
      </c>
      <c r="BH871" t="str">
        <f t="shared" si="338"/>
        <v/>
      </c>
      <c r="BI871" t="str">
        <f t="shared" si="339"/>
        <v/>
      </c>
      <c r="BJ871" t="str">
        <f t="shared" si="340"/>
        <v/>
      </c>
      <c r="BK871" t="str">
        <f t="shared" si="341"/>
        <v/>
      </c>
      <c r="BL871" t="str">
        <f t="shared" si="342"/>
        <v/>
      </c>
      <c r="BM871" t="str">
        <f t="shared" si="343"/>
        <v/>
      </c>
      <c r="BN871" t="str">
        <f t="shared" si="344"/>
        <v/>
      </c>
      <c r="BO871" t="str">
        <f t="shared" si="345"/>
        <v/>
      </c>
      <c r="BP871" t="str">
        <f t="shared" si="346"/>
        <v/>
      </c>
      <c r="BQ871" t="str">
        <f t="shared" si="347"/>
        <v/>
      </c>
      <c r="BR871" t="str">
        <f t="shared" si="348"/>
        <v/>
      </c>
      <c r="BS871" t="str">
        <f t="shared" si="349"/>
        <v/>
      </c>
      <c r="BT871" t="str">
        <f t="shared" si="350"/>
        <v/>
      </c>
      <c r="BU871" t="str">
        <f t="shared" si="351"/>
        <v/>
      </c>
    </row>
    <row r="872" spans="1:73">
      <c r="A872" s="1">
        <v>126241</v>
      </c>
      <c r="B872" t="str">
        <f>VLOOKUP($A872,[1]Table!$A$2:$N449,B$1,FALSE)</f>
        <v>N01BB52</v>
      </c>
      <c r="C872" t="str">
        <f>VLOOKUP($A872,[1]Table!$A$2:$N449,C$1,FALSE)</f>
        <v>ANAESTHETICA</v>
      </c>
      <c r="D872" t="str">
        <f>VLOOKUP($A872,[1]Table!$A$2:$N449,D$1,FALSE)</f>
        <v>ANAESTHETICA, LOKALE</v>
      </c>
      <c r="E872" t="str">
        <f>VLOOKUP($A872,[1]Table!$A$2:$N449,E$1,FALSE)</f>
        <v>LIDOCAINE/CHLOORHEXIDINE</v>
      </c>
      <c r="F872" t="str">
        <f>VLOOKUP($A872,[1]Table!$A$2:$N449,F$1,FALSE)</f>
        <v>INSTILLAGEL  WEGWERPSPUIT 6 ML</v>
      </c>
      <c r="G872" t="str">
        <f>VLOOKUP($A872,[1]Table!$A$2:$N449,G$1,FALSE)</f>
        <v>LID/CHLOORHEX 20,9/0,523GEL</v>
      </c>
      <c r="H872" t="str">
        <f>VLOOKUP($A872,[1]Table!$A$2:$N449,H$1,FALSE)</f>
        <v>gel</v>
      </c>
      <c r="I872" t="s">
        <v>69</v>
      </c>
      <c r="J872">
        <f>VLOOKUP($A872,[1]Table!$A$2:$N449,J$1,FALSE)</f>
        <v>0.52300000000000002</v>
      </c>
      <c r="K872" t="str">
        <f>VLOOKUP($A872,[1]Table!$A$2:$N449,K$1,FALSE)</f>
        <v>mg/ml</v>
      </c>
      <c r="L872">
        <f>VLOOKUP($A872,[1]Table!$A$2:$N449,L$1,FALSE)</f>
        <v>0.52300000000000002</v>
      </c>
      <c r="M872" t="str">
        <f>VLOOKUP($A872,[1]Table!$A$2:$N449,M$1,FALSE)</f>
        <v>mg</v>
      </c>
      <c r="N872" t="str">
        <f>VLOOKUP($A872,[1]Table!$A$2:$N449,N$1,FALSE)</f>
        <v>Glijmiddel voor catheters en bij scopieen</v>
      </c>
      <c r="O872" t="str">
        <f>ConcatenateRange(AZ872:BU872,"||")</f>
        <v/>
      </c>
      <c r="AZ872" t="str">
        <f t="shared" si="330"/>
        <v/>
      </c>
      <c r="BA872" t="str">
        <f t="shared" si="331"/>
        <v/>
      </c>
      <c r="BB872" t="str">
        <f t="shared" si="332"/>
        <v/>
      </c>
      <c r="BC872" t="str">
        <f t="shared" si="333"/>
        <v/>
      </c>
      <c r="BD872" t="str">
        <f t="shared" si="334"/>
        <v/>
      </c>
      <c r="BE872" t="str">
        <f t="shared" si="335"/>
        <v/>
      </c>
      <c r="BF872" t="str">
        <f t="shared" si="336"/>
        <v/>
      </c>
      <c r="BG872" t="str">
        <f t="shared" si="337"/>
        <v/>
      </c>
      <c r="BH872" t="str">
        <f t="shared" si="338"/>
        <v/>
      </c>
      <c r="BI872" t="str">
        <f t="shared" si="339"/>
        <v/>
      </c>
      <c r="BJ872" t="str">
        <f t="shared" si="340"/>
        <v/>
      </c>
      <c r="BK872" t="str">
        <f t="shared" si="341"/>
        <v/>
      </c>
      <c r="BL872" t="str">
        <f t="shared" si="342"/>
        <v/>
      </c>
      <c r="BM872" t="str">
        <f t="shared" si="343"/>
        <v/>
      </c>
      <c r="BN872" t="str">
        <f t="shared" si="344"/>
        <v/>
      </c>
      <c r="BO872" t="str">
        <f t="shared" si="345"/>
        <v/>
      </c>
      <c r="BP872" t="str">
        <f t="shared" si="346"/>
        <v/>
      </c>
      <c r="BQ872" t="str">
        <f t="shared" si="347"/>
        <v/>
      </c>
      <c r="BR872" t="str">
        <f t="shared" si="348"/>
        <v/>
      </c>
      <c r="BS872" t="str">
        <f t="shared" si="349"/>
        <v/>
      </c>
      <c r="BT872" t="str">
        <f t="shared" si="350"/>
        <v/>
      </c>
      <c r="BU872" t="str">
        <f t="shared" si="351"/>
        <v/>
      </c>
    </row>
    <row r="873" spans="1:73">
      <c r="A873" s="1">
        <v>66184</v>
      </c>
      <c r="B873" t="str">
        <f>VLOOKUP($A873,[1]Table!$A$2:$N1042,B$1,FALSE)</f>
        <v>N01BB20</v>
      </c>
      <c r="C873" t="str">
        <f>VLOOKUP($A873,[1]Table!$A$2:$N1042,C$1,FALSE)</f>
        <v>ANAESTHETICA</v>
      </c>
      <c r="D873" t="str">
        <f>VLOOKUP($A873,[1]Table!$A$2:$N1042,D$1,FALSE)</f>
        <v>ANAESTHETICA, LOKALE</v>
      </c>
      <c r="E873" t="str">
        <f>VLOOKUP($A873,[1]Table!$A$2:$N1042,E$1,FALSE)</f>
        <v>LIDOCAINE/PRILOCAINE</v>
      </c>
      <c r="F873" t="str">
        <f>VLOOKUP($A873,[1]Table!$A$2:$N1042,F$1,FALSE)</f>
        <v>EMLA CREME 5G</v>
      </c>
      <c r="G873" t="str">
        <f>VLOOKUP($A873,[1]Table!$A$2:$N1042,G$1,FALSE)</f>
        <v>LIDOCAINE/PRILOCAINE CREME</v>
      </c>
      <c r="H873" t="str">
        <f>VLOOKUP($A873,[1]Table!$A$2:$N1042,H$1,FALSE)</f>
        <v>creme</v>
      </c>
      <c r="I873" t="str">
        <f>VLOOKUP($A873,[1]Table!$A$2:$N1042,I$1,FALSE)</f>
        <v>cutaan</v>
      </c>
      <c r="J873">
        <f>VLOOKUP($A873,[1]Table!$A$2:$N1042,J$1,FALSE)</f>
        <v>25</v>
      </c>
      <c r="K873" t="str">
        <f>VLOOKUP($A873,[1]Table!$A$2:$N1042,K$1,FALSE)</f>
        <v>mg/gr</v>
      </c>
      <c r="L873">
        <f>VLOOKUP($A873,[1]Table!$A$2:$N1042,L$1,FALSE)</f>
        <v>25</v>
      </c>
      <c r="M873" t="str">
        <f>VLOOKUP($A873,[1]Table!$A$2:$N1042,M$1,FALSE)</f>
        <v>mg</v>
      </c>
      <c r="N873" t="str">
        <f>VLOOKUP($A873,[1]Table!$A$2:$N1042,N$1,FALSE)</f>
        <v>Lokale verdoving</v>
      </c>
      <c r="O873" t="str">
        <f>ConcatenateRange(AZ873:BU873,"||")</f>
        <v/>
      </c>
      <c r="AZ873" t="str">
        <f t="shared" si="330"/>
        <v/>
      </c>
      <c r="BA873" t="str">
        <f t="shared" si="331"/>
        <v/>
      </c>
      <c r="BB873" t="str">
        <f t="shared" si="332"/>
        <v/>
      </c>
      <c r="BC873" t="str">
        <f t="shared" si="333"/>
        <v/>
      </c>
      <c r="BD873" t="str">
        <f t="shared" si="334"/>
        <v/>
      </c>
      <c r="BE873" t="str">
        <f t="shared" si="335"/>
        <v/>
      </c>
      <c r="BF873" t="str">
        <f t="shared" si="336"/>
        <v/>
      </c>
      <c r="BG873" t="str">
        <f t="shared" si="337"/>
        <v/>
      </c>
      <c r="BH873" t="str">
        <f t="shared" si="338"/>
        <v/>
      </c>
      <c r="BI873" t="str">
        <f t="shared" si="339"/>
        <v/>
      </c>
      <c r="BJ873" t="str">
        <f t="shared" si="340"/>
        <v/>
      </c>
      <c r="BK873" t="str">
        <f t="shared" si="341"/>
        <v/>
      </c>
      <c r="BL873" t="str">
        <f t="shared" si="342"/>
        <v/>
      </c>
      <c r="BM873" t="str">
        <f t="shared" si="343"/>
        <v/>
      </c>
      <c r="BN873" t="str">
        <f t="shared" si="344"/>
        <v/>
      </c>
      <c r="BO873" t="str">
        <f t="shared" si="345"/>
        <v/>
      </c>
      <c r="BP873" t="str">
        <f t="shared" si="346"/>
        <v/>
      </c>
      <c r="BQ873" t="str">
        <f t="shared" si="347"/>
        <v/>
      </c>
      <c r="BR873" t="str">
        <f t="shared" si="348"/>
        <v/>
      </c>
      <c r="BS873" t="str">
        <f t="shared" si="349"/>
        <v/>
      </c>
      <c r="BT873" t="str">
        <f t="shared" si="350"/>
        <v/>
      </c>
      <c r="BU873" t="str">
        <f t="shared" si="351"/>
        <v/>
      </c>
    </row>
    <row r="874" spans="1:73">
      <c r="A874" s="1">
        <v>93424</v>
      </c>
      <c r="B874" t="str">
        <f>VLOOKUP($A874,[1]Table!$A$2:$N1043,B$1,FALSE)</f>
        <v>N01BB20</v>
      </c>
      <c r="C874" t="str">
        <f>VLOOKUP($A874,[1]Table!$A$2:$N1043,C$1,FALSE)</f>
        <v>ANAESTHETICA</v>
      </c>
      <c r="D874" t="str">
        <f>VLOOKUP($A874,[1]Table!$A$2:$N1043,D$1,FALSE)</f>
        <v>ANAESTHETICA, LOKALE</v>
      </c>
      <c r="E874" t="str">
        <f>VLOOKUP($A874,[1]Table!$A$2:$N1043,E$1,FALSE)</f>
        <v>LIDOCAINE/PRILOCAINE</v>
      </c>
      <c r="F874" t="str">
        <f>VLOOKUP($A874,[1]Table!$A$2:$N1043,F$1,FALSE)</f>
        <v>EMLA PLEISTER</v>
      </c>
      <c r="G874" t="str">
        <f>VLOOKUP($A874,[1]Table!$A$2:$N1043,G$1,FALSE)</f>
        <v>LIDOCAINE/PRILOCAI PLEISTER</v>
      </c>
      <c r="H874" t="str">
        <f>VLOOKUP($A874,[1]Table!$A$2:$N1043,H$1,FALSE)</f>
        <v>pleister</v>
      </c>
      <c r="I874" t="str">
        <f>VLOOKUP($A874,[1]Table!$A$2:$N1043,I$1,FALSE)</f>
        <v>cutaan</v>
      </c>
      <c r="J874">
        <f>VLOOKUP($A874,[1]Table!$A$2:$N1043,J$1,FALSE)</f>
        <v>25</v>
      </c>
      <c r="K874" t="str">
        <f>VLOOKUP($A874,[1]Table!$A$2:$N1043,K$1,FALSE)</f>
        <v>mg/stuk</v>
      </c>
      <c r="L874">
        <f>VLOOKUP($A874,[1]Table!$A$2:$N1043,L$1,FALSE)</f>
        <v>25</v>
      </c>
      <c r="M874" t="str">
        <f>VLOOKUP($A874,[1]Table!$A$2:$N1043,M$1,FALSE)</f>
        <v>mg</v>
      </c>
      <c r="N874" t="str">
        <f>VLOOKUP($A874,[1]Table!$A$2:$N1043,N$1,FALSE)</f>
        <v>Lokale verdoving</v>
      </c>
      <c r="O874" t="str">
        <f>ConcatenateRange(AZ874:BU874,"||")</f>
        <v/>
      </c>
      <c r="AZ874" t="str">
        <f t="shared" si="330"/>
        <v/>
      </c>
      <c r="BA874" t="str">
        <f t="shared" si="331"/>
        <v/>
      </c>
      <c r="BB874" t="str">
        <f t="shared" si="332"/>
        <v/>
      </c>
      <c r="BC874" t="str">
        <f t="shared" si="333"/>
        <v/>
      </c>
      <c r="BD874" t="str">
        <f t="shared" si="334"/>
        <v/>
      </c>
      <c r="BE874" t="str">
        <f t="shared" si="335"/>
        <v/>
      </c>
      <c r="BF874" t="str">
        <f t="shared" si="336"/>
        <v/>
      </c>
      <c r="BG874" t="str">
        <f t="shared" si="337"/>
        <v/>
      </c>
      <c r="BH874" t="str">
        <f t="shared" si="338"/>
        <v/>
      </c>
      <c r="BI874" t="str">
        <f t="shared" si="339"/>
        <v/>
      </c>
      <c r="BJ874" t="str">
        <f t="shared" si="340"/>
        <v/>
      </c>
      <c r="BK874" t="str">
        <f t="shared" si="341"/>
        <v/>
      </c>
      <c r="BL874" t="str">
        <f t="shared" si="342"/>
        <v/>
      </c>
      <c r="BM874" t="str">
        <f t="shared" si="343"/>
        <v/>
      </c>
      <c r="BN874" t="str">
        <f t="shared" si="344"/>
        <v/>
      </c>
      <c r="BO874" t="str">
        <f t="shared" si="345"/>
        <v/>
      </c>
      <c r="BP874" t="str">
        <f t="shared" si="346"/>
        <v/>
      </c>
      <c r="BQ874" t="str">
        <f t="shared" si="347"/>
        <v/>
      </c>
      <c r="BR874" t="str">
        <f t="shared" si="348"/>
        <v/>
      </c>
      <c r="BS874" t="str">
        <f t="shared" si="349"/>
        <v/>
      </c>
      <c r="BT874" t="str">
        <f t="shared" si="350"/>
        <v/>
      </c>
      <c r="BU874" t="str">
        <f t="shared" si="351"/>
        <v/>
      </c>
    </row>
    <row r="875" spans="1:73">
      <c r="A875" s="1">
        <v>128716</v>
      </c>
      <c r="B875" t="str">
        <f>VLOOKUP($A875,[1]Table!$A$2:$N1044,B$1,FALSE)</f>
        <v>N01BB20</v>
      </c>
      <c r="C875" t="str">
        <f>VLOOKUP($A875,[1]Table!$A$2:$N1044,C$1,FALSE)</f>
        <v>ANAESTHETICA</v>
      </c>
      <c r="D875" t="str">
        <f>VLOOKUP($A875,[1]Table!$A$2:$N1044,D$1,FALSE)</f>
        <v>ANAESTHETICA, LOKALE</v>
      </c>
      <c r="E875" t="str">
        <f>VLOOKUP($A875,[1]Table!$A$2:$N1044,E$1,FALSE)</f>
        <v>LIDOCAINE/TETRACAINE</v>
      </c>
      <c r="F875" t="str">
        <f>VLOOKUP($A875,[1]Table!$A$2:$N1044,F$1,FALSE)</f>
        <v>RAPYDAN 70 MG/70 MG PLEISTER</v>
      </c>
      <c r="G875" t="str">
        <f>VLOOKUP($A875,[1]Table!$A$2:$N1044,G$1,FALSE)</f>
        <v>LIDOCAINE/TETRACAI PLEISTER</v>
      </c>
      <c r="H875" t="str">
        <f>VLOOKUP($A875,[1]Table!$A$2:$N1044,H$1,FALSE)</f>
        <v>pleister</v>
      </c>
      <c r="I875" t="str">
        <f>VLOOKUP($A875,[1]Table!$A$2:$N1044,I$1,FALSE)</f>
        <v>cutaan</v>
      </c>
      <c r="J875">
        <f>VLOOKUP($A875,[1]Table!$A$2:$N1044,J$1,FALSE)</f>
        <v>70</v>
      </c>
      <c r="K875" t="str">
        <f>VLOOKUP($A875,[1]Table!$A$2:$N1044,K$1,FALSE)</f>
        <v>mg/stuk</v>
      </c>
      <c r="L875">
        <f>VLOOKUP($A875,[1]Table!$A$2:$N1044,L$1,FALSE)</f>
        <v>70</v>
      </c>
      <c r="M875" t="str">
        <f>VLOOKUP($A875,[1]Table!$A$2:$N1044,M$1,FALSE)</f>
        <v>mg</v>
      </c>
      <c r="N875" t="str">
        <f>VLOOKUP($A875,[1]Table!$A$2:$N1044,N$1,FALSE)</f>
        <v>Lokale verdoving</v>
      </c>
      <c r="O875" t="str">
        <f>ConcatenateRange(AZ875:BU875,"||")</f>
        <v/>
      </c>
      <c r="AZ875" t="str">
        <f t="shared" si="330"/>
        <v/>
      </c>
      <c r="BA875" t="str">
        <f t="shared" si="331"/>
        <v/>
      </c>
      <c r="BB875" t="str">
        <f t="shared" si="332"/>
        <v/>
      </c>
      <c r="BC875" t="str">
        <f t="shared" si="333"/>
        <v/>
      </c>
      <c r="BD875" t="str">
        <f t="shared" si="334"/>
        <v/>
      </c>
      <c r="BE875" t="str">
        <f t="shared" si="335"/>
        <v/>
      </c>
      <c r="BF875" t="str">
        <f t="shared" si="336"/>
        <v/>
      </c>
      <c r="BG875" t="str">
        <f t="shared" si="337"/>
        <v/>
      </c>
      <c r="BH875" t="str">
        <f t="shared" si="338"/>
        <v/>
      </c>
      <c r="BI875" t="str">
        <f t="shared" si="339"/>
        <v/>
      </c>
      <c r="BJ875" t="str">
        <f t="shared" si="340"/>
        <v/>
      </c>
      <c r="BK875" t="str">
        <f t="shared" si="341"/>
        <v/>
      </c>
      <c r="BL875" t="str">
        <f t="shared" si="342"/>
        <v/>
      </c>
      <c r="BM875" t="str">
        <f t="shared" si="343"/>
        <v/>
      </c>
      <c r="BN875" t="str">
        <f t="shared" si="344"/>
        <v/>
      </c>
      <c r="BO875" t="str">
        <f t="shared" si="345"/>
        <v/>
      </c>
      <c r="BP875" t="str">
        <f t="shared" si="346"/>
        <v/>
      </c>
      <c r="BQ875" t="str">
        <f t="shared" si="347"/>
        <v/>
      </c>
      <c r="BR875" t="str">
        <f t="shared" si="348"/>
        <v/>
      </c>
      <c r="BS875" t="str">
        <f t="shared" si="349"/>
        <v/>
      </c>
      <c r="BT875" t="str">
        <f t="shared" si="350"/>
        <v/>
      </c>
      <c r="BU875" t="str">
        <f t="shared" si="351"/>
        <v/>
      </c>
    </row>
    <row r="876" spans="1:73">
      <c r="A876" s="1">
        <v>114766</v>
      </c>
      <c r="B876" t="str">
        <f>VLOOKUP($A876,[1]Table!$A$2:$N1045,B$1,FALSE)</f>
        <v>J01XX08</v>
      </c>
      <c r="C876" t="str">
        <f>VLOOKUP($A876,[1]Table!$A$2:$N1045,C$1,FALSE)</f>
        <v>ANTIBACTERIELE MIDDELEN VOOR SYSTEMISCH GEBRUIK</v>
      </c>
      <c r="D876" t="str">
        <f>VLOOKUP($A876,[1]Table!$A$2:$N1045,D$1,FALSE)</f>
        <v>OVERIGE ANTIBACTERIELE MIDDELEN</v>
      </c>
      <c r="E876" t="str">
        <f>VLOOKUP($A876,[1]Table!$A$2:$N1045,E$1,FALSE)</f>
        <v>LINEZOLID</v>
      </c>
      <c r="F876" t="str">
        <f>VLOOKUP($A876,[1]Table!$A$2:$N1045,F$1,FALSE)</f>
        <v>LINEZOLID 600MG TABLET FILMOMHULD</v>
      </c>
      <c r="G876" t="str">
        <f>VLOOKUP($A876,[1]Table!$A$2:$N1045,G$1,FALSE)</f>
        <v>LINEZOLID 600MG TABLET FO</v>
      </c>
      <c r="H876" t="str">
        <f>VLOOKUP($A876,[1]Table!$A$2:$N1045,H$1,FALSE)</f>
        <v>filmomhulde tablet</v>
      </c>
      <c r="I876" t="str">
        <f>VLOOKUP($A876,[1]Table!$A$2:$N1045,I$1,FALSE)</f>
        <v>or</v>
      </c>
      <c r="J876">
        <f>VLOOKUP($A876,[1]Table!$A$2:$N1045,J$1,FALSE)</f>
        <v>600</v>
      </c>
      <c r="K876" t="str">
        <f>VLOOKUP($A876,[1]Table!$A$2:$N1045,K$1,FALSE)</f>
        <v>mg/stuk</v>
      </c>
      <c r="L876">
        <f>VLOOKUP($A876,[1]Table!$A$2:$N1045,L$1,FALSE)</f>
        <v>600</v>
      </c>
      <c r="M876" t="str">
        <f>VLOOKUP($A876,[1]Table!$A$2:$N1045,M$1,FALSE)</f>
        <v>mg</v>
      </c>
      <c r="N876" t="str">
        <f>VLOOKUP($A876,[1]Table!$A$2:$N1045,N$1,FALSE)</f>
        <v>Pneumonie, infecties van huid en weke delen ||Multi-drug resistente tuberculose</v>
      </c>
      <c r="O876" t="str">
        <f>ConcatenateRange(AZ876:BU876,"||")</f>
        <v/>
      </c>
      <c r="AZ876" t="str">
        <f t="shared" si="330"/>
        <v/>
      </c>
      <c r="BA876" t="str">
        <f t="shared" si="331"/>
        <v/>
      </c>
      <c r="BB876" t="str">
        <f t="shared" si="332"/>
        <v/>
      </c>
      <c r="BC876" t="str">
        <f t="shared" si="333"/>
        <v/>
      </c>
      <c r="BD876" t="str">
        <f t="shared" si="334"/>
        <v/>
      </c>
      <c r="BE876" t="str">
        <f t="shared" si="335"/>
        <v/>
      </c>
      <c r="BF876" t="str">
        <f t="shared" si="336"/>
        <v/>
      </c>
      <c r="BG876" t="str">
        <f t="shared" si="337"/>
        <v/>
      </c>
      <c r="BH876" t="str">
        <f t="shared" si="338"/>
        <v/>
      </c>
      <c r="BI876" t="str">
        <f t="shared" si="339"/>
        <v/>
      </c>
      <c r="BJ876" t="str">
        <f t="shared" si="340"/>
        <v/>
      </c>
      <c r="BK876" t="str">
        <f t="shared" si="341"/>
        <v/>
      </c>
      <c r="BL876" t="str">
        <f t="shared" si="342"/>
        <v/>
      </c>
      <c r="BM876" t="str">
        <f t="shared" si="343"/>
        <v/>
      </c>
      <c r="BN876" t="str">
        <f t="shared" si="344"/>
        <v/>
      </c>
      <c r="BO876" t="str">
        <f t="shared" si="345"/>
        <v/>
      </c>
      <c r="BP876" t="str">
        <f t="shared" si="346"/>
        <v/>
      </c>
      <c r="BQ876" t="str">
        <f t="shared" si="347"/>
        <v/>
      </c>
      <c r="BR876" t="str">
        <f t="shared" si="348"/>
        <v/>
      </c>
      <c r="BS876" t="str">
        <f t="shared" si="349"/>
        <v/>
      </c>
      <c r="BT876" t="str">
        <f t="shared" si="350"/>
        <v/>
      </c>
      <c r="BU876" t="str">
        <f t="shared" si="351"/>
        <v/>
      </c>
    </row>
    <row r="877" spans="1:73">
      <c r="A877" s="1">
        <v>114758</v>
      </c>
      <c r="B877" t="str">
        <f>VLOOKUP($A877,[1]Table!$A$2:$N1046,B$1,FALSE)</f>
        <v>J01XX08</v>
      </c>
      <c r="C877" t="str">
        <f>VLOOKUP($A877,[1]Table!$A$2:$N1046,C$1,FALSE)</f>
        <v>ANTIBACTERIELE MIDDELEN VOOR SYSTEMISCH GEBRUIK</v>
      </c>
      <c r="D877" t="str">
        <f>VLOOKUP($A877,[1]Table!$A$2:$N1046,D$1,FALSE)</f>
        <v>OVERIGE ANTIBACTERIELE MIDDELEN</v>
      </c>
      <c r="E877" t="str">
        <f>VLOOKUP($A877,[1]Table!$A$2:$N1046,E$1,FALSE)</f>
        <v>LINEZOLID</v>
      </c>
      <c r="F877" t="str">
        <f>VLOOKUP($A877,[1]Table!$A$2:$N1046,F$1,FALSE)</f>
        <v>ZYVOXID 2 MG/ML ZAK 300ML</v>
      </c>
      <c r="G877" t="str">
        <f>VLOOKUP($A877,[1]Table!$A$2:$N1046,G$1,FALSE)</f>
        <v>LINEZOLID 2MG/ML INFVLST</v>
      </c>
      <c r="H877" t="str">
        <f>VLOOKUP($A877,[1]Table!$A$2:$N1046,H$1,FALSE)</f>
        <v>infusievloeistof</v>
      </c>
      <c r="I877" t="str">
        <f>VLOOKUP($A877,[1]Table!$A$2:$N1046,I$1,FALSE)</f>
        <v>iv</v>
      </c>
      <c r="J877">
        <f>VLOOKUP($A877,[1]Table!$A$2:$N1046,J$1,FALSE)</f>
        <v>2</v>
      </c>
      <c r="K877" t="str">
        <f>VLOOKUP($A877,[1]Table!$A$2:$N1046,K$1,FALSE)</f>
        <v>mg/ml</v>
      </c>
      <c r="L877">
        <f>VLOOKUP($A877,[1]Table!$A$2:$N1046,L$1,FALSE)</f>
        <v>2</v>
      </c>
      <c r="M877" t="str">
        <f>VLOOKUP($A877,[1]Table!$A$2:$N1046,M$1,FALSE)</f>
        <v>mg</v>
      </c>
      <c r="N877" t="str">
        <f>VLOOKUP($A877,[1]Table!$A$2:$N1046,N$1,FALSE)</f>
        <v>Pneumonie, infecties van huid en weke delen ||Multi-drug resistente tuberculose</v>
      </c>
      <c r="O877" t="str">
        <f>ConcatenateRange(AZ877:BU877,"||")</f>
        <v/>
      </c>
      <c r="AZ877" t="str">
        <f t="shared" si="330"/>
        <v/>
      </c>
      <c r="BA877" t="str">
        <f t="shared" si="331"/>
        <v/>
      </c>
      <c r="BB877" t="str">
        <f t="shared" si="332"/>
        <v/>
      </c>
      <c r="BC877" t="str">
        <f t="shared" si="333"/>
        <v/>
      </c>
      <c r="BD877" t="str">
        <f t="shared" si="334"/>
        <v/>
      </c>
      <c r="BE877" t="str">
        <f t="shared" si="335"/>
        <v/>
      </c>
      <c r="BF877" t="str">
        <f t="shared" si="336"/>
        <v/>
      </c>
      <c r="BG877" t="str">
        <f t="shared" si="337"/>
        <v/>
      </c>
      <c r="BH877" t="str">
        <f t="shared" si="338"/>
        <v/>
      </c>
      <c r="BI877" t="str">
        <f t="shared" si="339"/>
        <v/>
      </c>
      <c r="BJ877" t="str">
        <f t="shared" si="340"/>
        <v/>
      </c>
      <c r="BK877" t="str">
        <f t="shared" si="341"/>
        <v/>
      </c>
      <c r="BL877" t="str">
        <f t="shared" si="342"/>
        <v/>
      </c>
      <c r="BM877" t="str">
        <f t="shared" si="343"/>
        <v/>
      </c>
      <c r="BN877" t="str">
        <f t="shared" si="344"/>
        <v/>
      </c>
      <c r="BO877" t="str">
        <f t="shared" si="345"/>
        <v/>
      </c>
      <c r="BP877" t="str">
        <f t="shared" si="346"/>
        <v/>
      </c>
      <c r="BQ877" t="str">
        <f t="shared" si="347"/>
        <v/>
      </c>
      <c r="BR877" t="str">
        <f t="shared" si="348"/>
        <v/>
      </c>
      <c r="BS877" t="str">
        <f t="shared" si="349"/>
        <v/>
      </c>
      <c r="BT877" t="str">
        <f t="shared" si="350"/>
        <v/>
      </c>
      <c r="BU877" t="str">
        <f t="shared" si="351"/>
        <v/>
      </c>
    </row>
    <row r="878" spans="1:73">
      <c r="A878" s="1">
        <v>71579</v>
      </c>
      <c r="B878" t="str">
        <f>VLOOKUP($A878,[1]Table!$A$2:$N1047,B$1,FALSE)</f>
        <v>C09AA03</v>
      </c>
      <c r="C878" t="str">
        <f>VLOOKUP($A878,[1]Table!$A$2:$N1047,C$1,FALSE)</f>
        <v>MIDDELEN AANGRIJPEND OP HET RENINE-ANGIOTENSINESYSTEEM</v>
      </c>
      <c r="D878" t="str">
        <f>VLOOKUP($A878,[1]Table!$A$2:$N1047,D$1,FALSE)</f>
        <v>ACE-REMMERS</v>
      </c>
      <c r="E878" t="str">
        <f>VLOOKUP($A878,[1]Table!$A$2:$N1047,E$1,FALSE)</f>
        <v>LISINOPRIL</v>
      </c>
      <c r="F878" t="str">
        <f>VLOOKUP($A878,[1]Table!$A$2:$N1047,F$1,FALSE)</f>
        <v>LISINOPRIL 5 MG TABLET</v>
      </c>
      <c r="G878" t="str">
        <f>VLOOKUP($A878,[1]Table!$A$2:$N1047,G$1,FALSE)</f>
        <v>LISINOPRIL 5MG TABLET</v>
      </c>
      <c r="H878" t="str">
        <f>VLOOKUP($A878,[1]Table!$A$2:$N1047,H$1,FALSE)</f>
        <v>tablet</v>
      </c>
      <c r="I878" t="str">
        <f>VLOOKUP($A878,[1]Table!$A$2:$N1047,I$1,FALSE)</f>
        <v>or</v>
      </c>
      <c r="J878">
        <f>VLOOKUP($A878,[1]Table!$A$2:$N1047,J$1,FALSE)</f>
        <v>5</v>
      </c>
      <c r="K878" t="str">
        <f>VLOOKUP($A878,[1]Table!$A$2:$N1047,K$1,FALSE)</f>
        <v>mg/stuk</v>
      </c>
      <c r="L878">
        <f>VLOOKUP($A878,[1]Table!$A$2:$N1047,L$1,FALSE)</f>
        <v>2.5</v>
      </c>
      <c r="M878" t="str">
        <f>VLOOKUP($A878,[1]Table!$A$2:$N1047,M$1,FALSE)</f>
        <v>mg</v>
      </c>
      <c r="N878" t="str">
        <f>VLOOKUP($A878,[1]Table!$A$2:$N1047,N$1,FALSE)</f>
        <v>Hypertensie</v>
      </c>
      <c r="O878" t="str">
        <f>ConcatenateRange(AZ878:BU878,"||")</f>
        <v/>
      </c>
      <c r="AZ878" t="str">
        <f t="shared" si="330"/>
        <v/>
      </c>
      <c r="BA878" t="str">
        <f t="shared" si="331"/>
        <v/>
      </c>
      <c r="BB878" t="str">
        <f t="shared" si="332"/>
        <v/>
      </c>
      <c r="BC878" t="str">
        <f t="shared" si="333"/>
        <v/>
      </c>
      <c r="BD878" t="str">
        <f t="shared" si="334"/>
        <v/>
      </c>
      <c r="BE878" t="str">
        <f t="shared" si="335"/>
        <v/>
      </c>
      <c r="BF878" t="str">
        <f t="shared" si="336"/>
        <v/>
      </c>
      <c r="BG878" t="str">
        <f t="shared" si="337"/>
        <v/>
      </c>
      <c r="BH878" t="str">
        <f t="shared" si="338"/>
        <v/>
      </c>
      <c r="BI878" t="str">
        <f t="shared" si="339"/>
        <v/>
      </c>
      <c r="BJ878" t="str">
        <f t="shared" si="340"/>
        <v/>
      </c>
      <c r="BK878" t="str">
        <f t="shared" si="341"/>
        <v/>
      </c>
      <c r="BL878" t="str">
        <f t="shared" si="342"/>
        <v/>
      </c>
      <c r="BM878" t="str">
        <f t="shared" si="343"/>
        <v/>
      </c>
      <c r="BN878" t="str">
        <f t="shared" si="344"/>
        <v/>
      </c>
      <c r="BO878" t="str">
        <f t="shared" si="345"/>
        <v/>
      </c>
      <c r="BP878" t="str">
        <f t="shared" si="346"/>
        <v/>
      </c>
      <c r="BQ878" t="str">
        <f t="shared" si="347"/>
        <v/>
      </c>
      <c r="BR878" t="str">
        <f t="shared" si="348"/>
        <v/>
      </c>
      <c r="BS878" t="str">
        <f t="shared" si="349"/>
        <v/>
      </c>
      <c r="BT878" t="str">
        <f t="shared" si="350"/>
        <v/>
      </c>
      <c r="BU878" t="str">
        <f t="shared" si="351"/>
        <v/>
      </c>
    </row>
    <row r="879" spans="1:73">
      <c r="A879" s="1">
        <v>71587</v>
      </c>
      <c r="B879" t="str">
        <f>VLOOKUP($A879,[1]Table!$A$2:$N1048,B$1,FALSE)</f>
        <v>C09AA03</v>
      </c>
      <c r="C879" t="str">
        <f>VLOOKUP($A879,[1]Table!$A$2:$N1048,C$1,FALSE)</f>
        <v>MIDDELEN AANGRIJPEND OP HET RENINE-ANGIOTENSINESYSTEEM</v>
      </c>
      <c r="D879" t="str">
        <f>VLOOKUP($A879,[1]Table!$A$2:$N1048,D$1,FALSE)</f>
        <v>ACE-REMMERS</v>
      </c>
      <c r="E879" t="str">
        <f>VLOOKUP($A879,[1]Table!$A$2:$N1048,E$1,FALSE)</f>
        <v>LISINOPRIL</v>
      </c>
      <c r="F879" t="str">
        <f>VLOOKUP($A879,[1]Table!$A$2:$N1048,F$1,FALSE)</f>
        <v>LISINOPRIL 10 MG TABLET</v>
      </c>
      <c r="G879" t="str">
        <f>VLOOKUP($A879,[1]Table!$A$2:$N1048,G$1,FALSE)</f>
        <v>LISINOPRIL 10MG TABLET</v>
      </c>
      <c r="H879" t="str">
        <f>VLOOKUP($A879,[1]Table!$A$2:$N1048,H$1,FALSE)</f>
        <v>tablet</v>
      </c>
      <c r="I879" t="str">
        <f>VLOOKUP($A879,[1]Table!$A$2:$N1048,I$1,FALSE)</f>
        <v>or</v>
      </c>
      <c r="J879">
        <f>VLOOKUP($A879,[1]Table!$A$2:$N1048,J$1,FALSE)</f>
        <v>10</v>
      </c>
      <c r="K879" t="str">
        <f>VLOOKUP($A879,[1]Table!$A$2:$N1048,K$1,FALSE)</f>
        <v>mg/stuk</v>
      </c>
      <c r="L879">
        <f>VLOOKUP($A879,[1]Table!$A$2:$N1048,L$1,FALSE)</f>
        <v>5</v>
      </c>
      <c r="M879" t="str">
        <f>VLOOKUP($A879,[1]Table!$A$2:$N1048,M$1,FALSE)</f>
        <v>mg</v>
      </c>
      <c r="N879" t="str">
        <f>VLOOKUP($A879,[1]Table!$A$2:$N1048,N$1,FALSE)</f>
        <v>Hypertensie</v>
      </c>
      <c r="O879" t="str">
        <f>ConcatenateRange(AZ879:BU879,"||")</f>
        <v/>
      </c>
      <c r="AZ879" t="str">
        <f t="shared" si="330"/>
        <v/>
      </c>
      <c r="BA879" t="str">
        <f t="shared" si="331"/>
        <v/>
      </c>
      <c r="BB879" t="str">
        <f t="shared" si="332"/>
        <v/>
      </c>
      <c r="BC879" t="str">
        <f t="shared" si="333"/>
        <v/>
      </c>
      <c r="BD879" t="str">
        <f t="shared" si="334"/>
        <v/>
      </c>
      <c r="BE879" t="str">
        <f t="shared" si="335"/>
        <v/>
      </c>
      <c r="BF879" t="str">
        <f t="shared" si="336"/>
        <v/>
      </c>
      <c r="BG879" t="str">
        <f t="shared" si="337"/>
        <v/>
      </c>
      <c r="BH879" t="str">
        <f t="shared" si="338"/>
        <v/>
      </c>
      <c r="BI879" t="str">
        <f t="shared" si="339"/>
        <v/>
      </c>
      <c r="BJ879" t="str">
        <f t="shared" si="340"/>
        <v/>
      </c>
      <c r="BK879" t="str">
        <f t="shared" si="341"/>
        <v/>
      </c>
      <c r="BL879" t="str">
        <f t="shared" si="342"/>
        <v/>
      </c>
      <c r="BM879" t="str">
        <f t="shared" si="343"/>
        <v/>
      </c>
      <c r="BN879" t="str">
        <f t="shared" si="344"/>
        <v/>
      </c>
      <c r="BO879" t="str">
        <f t="shared" si="345"/>
        <v/>
      </c>
      <c r="BP879" t="str">
        <f t="shared" si="346"/>
        <v/>
      </c>
      <c r="BQ879" t="str">
        <f t="shared" si="347"/>
        <v/>
      </c>
      <c r="BR879" t="str">
        <f t="shared" si="348"/>
        <v/>
      </c>
      <c r="BS879" t="str">
        <f t="shared" si="349"/>
        <v/>
      </c>
      <c r="BT879" t="str">
        <f t="shared" si="350"/>
        <v/>
      </c>
      <c r="BU879" t="str">
        <f t="shared" si="351"/>
        <v/>
      </c>
    </row>
    <row r="880" spans="1:73">
      <c r="A880" s="1">
        <v>71595</v>
      </c>
      <c r="B880" t="str">
        <f>VLOOKUP($A880,[1]Table!$A$2:$N1049,B$1,FALSE)</f>
        <v>C09AA03</v>
      </c>
      <c r="C880" t="str">
        <f>VLOOKUP($A880,[1]Table!$A$2:$N1049,C$1,FALSE)</f>
        <v>MIDDELEN AANGRIJPEND OP HET RENINE-ANGIOTENSINESYSTEEM</v>
      </c>
      <c r="D880" t="str">
        <f>VLOOKUP($A880,[1]Table!$A$2:$N1049,D$1,FALSE)</f>
        <v>ACE-REMMERS</v>
      </c>
      <c r="E880" t="str">
        <f>VLOOKUP($A880,[1]Table!$A$2:$N1049,E$1,FALSE)</f>
        <v>LISINOPRIL</v>
      </c>
      <c r="F880" t="str">
        <f>VLOOKUP($A880,[1]Table!$A$2:$N1049,F$1,FALSE)</f>
        <v>LISINOPRIL 20 MG TABLET</v>
      </c>
      <c r="G880" t="str">
        <f>VLOOKUP($A880,[1]Table!$A$2:$N1049,G$1,FALSE)</f>
        <v>LISINOPRIL 20MG TABLET</v>
      </c>
      <c r="H880" t="str">
        <f>VLOOKUP($A880,[1]Table!$A$2:$N1049,H$1,FALSE)</f>
        <v>tablet</v>
      </c>
      <c r="I880" t="str">
        <f>VLOOKUP($A880,[1]Table!$A$2:$N1049,I$1,FALSE)</f>
        <v>or</v>
      </c>
      <c r="J880">
        <f>VLOOKUP($A880,[1]Table!$A$2:$N1049,J$1,FALSE)</f>
        <v>20</v>
      </c>
      <c r="K880" t="str">
        <f>VLOOKUP($A880,[1]Table!$A$2:$N1049,K$1,FALSE)</f>
        <v>mg/stuk</v>
      </c>
      <c r="L880">
        <f>VLOOKUP($A880,[1]Table!$A$2:$N1049,L$1,FALSE)</f>
        <v>10</v>
      </c>
      <c r="M880" t="str">
        <f>VLOOKUP($A880,[1]Table!$A$2:$N1049,M$1,FALSE)</f>
        <v>mg</v>
      </c>
      <c r="N880" t="str">
        <f>VLOOKUP($A880,[1]Table!$A$2:$N1049,N$1,FALSE)</f>
        <v>Hypertensie</v>
      </c>
      <c r="O880" t="str">
        <f>ConcatenateRange(AZ880:BU880,"||")</f>
        <v/>
      </c>
      <c r="AZ880" t="str">
        <f t="shared" si="330"/>
        <v/>
      </c>
      <c r="BA880" t="str">
        <f t="shared" si="331"/>
        <v/>
      </c>
      <c r="BB880" t="str">
        <f t="shared" si="332"/>
        <v/>
      </c>
      <c r="BC880" t="str">
        <f t="shared" si="333"/>
        <v/>
      </c>
      <c r="BD880" t="str">
        <f t="shared" si="334"/>
        <v/>
      </c>
      <c r="BE880" t="str">
        <f t="shared" si="335"/>
        <v/>
      </c>
      <c r="BF880" t="str">
        <f t="shared" si="336"/>
        <v/>
      </c>
      <c r="BG880" t="str">
        <f t="shared" si="337"/>
        <v/>
      </c>
      <c r="BH880" t="str">
        <f t="shared" si="338"/>
        <v/>
      </c>
      <c r="BI880" t="str">
        <f t="shared" si="339"/>
        <v/>
      </c>
      <c r="BJ880" t="str">
        <f t="shared" si="340"/>
        <v/>
      </c>
      <c r="BK880" t="str">
        <f t="shared" si="341"/>
        <v/>
      </c>
      <c r="BL880" t="str">
        <f t="shared" si="342"/>
        <v/>
      </c>
      <c r="BM880" t="str">
        <f t="shared" si="343"/>
        <v/>
      </c>
      <c r="BN880" t="str">
        <f t="shared" si="344"/>
        <v/>
      </c>
      <c r="BO880" t="str">
        <f t="shared" si="345"/>
        <v/>
      </c>
      <c r="BP880" t="str">
        <f t="shared" si="346"/>
        <v/>
      </c>
      <c r="BQ880" t="str">
        <f t="shared" si="347"/>
        <v/>
      </c>
      <c r="BR880" t="str">
        <f t="shared" si="348"/>
        <v/>
      </c>
      <c r="BS880" t="str">
        <f t="shared" si="349"/>
        <v/>
      </c>
      <c r="BT880" t="str">
        <f t="shared" si="350"/>
        <v/>
      </c>
      <c r="BU880" t="str">
        <f t="shared" si="351"/>
        <v/>
      </c>
    </row>
    <row r="881" spans="1:73">
      <c r="A881" s="1">
        <v>23396</v>
      </c>
      <c r="B881" t="str">
        <f>VLOOKUP($A881,[1]Table!$A$2:$N1050,B$1,FALSE)</f>
        <v>N05AN01</v>
      </c>
      <c r="C881" t="str">
        <f>VLOOKUP($A881,[1]Table!$A$2:$N1050,C$1,FALSE)</f>
        <v>PSYCHOLEPTICA</v>
      </c>
      <c r="D881" t="str">
        <f>VLOOKUP($A881,[1]Table!$A$2:$N1050,D$1,FALSE)</f>
        <v>ANTIPSYCHOTICA</v>
      </c>
      <c r="E881" t="str">
        <f>VLOOKUP($A881,[1]Table!$A$2:$N1050,E$1,FALSE)</f>
        <v>LITHIUMCARBONAAT</v>
      </c>
      <c r="F881" t="str">
        <f>VLOOKUP($A881,[1]Table!$A$2:$N1050,F$1,FALSE)</f>
        <v>LITHIUM CARBONAAT 200 MG TABLET</v>
      </c>
      <c r="G881" t="str">
        <f>VLOOKUP($A881,[1]Table!$A$2:$N1050,G$1,FALSE)</f>
        <v>LITHIUMCARBONAAT 200MG TABL</v>
      </c>
      <c r="H881" t="str">
        <f>VLOOKUP($A881,[1]Table!$A$2:$N1050,H$1,FALSE)</f>
        <v>tablet</v>
      </c>
      <c r="I881" t="str">
        <f>VLOOKUP($A881,[1]Table!$A$2:$N1050,I$1,FALSE)</f>
        <v>or</v>
      </c>
      <c r="J881">
        <f>VLOOKUP($A881,[1]Table!$A$2:$N1050,J$1,FALSE)</f>
        <v>200</v>
      </c>
      <c r="K881" t="str">
        <f>VLOOKUP($A881,[1]Table!$A$2:$N1050,K$1,FALSE)</f>
        <v>mg/stuk</v>
      </c>
      <c r="L881">
        <f>VLOOKUP($A881,[1]Table!$A$2:$N1050,L$1,FALSE)</f>
        <v>100</v>
      </c>
      <c r="M881" t="str">
        <f>VLOOKUP($A881,[1]Table!$A$2:$N1050,M$1,FALSE)</f>
        <v>mg</v>
      </c>
      <c r="N881" t="str">
        <f>VLOOKUP($A881,[1]Table!$A$2:$N1050,N$1,FALSE)</f>
        <v>Acute manische episoden en als onderhoudsbehandeling bij de bipolaire stoornis</v>
      </c>
      <c r="O881" t="str">
        <f>ConcatenateRange(AZ881:BU881,"||")</f>
        <v/>
      </c>
      <c r="AZ881" t="str">
        <f t="shared" si="330"/>
        <v/>
      </c>
      <c r="BA881" t="str">
        <f t="shared" si="331"/>
        <v/>
      </c>
      <c r="BB881" t="str">
        <f t="shared" si="332"/>
        <v/>
      </c>
      <c r="BC881" t="str">
        <f t="shared" si="333"/>
        <v/>
      </c>
      <c r="BD881" t="str">
        <f t="shared" si="334"/>
        <v/>
      </c>
      <c r="BE881" t="str">
        <f t="shared" si="335"/>
        <v/>
      </c>
      <c r="BF881" t="str">
        <f t="shared" si="336"/>
        <v/>
      </c>
      <c r="BG881" t="str">
        <f t="shared" si="337"/>
        <v/>
      </c>
      <c r="BH881" t="str">
        <f t="shared" si="338"/>
        <v/>
      </c>
      <c r="BI881" t="str">
        <f t="shared" si="339"/>
        <v/>
      </c>
      <c r="BJ881" t="str">
        <f t="shared" si="340"/>
        <v/>
      </c>
      <c r="BK881" t="str">
        <f t="shared" si="341"/>
        <v/>
      </c>
      <c r="BL881" t="str">
        <f t="shared" si="342"/>
        <v/>
      </c>
      <c r="BM881" t="str">
        <f t="shared" si="343"/>
        <v/>
      </c>
      <c r="BN881" t="str">
        <f t="shared" si="344"/>
        <v/>
      </c>
      <c r="BO881" t="str">
        <f t="shared" si="345"/>
        <v/>
      </c>
      <c r="BP881" t="str">
        <f t="shared" si="346"/>
        <v/>
      </c>
      <c r="BQ881" t="str">
        <f t="shared" si="347"/>
        <v/>
      </c>
      <c r="BR881" t="str">
        <f t="shared" si="348"/>
        <v/>
      </c>
      <c r="BS881" t="str">
        <f t="shared" si="349"/>
        <v/>
      </c>
      <c r="BT881" t="str">
        <f t="shared" si="350"/>
        <v/>
      </c>
      <c r="BU881" t="str">
        <f t="shared" si="351"/>
        <v/>
      </c>
    </row>
    <row r="882" spans="1:73">
      <c r="A882" s="1">
        <v>53228</v>
      </c>
      <c r="B882" t="str">
        <f>VLOOKUP($A882,[1]Table!$A$2:$N1051,B$1,FALSE)</f>
        <v>N05AN01</v>
      </c>
      <c r="C882" t="str">
        <f>VLOOKUP($A882,[1]Table!$A$2:$N1051,C$1,FALSE)</f>
        <v>PSYCHOLEPTICA</v>
      </c>
      <c r="D882" t="str">
        <f>VLOOKUP($A882,[1]Table!$A$2:$N1051,D$1,FALSE)</f>
        <v>ANTIPSYCHOTICA</v>
      </c>
      <c r="E882" t="str">
        <f>VLOOKUP($A882,[1]Table!$A$2:$N1051,E$1,FALSE)</f>
        <v>LITHIUMCARBONAAT</v>
      </c>
      <c r="F882" t="str">
        <f>VLOOKUP($A882,[1]Table!$A$2:$N1051,F$1,FALSE)</f>
        <v>LITHIUM CARBONAAT 300 MG TABLET</v>
      </c>
      <c r="G882" t="str">
        <f>VLOOKUP($A882,[1]Table!$A$2:$N1051,G$1,FALSE)</f>
        <v>LITHIUMCARBONAAT 300MG TABL</v>
      </c>
      <c r="H882" t="str">
        <f>VLOOKUP($A882,[1]Table!$A$2:$N1051,H$1,FALSE)</f>
        <v>tablet</v>
      </c>
      <c r="I882" t="str">
        <f>VLOOKUP($A882,[1]Table!$A$2:$N1051,I$1,FALSE)</f>
        <v>or</v>
      </c>
      <c r="J882">
        <f>VLOOKUP($A882,[1]Table!$A$2:$N1051,J$1,FALSE)</f>
        <v>300</v>
      </c>
      <c r="K882" t="str">
        <f>VLOOKUP($A882,[1]Table!$A$2:$N1051,K$1,FALSE)</f>
        <v>mg/stuk</v>
      </c>
      <c r="L882">
        <f>VLOOKUP($A882,[1]Table!$A$2:$N1051,L$1,FALSE)</f>
        <v>300</v>
      </c>
      <c r="M882" t="str">
        <f>VLOOKUP($A882,[1]Table!$A$2:$N1051,M$1,FALSE)</f>
        <v>mg</v>
      </c>
      <c r="N882" t="str">
        <f>VLOOKUP($A882,[1]Table!$A$2:$N1051,N$1,FALSE)</f>
        <v>Acute manische episoden en als onderhoudsbehandeling bij de bipolaire stoornis</v>
      </c>
      <c r="O882" t="str">
        <f>ConcatenateRange(AZ882:BU882,"||")</f>
        <v/>
      </c>
      <c r="AZ882" t="str">
        <f t="shared" si="330"/>
        <v/>
      </c>
      <c r="BA882" t="str">
        <f t="shared" si="331"/>
        <v/>
      </c>
      <c r="BB882" t="str">
        <f t="shared" si="332"/>
        <v/>
      </c>
      <c r="BC882" t="str">
        <f t="shared" si="333"/>
        <v/>
      </c>
      <c r="BD882" t="str">
        <f t="shared" si="334"/>
        <v/>
      </c>
      <c r="BE882" t="str">
        <f t="shared" si="335"/>
        <v/>
      </c>
      <c r="BF882" t="str">
        <f t="shared" si="336"/>
        <v/>
      </c>
      <c r="BG882" t="str">
        <f t="shared" si="337"/>
        <v/>
      </c>
      <c r="BH882" t="str">
        <f t="shared" si="338"/>
        <v/>
      </c>
      <c r="BI882" t="str">
        <f t="shared" si="339"/>
        <v/>
      </c>
      <c r="BJ882" t="str">
        <f t="shared" si="340"/>
        <v/>
      </c>
      <c r="BK882" t="str">
        <f t="shared" si="341"/>
        <v/>
      </c>
      <c r="BL882" t="str">
        <f t="shared" si="342"/>
        <v/>
      </c>
      <c r="BM882" t="str">
        <f t="shared" si="343"/>
        <v/>
      </c>
      <c r="BN882" t="str">
        <f t="shared" si="344"/>
        <v/>
      </c>
      <c r="BO882" t="str">
        <f t="shared" si="345"/>
        <v/>
      </c>
      <c r="BP882" t="str">
        <f t="shared" si="346"/>
        <v/>
      </c>
      <c r="BQ882" t="str">
        <f t="shared" si="347"/>
        <v/>
      </c>
      <c r="BR882" t="str">
        <f t="shared" si="348"/>
        <v/>
      </c>
      <c r="BS882" t="str">
        <f t="shared" si="349"/>
        <v/>
      </c>
      <c r="BT882" t="str">
        <f t="shared" si="350"/>
        <v/>
      </c>
      <c r="BU882" t="str">
        <f t="shared" si="351"/>
        <v/>
      </c>
    </row>
    <row r="883" spans="1:73">
      <c r="A883" s="1">
        <v>53236</v>
      </c>
      <c r="B883" t="str">
        <f>VLOOKUP($A883,[1]Table!$A$2:$N1052,B$1,FALSE)</f>
        <v>N05AN01</v>
      </c>
      <c r="C883" t="str">
        <f>VLOOKUP($A883,[1]Table!$A$2:$N1052,C$1,FALSE)</f>
        <v>PSYCHOLEPTICA</v>
      </c>
      <c r="D883" t="str">
        <f>VLOOKUP($A883,[1]Table!$A$2:$N1052,D$1,FALSE)</f>
        <v>ANTIPSYCHOTICA</v>
      </c>
      <c r="E883" t="str">
        <f>VLOOKUP($A883,[1]Table!$A$2:$N1052,E$1,FALSE)</f>
        <v>LITHIUMCARBONAAT</v>
      </c>
      <c r="F883" t="str">
        <f>VLOOKUP($A883,[1]Table!$A$2:$N1052,F$1,FALSE)</f>
        <v>LITHIUM CARBONAAT 400 MG TABLET</v>
      </c>
      <c r="G883" t="str">
        <f>VLOOKUP($A883,[1]Table!$A$2:$N1052,G$1,FALSE)</f>
        <v>LITHIUMCARBONAAT 400MG TABL</v>
      </c>
      <c r="H883" t="str">
        <f>VLOOKUP($A883,[1]Table!$A$2:$N1052,H$1,FALSE)</f>
        <v>tablet</v>
      </c>
      <c r="I883" t="str">
        <f>VLOOKUP($A883,[1]Table!$A$2:$N1052,I$1,FALSE)</f>
        <v>or</v>
      </c>
      <c r="J883">
        <f>VLOOKUP($A883,[1]Table!$A$2:$N1052,J$1,FALSE)</f>
        <v>400</v>
      </c>
      <c r="K883" t="str">
        <f>VLOOKUP($A883,[1]Table!$A$2:$N1052,K$1,FALSE)</f>
        <v>mg/stuk</v>
      </c>
      <c r="L883">
        <f>VLOOKUP($A883,[1]Table!$A$2:$N1052,L$1,FALSE)</f>
        <v>200</v>
      </c>
      <c r="M883" t="str">
        <f>VLOOKUP($A883,[1]Table!$A$2:$N1052,M$1,FALSE)</f>
        <v>mg</v>
      </c>
      <c r="N883" t="str">
        <f>VLOOKUP($A883,[1]Table!$A$2:$N1052,N$1,FALSE)</f>
        <v>Acute manische episoden en als onderhoudsbehandeling bij de bipolaire stoornis</v>
      </c>
      <c r="O883" t="str">
        <f>ConcatenateRange(AZ883:BU883,"||")</f>
        <v/>
      </c>
      <c r="AZ883" t="str">
        <f t="shared" si="330"/>
        <v/>
      </c>
      <c r="BA883" t="str">
        <f t="shared" si="331"/>
        <v/>
      </c>
      <c r="BB883" t="str">
        <f t="shared" si="332"/>
        <v/>
      </c>
      <c r="BC883" t="str">
        <f t="shared" si="333"/>
        <v/>
      </c>
      <c r="BD883" t="str">
        <f t="shared" si="334"/>
        <v/>
      </c>
      <c r="BE883" t="str">
        <f t="shared" si="335"/>
        <v/>
      </c>
      <c r="BF883" t="str">
        <f t="shared" si="336"/>
        <v/>
      </c>
      <c r="BG883" t="str">
        <f t="shared" si="337"/>
        <v/>
      </c>
      <c r="BH883" t="str">
        <f t="shared" si="338"/>
        <v/>
      </c>
      <c r="BI883" t="str">
        <f t="shared" si="339"/>
        <v/>
      </c>
      <c r="BJ883" t="str">
        <f t="shared" si="340"/>
        <v/>
      </c>
      <c r="BK883" t="str">
        <f t="shared" si="341"/>
        <v/>
      </c>
      <c r="BL883" t="str">
        <f t="shared" si="342"/>
        <v/>
      </c>
      <c r="BM883" t="str">
        <f t="shared" si="343"/>
        <v/>
      </c>
      <c r="BN883" t="str">
        <f t="shared" si="344"/>
        <v/>
      </c>
      <c r="BO883" t="str">
        <f t="shared" si="345"/>
        <v/>
      </c>
      <c r="BP883" t="str">
        <f t="shared" si="346"/>
        <v/>
      </c>
      <c r="BQ883" t="str">
        <f t="shared" si="347"/>
        <v/>
      </c>
      <c r="BR883" t="str">
        <f t="shared" si="348"/>
        <v/>
      </c>
      <c r="BS883" t="str">
        <f t="shared" si="349"/>
        <v/>
      </c>
      <c r="BT883" t="str">
        <f t="shared" si="350"/>
        <v/>
      </c>
      <c r="BU883" t="str">
        <f t="shared" si="351"/>
        <v/>
      </c>
    </row>
    <row r="884" spans="1:73">
      <c r="A884" s="1">
        <v>8621</v>
      </c>
      <c r="B884" t="str">
        <f>VLOOKUP($A884,[1]Table!$A$2:$N1053,B$1,FALSE)</f>
        <v>N05AN01</v>
      </c>
      <c r="C884" t="str">
        <f>VLOOKUP($A884,[1]Table!$A$2:$N1053,C$1,FALSE)</f>
        <v>PSYCHOLEPTICA</v>
      </c>
      <c r="D884" t="str">
        <f>VLOOKUP($A884,[1]Table!$A$2:$N1053,D$1,FALSE)</f>
        <v>ANTIPSYCHOTICA</v>
      </c>
      <c r="E884" t="s">
        <v>110</v>
      </c>
      <c r="F884" t="str">
        <f>VLOOKUP($A884,[1]Table!$A$2:$N1053,F$1,FALSE)</f>
        <v>CAMCOLIT 400 MG TABLET</v>
      </c>
      <c r="G884" t="str">
        <f>VLOOKUP($A884,[1]Table!$A$2:$N1053,G$1,FALSE)</f>
        <v>LITHIUMCARB 400MG TABL MGA</v>
      </c>
      <c r="H884" t="str">
        <f>VLOOKUP($A884,[1]Table!$A$2:$N1053,H$1,FALSE)</f>
        <v>tablet met gereguleerde afgifte</v>
      </c>
      <c r="I884" t="str">
        <f>VLOOKUP($A884,[1]Table!$A$2:$N1053,I$1,FALSE)</f>
        <v>or</v>
      </c>
      <c r="J884">
        <f>VLOOKUP($A884,[1]Table!$A$2:$N1053,J$1,FALSE)</f>
        <v>400</v>
      </c>
      <c r="K884" t="str">
        <f>VLOOKUP($A884,[1]Table!$A$2:$N1053,K$1,FALSE)</f>
        <v>mg/stuk</v>
      </c>
      <c r="L884">
        <f>VLOOKUP($A884,[1]Table!$A$2:$N1053,L$1,FALSE)</f>
        <v>400</v>
      </c>
      <c r="M884" t="str">
        <f>VLOOKUP($A884,[1]Table!$A$2:$N1053,M$1,FALSE)</f>
        <v>mg</v>
      </c>
      <c r="N884" t="str">
        <f>VLOOKUP($A884,[1]Table!$A$2:$N1053,N$1,FALSE)</f>
        <v>Acute manische episoden en als onderhoudsbehandeling bij de bipolaire stoornis</v>
      </c>
      <c r="O884" t="str">
        <f>ConcatenateRange(AZ884:BU884,"||")</f>
        <v/>
      </c>
      <c r="AZ884" t="str">
        <f t="shared" si="330"/>
        <v/>
      </c>
      <c r="BA884" t="str">
        <f t="shared" si="331"/>
        <v/>
      </c>
      <c r="BB884" t="str">
        <f t="shared" si="332"/>
        <v/>
      </c>
      <c r="BC884" t="str">
        <f t="shared" si="333"/>
        <v/>
      </c>
      <c r="BD884" t="str">
        <f t="shared" si="334"/>
        <v/>
      </c>
      <c r="BE884" t="str">
        <f t="shared" si="335"/>
        <v/>
      </c>
      <c r="BF884" t="str">
        <f t="shared" si="336"/>
        <v/>
      </c>
      <c r="BG884" t="str">
        <f t="shared" si="337"/>
        <v/>
      </c>
      <c r="BH884" t="str">
        <f t="shared" si="338"/>
        <v/>
      </c>
      <c r="BI884" t="str">
        <f t="shared" si="339"/>
        <v/>
      </c>
      <c r="BJ884" t="str">
        <f t="shared" si="340"/>
        <v/>
      </c>
      <c r="BK884" t="str">
        <f t="shared" si="341"/>
        <v/>
      </c>
      <c r="BL884" t="str">
        <f t="shared" si="342"/>
        <v/>
      </c>
      <c r="BM884" t="str">
        <f t="shared" si="343"/>
        <v/>
      </c>
      <c r="BN884" t="str">
        <f t="shared" si="344"/>
        <v/>
      </c>
      <c r="BO884" t="str">
        <f t="shared" si="345"/>
        <v/>
      </c>
      <c r="BP884" t="str">
        <f t="shared" si="346"/>
        <v/>
      </c>
      <c r="BQ884" t="str">
        <f t="shared" si="347"/>
        <v/>
      </c>
      <c r="BR884" t="str">
        <f t="shared" si="348"/>
        <v/>
      </c>
      <c r="BS884" t="str">
        <f t="shared" si="349"/>
        <v/>
      </c>
      <c r="BT884" t="str">
        <f t="shared" si="350"/>
        <v/>
      </c>
      <c r="BU884" t="str">
        <f t="shared" si="351"/>
        <v/>
      </c>
    </row>
    <row r="885" spans="1:73">
      <c r="A885" s="1">
        <v>136379</v>
      </c>
      <c r="B885" t="str">
        <f>VLOOKUP($A885,[1]Table!$A$2:$N1054,B$1,FALSE)</f>
        <v>N05AN01</v>
      </c>
      <c r="C885" t="str">
        <f>VLOOKUP($A885,[1]Table!$A$2:$N1054,C$1,FALSE)</f>
        <v>PSYCHOLEPTICA</v>
      </c>
      <c r="D885" t="str">
        <f>VLOOKUP($A885,[1]Table!$A$2:$N1054,D$1,FALSE)</f>
        <v>ANTIPSYCHOTICA</v>
      </c>
      <c r="E885" t="str">
        <f>VLOOKUP($A885,[1]Table!$A$2:$N1054,E$1,FALSE)</f>
        <v>LITHIUMCITRAAT</v>
      </c>
      <c r="F885" t="str">
        <f>VLOOKUP($A885,[1]Table!$A$2:$N1054,F$1,FALSE)</f>
        <v>LITHIUMCITRAAT 34 MG/ML DRANK 300 ML</v>
      </c>
      <c r="G885" t="str">
        <f>VLOOKUP($A885,[1]Table!$A$2:$N1054,G$1,FALSE)</f>
        <v>LITHIUMCITRAAT 34MG/ML DRAN</v>
      </c>
      <c r="H885" t="str">
        <f>VLOOKUP($A885,[1]Table!$A$2:$N1054,H$1,FALSE)</f>
        <v>drank</v>
      </c>
      <c r="I885" t="str">
        <f>VLOOKUP($A885,[1]Table!$A$2:$N1054,I$1,FALSE)</f>
        <v>or</v>
      </c>
      <c r="J885">
        <f>VLOOKUP($A885,[1]Table!$A$2:$N1054,J$1,FALSE)</f>
        <v>34</v>
      </c>
      <c r="K885" t="str">
        <f>VLOOKUP($A885,[1]Table!$A$2:$N1054,K$1,FALSE)</f>
        <v>mg/ml</v>
      </c>
      <c r="L885">
        <f>VLOOKUP($A885,[1]Table!$A$2:$N1054,L$1,FALSE)</f>
        <v>34</v>
      </c>
      <c r="M885" t="str">
        <f>VLOOKUP($A885,[1]Table!$A$2:$N1054,M$1,FALSE)</f>
        <v>mg</v>
      </c>
      <c r="N885" t="str">
        <f>VLOOKUP($A885,[1]Table!$A$2:$N1054,N$1,FALSE)</f>
        <v>Acute manische episoden en als onderhoudsbehandeling bij de bipolaire stoornis</v>
      </c>
      <c r="O885" t="str">
        <f>ConcatenateRange(AZ885:BU885,"||")</f>
        <v/>
      </c>
      <c r="AZ885" t="str">
        <f t="shared" si="330"/>
        <v/>
      </c>
      <c r="BA885" t="str">
        <f t="shared" si="331"/>
        <v/>
      </c>
      <c r="BB885" t="str">
        <f t="shared" si="332"/>
        <v/>
      </c>
      <c r="BC885" t="str">
        <f t="shared" si="333"/>
        <v/>
      </c>
      <c r="BD885" t="str">
        <f t="shared" si="334"/>
        <v/>
      </c>
      <c r="BE885" t="str">
        <f t="shared" si="335"/>
        <v/>
      </c>
      <c r="BF885" t="str">
        <f t="shared" si="336"/>
        <v/>
      </c>
      <c r="BG885" t="str">
        <f t="shared" si="337"/>
        <v/>
      </c>
      <c r="BH885" t="str">
        <f t="shared" si="338"/>
        <v/>
      </c>
      <c r="BI885" t="str">
        <f t="shared" si="339"/>
        <v/>
      </c>
      <c r="BJ885" t="str">
        <f t="shared" si="340"/>
        <v/>
      </c>
      <c r="BK885" t="str">
        <f t="shared" si="341"/>
        <v/>
      </c>
      <c r="BL885" t="str">
        <f t="shared" si="342"/>
        <v/>
      </c>
      <c r="BM885" t="str">
        <f t="shared" si="343"/>
        <v/>
      </c>
      <c r="BN885" t="str">
        <f t="shared" si="344"/>
        <v/>
      </c>
      <c r="BO885" t="str">
        <f t="shared" si="345"/>
        <v/>
      </c>
      <c r="BP885" t="str">
        <f t="shared" si="346"/>
        <v/>
      </c>
      <c r="BQ885" t="str">
        <f t="shared" si="347"/>
        <v/>
      </c>
      <c r="BR885" t="str">
        <f t="shared" si="348"/>
        <v/>
      </c>
      <c r="BS885" t="str">
        <f t="shared" si="349"/>
        <v/>
      </c>
      <c r="BT885" t="str">
        <f t="shared" si="350"/>
        <v/>
      </c>
      <c r="BU885" t="str">
        <f t="shared" si="351"/>
        <v/>
      </c>
    </row>
    <row r="886" spans="1:73">
      <c r="A886" s="1">
        <v>10766</v>
      </c>
      <c r="B886" t="str">
        <f>VLOOKUP($A886,[1]Table!$A$2:$N1055,B$1,FALSE)</f>
        <v>A07DA03</v>
      </c>
      <c r="C886" t="str">
        <f>VLOOKUP($A886,[1]Table!$A$2:$N1055,C$1,FALSE)</f>
        <v>ANTIDIARRHOICA, ANTI-INFLAMM./ANTIMICROBIELE DARMMIDDELEN</v>
      </c>
      <c r="D886" t="str">
        <f>VLOOKUP($A886,[1]Table!$A$2:$N1055,D$1,FALSE)</f>
        <v>MOTILITEITSREMMENDE MIDDELEN</v>
      </c>
      <c r="E886" t="str">
        <f>VLOOKUP($A886,[1]Table!$A$2:$N1055,E$1,FALSE)</f>
        <v>LOPERAMIDE</v>
      </c>
      <c r="F886" t="str">
        <f>VLOOKUP($A886,[1]Table!$A$2:$N1055,F$1,FALSE)</f>
        <v>LOPERAMIDE  2 MG CAPSULE</v>
      </c>
      <c r="G886" t="str">
        <f>VLOOKUP($A886,[1]Table!$A$2:$N1055,G$1,FALSE)</f>
        <v>LOPERAMIDE 2MG CAPSULE</v>
      </c>
      <c r="H886" t="str">
        <f>VLOOKUP($A886,[1]Table!$A$2:$N1055,H$1,FALSE)</f>
        <v>capsule</v>
      </c>
      <c r="I886" t="str">
        <f>VLOOKUP($A886,[1]Table!$A$2:$N1055,I$1,FALSE)</f>
        <v>or</v>
      </c>
      <c r="J886">
        <f>VLOOKUP($A886,[1]Table!$A$2:$N1055,J$1,FALSE)</f>
        <v>2</v>
      </c>
      <c r="K886" t="str">
        <f>VLOOKUP($A886,[1]Table!$A$2:$N1055,K$1,FALSE)</f>
        <v>mg/stuk</v>
      </c>
      <c r="L886">
        <f>VLOOKUP($A886,[1]Table!$A$2:$N1055,L$1,FALSE)</f>
        <v>2</v>
      </c>
      <c r="M886" t="str">
        <f>VLOOKUP($A886,[1]Table!$A$2:$N1055,M$1,FALSE)</f>
        <v>mg</v>
      </c>
      <c r="N886" t="str">
        <f>VLOOKUP($A886,[1]Table!$A$2:$N1055,N$1,FALSE)</f>
        <v>Diarree</v>
      </c>
      <c r="O886" t="str">
        <f>ConcatenateRange(AZ886:BU886,"||")</f>
        <v/>
      </c>
      <c r="AZ886" t="str">
        <f t="shared" si="330"/>
        <v/>
      </c>
      <c r="BA886" t="str">
        <f t="shared" si="331"/>
        <v/>
      </c>
      <c r="BB886" t="str">
        <f t="shared" si="332"/>
        <v/>
      </c>
      <c r="BC886" t="str">
        <f t="shared" si="333"/>
        <v/>
      </c>
      <c r="BD886" t="str">
        <f t="shared" si="334"/>
        <v/>
      </c>
      <c r="BE886" t="str">
        <f t="shared" si="335"/>
        <v/>
      </c>
      <c r="BF886" t="str">
        <f t="shared" si="336"/>
        <v/>
      </c>
      <c r="BG886" t="str">
        <f t="shared" si="337"/>
        <v/>
      </c>
      <c r="BH886" t="str">
        <f t="shared" si="338"/>
        <v/>
      </c>
      <c r="BI886" t="str">
        <f t="shared" si="339"/>
        <v/>
      </c>
      <c r="BJ886" t="str">
        <f t="shared" si="340"/>
        <v/>
      </c>
      <c r="BK886" t="str">
        <f t="shared" si="341"/>
        <v/>
      </c>
      <c r="BL886" t="str">
        <f t="shared" si="342"/>
        <v/>
      </c>
      <c r="BM886" t="str">
        <f t="shared" si="343"/>
        <v/>
      </c>
      <c r="BN886" t="str">
        <f t="shared" si="344"/>
        <v/>
      </c>
      <c r="BO886" t="str">
        <f t="shared" si="345"/>
        <v/>
      </c>
      <c r="BP886" t="str">
        <f t="shared" si="346"/>
        <v/>
      </c>
      <c r="BQ886" t="str">
        <f t="shared" si="347"/>
        <v/>
      </c>
      <c r="BR886" t="str">
        <f t="shared" si="348"/>
        <v/>
      </c>
      <c r="BS886" t="str">
        <f t="shared" si="349"/>
        <v/>
      </c>
      <c r="BT886" t="str">
        <f t="shared" si="350"/>
        <v/>
      </c>
      <c r="BU886" t="str">
        <f t="shared" si="351"/>
        <v/>
      </c>
    </row>
    <row r="887" spans="1:73">
      <c r="A887" s="1">
        <v>38415</v>
      </c>
      <c r="B887" t="str">
        <f>VLOOKUP($A887,[1]Table!$A$2:$N1056,B$1,FALSE)</f>
        <v>A07DA03</v>
      </c>
      <c r="C887" t="str">
        <f>VLOOKUP($A887,[1]Table!$A$2:$N1056,C$1,FALSE)</f>
        <v>ANTIDIARRHOICA, ANTI-INFLAMM./ANTIMICROBIELE DARMMIDDELEN</v>
      </c>
      <c r="D887" t="str">
        <f>VLOOKUP($A887,[1]Table!$A$2:$N1056,D$1,FALSE)</f>
        <v>MOTILITEITSREMMENDE MIDDELEN</v>
      </c>
      <c r="E887" t="str">
        <f>VLOOKUP($A887,[1]Table!$A$2:$N1056,E$1,FALSE)</f>
        <v>LOPERAMIDE</v>
      </c>
      <c r="F887" t="str">
        <f>VLOOKUP($A887,[1]Table!$A$2:$N1056,F$1,FALSE)</f>
        <v>IMODIUM 0.2 MG/ML DRANK 100ML</v>
      </c>
      <c r="G887" t="str">
        <f>VLOOKUP($A887,[1]Table!$A$2:$N1056,G$1,FALSE)</f>
        <v>LOPERAMIDE 0,2MG/ML DRANK</v>
      </c>
      <c r="H887" t="str">
        <f>VLOOKUP($A887,[1]Table!$A$2:$N1056,H$1,FALSE)</f>
        <v>drank</v>
      </c>
      <c r="I887" t="str">
        <f>VLOOKUP($A887,[1]Table!$A$2:$N1056,I$1,FALSE)</f>
        <v>or</v>
      </c>
      <c r="J887">
        <f>VLOOKUP($A887,[1]Table!$A$2:$N1056,J$1,FALSE)</f>
        <v>0.2</v>
      </c>
      <c r="K887" t="str">
        <f>VLOOKUP($A887,[1]Table!$A$2:$N1056,K$1,FALSE)</f>
        <v>mg/ml</v>
      </c>
      <c r="L887">
        <f>VLOOKUP($A887,[1]Table!$A$2:$N1056,L$1,FALSE)</f>
        <v>0.2</v>
      </c>
      <c r="M887" t="str">
        <f>VLOOKUP($A887,[1]Table!$A$2:$N1056,M$1,FALSE)</f>
        <v>mg</v>
      </c>
      <c r="N887" t="str">
        <f>VLOOKUP($A887,[1]Table!$A$2:$N1056,N$1,FALSE)</f>
        <v>Diarree</v>
      </c>
      <c r="O887" t="str">
        <f>ConcatenateRange(AZ887:BU887,"||")</f>
        <v/>
      </c>
      <c r="AZ887" t="str">
        <f t="shared" si="330"/>
        <v/>
      </c>
      <c r="BA887" t="str">
        <f t="shared" si="331"/>
        <v/>
      </c>
      <c r="BB887" t="str">
        <f t="shared" si="332"/>
        <v/>
      </c>
      <c r="BC887" t="str">
        <f t="shared" si="333"/>
        <v/>
      </c>
      <c r="BD887" t="str">
        <f t="shared" si="334"/>
        <v/>
      </c>
      <c r="BE887" t="str">
        <f t="shared" si="335"/>
        <v/>
      </c>
      <c r="BF887" t="str">
        <f t="shared" si="336"/>
        <v/>
      </c>
      <c r="BG887" t="str">
        <f t="shared" si="337"/>
        <v/>
      </c>
      <c r="BH887" t="str">
        <f t="shared" si="338"/>
        <v/>
      </c>
      <c r="BI887" t="str">
        <f t="shared" si="339"/>
        <v/>
      </c>
      <c r="BJ887" t="str">
        <f t="shared" si="340"/>
        <v/>
      </c>
      <c r="BK887" t="str">
        <f t="shared" si="341"/>
        <v/>
      </c>
      <c r="BL887" t="str">
        <f t="shared" si="342"/>
        <v/>
      </c>
      <c r="BM887" t="str">
        <f t="shared" si="343"/>
        <v/>
      </c>
      <c r="BN887" t="str">
        <f t="shared" si="344"/>
        <v/>
      </c>
      <c r="BO887" t="str">
        <f t="shared" si="345"/>
        <v/>
      </c>
      <c r="BP887" t="str">
        <f t="shared" si="346"/>
        <v/>
      </c>
      <c r="BQ887" t="str">
        <f t="shared" si="347"/>
        <v/>
      </c>
      <c r="BR887" t="str">
        <f t="shared" si="348"/>
        <v/>
      </c>
      <c r="BS887" t="str">
        <f t="shared" si="349"/>
        <v/>
      </c>
      <c r="BT887" t="str">
        <f t="shared" si="350"/>
        <v/>
      </c>
      <c r="BU887" t="str">
        <f t="shared" si="351"/>
        <v/>
      </c>
    </row>
    <row r="888" spans="1:73">
      <c r="A888" s="1">
        <v>104337</v>
      </c>
      <c r="B888" t="str">
        <f>VLOOKUP($A888,[1]Table!$A$2:$N1057,B$1,FALSE)</f>
        <v>A07DA03</v>
      </c>
      <c r="C888" t="str">
        <f>VLOOKUP($A888,[1]Table!$A$2:$N1057,C$1,FALSE)</f>
        <v>ANTIDIARRHOICA, ANTI-INFLAMM./ANTIMICROBIELE DARMMIDDELEN</v>
      </c>
      <c r="D888" t="str">
        <f>VLOOKUP($A888,[1]Table!$A$2:$N1057,D$1,FALSE)</f>
        <v>MOTILITEITSREMMENDE MIDDELEN</v>
      </c>
      <c r="E888" t="str">
        <f>VLOOKUP($A888,[1]Table!$A$2:$N1057,E$1,FALSE)</f>
        <v>LOPERAMIDE</v>
      </c>
      <c r="F888" t="str">
        <f>VLOOKUP($A888,[1]Table!$A$2:$N1057,F$1,FALSE)</f>
        <v>IMODIUM 2 MG SMELTTABLET</v>
      </c>
      <c r="G888" t="str">
        <f>VLOOKUP($A888,[1]Table!$A$2:$N1057,G$1,FALSE)</f>
        <v>LOPERAMIDE 2MG SMELTTABLET</v>
      </c>
      <c r="H888" t="str">
        <f>VLOOKUP($A888,[1]Table!$A$2:$N1057,H$1,FALSE)</f>
        <v>smelttablet</v>
      </c>
      <c r="I888" t="str">
        <f>VLOOKUP($A888,[1]Table!$A$2:$N1057,I$1,FALSE)</f>
        <v>or</v>
      </c>
      <c r="J888">
        <f>VLOOKUP($A888,[1]Table!$A$2:$N1057,J$1,FALSE)</f>
        <v>2</v>
      </c>
      <c r="K888" t="str">
        <f>VLOOKUP($A888,[1]Table!$A$2:$N1057,K$1,FALSE)</f>
        <v>mg/stuk</v>
      </c>
      <c r="L888">
        <f>VLOOKUP($A888,[1]Table!$A$2:$N1057,L$1,FALSE)</f>
        <v>2</v>
      </c>
      <c r="M888" t="str">
        <f>VLOOKUP($A888,[1]Table!$A$2:$N1057,M$1,FALSE)</f>
        <v>mg</v>
      </c>
      <c r="N888" t="str">
        <f>VLOOKUP($A888,[1]Table!$A$2:$N1057,N$1,FALSE)</f>
        <v>Diarree</v>
      </c>
      <c r="O888" t="str">
        <f>ConcatenateRange(AZ888:BU888,"||")</f>
        <v/>
      </c>
      <c r="AZ888" t="str">
        <f t="shared" si="330"/>
        <v/>
      </c>
      <c r="BA888" t="str">
        <f t="shared" si="331"/>
        <v/>
      </c>
      <c r="BB888" t="str">
        <f t="shared" si="332"/>
        <v/>
      </c>
      <c r="BC888" t="str">
        <f t="shared" si="333"/>
        <v/>
      </c>
      <c r="BD888" t="str">
        <f t="shared" si="334"/>
        <v/>
      </c>
      <c r="BE888" t="str">
        <f t="shared" si="335"/>
        <v/>
      </c>
      <c r="BF888" t="str">
        <f t="shared" si="336"/>
        <v/>
      </c>
      <c r="BG888" t="str">
        <f t="shared" si="337"/>
        <v/>
      </c>
      <c r="BH888" t="str">
        <f t="shared" si="338"/>
        <v/>
      </c>
      <c r="BI888" t="str">
        <f t="shared" si="339"/>
        <v/>
      </c>
      <c r="BJ888" t="str">
        <f t="shared" si="340"/>
        <v/>
      </c>
      <c r="BK888" t="str">
        <f t="shared" si="341"/>
        <v/>
      </c>
      <c r="BL888" t="str">
        <f t="shared" si="342"/>
        <v/>
      </c>
      <c r="BM888" t="str">
        <f t="shared" si="343"/>
        <v/>
      </c>
      <c r="BN888" t="str">
        <f t="shared" si="344"/>
        <v/>
      </c>
      <c r="BO888" t="str">
        <f t="shared" si="345"/>
        <v/>
      </c>
      <c r="BP888" t="str">
        <f t="shared" si="346"/>
        <v/>
      </c>
      <c r="BQ888" t="str">
        <f t="shared" si="347"/>
        <v/>
      </c>
      <c r="BR888" t="str">
        <f t="shared" si="348"/>
        <v/>
      </c>
      <c r="BS888" t="str">
        <f t="shared" si="349"/>
        <v/>
      </c>
      <c r="BT888" t="str">
        <f t="shared" si="350"/>
        <v/>
      </c>
      <c r="BU888" t="str">
        <f t="shared" si="351"/>
        <v/>
      </c>
    </row>
    <row r="889" spans="1:73">
      <c r="A889" s="1">
        <v>78824</v>
      </c>
      <c r="B889" t="str">
        <f>VLOOKUP($A889,[1]Table!$A$2:$N1058,B$1,FALSE)</f>
        <v>R06AX13</v>
      </c>
      <c r="C889" t="str">
        <f>VLOOKUP($A889,[1]Table!$A$2:$N1058,C$1,FALSE)</f>
        <v>ANTIHISTAMINICA VOOR SYSTEMISCH GEBRUIK</v>
      </c>
      <c r="D889" t="str">
        <f>VLOOKUP($A889,[1]Table!$A$2:$N1058,D$1,FALSE)</f>
        <v>ANTIHISTAMINICA VOOR SYSTEMISCH GEBRUIK</v>
      </c>
      <c r="E889" t="str">
        <f>VLOOKUP($A889,[1]Table!$A$2:$N1058,E$1,FALSE)</f>
        <v>LORATADINE</v>
      </c>
      <c r="F889" t="str">
        <f>VLOOKUP($A889,[1]Table!$A$2:$N1058,F$1,FALSE)</f>
        <v>CLARITINE 1MG/ML STROOP 60 ML</v>
      </c>
      <c r="G889" t="str">
        <f>VLOOKUP($A889,[1]Table!$A$2:$N1058,G$1,FALSE)</f>
        <v>LORATADINE 1MG/ML STROOP</v>
      </c>
      <c r="H889" t="str">
        <f>VLOOKUP($A889,[1]Table!$A$2:$N1058,H$1,FALSE)</f>
        <v>stroop</v>
      </c>
      <c r="I889" t="str">
        <f>VLOOKUP($A889,[1]Table!$A$2:$N1058,I$1,FALSE)</f>
        <v>or</v>
      </c>
      <c r="J889">
        <f>VLOOKUP($A889,[1]Table!$A$2:$N1058,J$1,FALSE)</f>
        <v>1</v>
      </c>
      <c r="K889" t="str">
        <f>VLOOKUP($A889,[1]Table!$A$2:$N1058,K$1,FALSE)</f>
        <v>mg/ml</v>
      </c>
      <c r="L889">
        <f>VLOOKUP($A889,[1]Table!$A$2:$N1058,L$1,FALSE)</f>
        <v>1</v>
      </c>
      <c r="M889" t="str">
        <f>VLOOKUP($A889,[1]Table!$A$2:$N1058,M$1,FALSE)</f>
        <v>mg</v>
      </c>
      <c r="N889" t="str">
        <f>VLOOKUP($A889,[1]Table!$A$2:$N1058,N$1,FALSE)</f>
        <v>Allergische rhinitis en chronische urticaria</v>
      </c>
      <c r="O889" t="str">
        <f>ConcatenateRange(AZ889:BU889,"||")</f>
        <v/>
      </c>
      <c r="AZ889" t="str">
        <f t="shared" si="330"/>
        <v/>
      </c>
      <c r="BA889" t="str">
        <f t="shared" si="331"/>
        <v/>
      </c>
      <c r="BB889" t="str">
        <f t="shared" si="332"/>
        <v/>
      </c>
      <c r="BC889" t="str">
        <f t="shared" si="333"/>
        <v/>
      </c>
      <c r="BD889" t="str">
        <f t="shared" si="334"/>
        <v/>
      </c>
      <c r="BE889" t="str">
        <f t="shared" si="335"/>
        <v/>
      </c>
      <c r="BF889" t="str">
        <f t="shared" si="336"/>
        <v/>
      </c>
      <c r="BG889" t="str">
        <f t="shared" si="337"/>
        <v/>
      </c>
      <c r="BH889" t="str">
        <f t="shared" si="338"/>
        <v/>
      </c>
      <c r="BI889" t="str">
        <f t="shared" si="339"/>
        <v/>
      </c>
      <c r="BJ889" t="str">
        <f t="shared" si="340"/>
        <v/>
      </c>
      <c r="BK889" t="str">
        <f t="shared" si="341"/>
        <v/>
      </c>
      <c r="BL889" t="str">
        <f t="shared" si="342"/>
        <v/>
      </c>
      <c r="BM889" t="str">
        <f t="shared" si="343"/>
        <v/>
      </c>
      <c r="BN889" t="str">
        <f t="shared" si="344"/>
        <v/>
      </c>
      <c r="BO889" t="str">
        <f t="shared" si="345"/>
        <v/>
      </c>
      <c r="BP889" t="str">
        <f t="shared" si="346"/>
        <v/>
      </c>
      <c r="BQ889" t="str">
        <f t="shared" si="347"/>
        <v/>
      </c>
      <c r="BR889" t="str">
        <f t="shared" si="348"/>
        <v/>
      </c>
      <c r="BS889" t="str">
        <f t="shared" si="349"/>
        <v/>
      </c>
      <c r="BT889" t="str">
        <f t="shared" si="350"/>
        <v/>
      </c>
      <c r="BU889" t="str">
        <f t="shared" si="351"/>
        <v/>
      </c>
    </row>
    <row r="890" spans="1:73">
      <c r="A890" s="1">
        <v>73563</v>
      </c>
      <c r="B890" t="str">
        <f>VLOOKUP($A890,[1]Table!$A$2:$N1059,B$1,FALSE)</f>
        <v>R06AX13</v>
      </c>
      <c r="C890" t="str">
        <f>VLOOKUP($A890,[1]Table!$A$2:$N1059,C$1,FALSE)</f>
        <v>ANTIHISTAMINICA VOOR SYSTEMISCH GEBRUIK</v>
      </c>
      <c r="D890" t="str">
        <f>VLOOKUP($A890,[1]Table!$A$2:$N1059,D$1,FALSE)</f>
        <v>ANTIHISTAMINICA VOOR SYSTEMISCH GEBRUIK</v>
      </c>
      <c r="E890" t="str">
        <f>VLOOKUP($A890,[1]Table!$A$2:$N1059,E$1,FALSE)</f>
        <v>LORATADINE</v>
      </c>
      <c r="F890" t="str">
        <f>VLOOKUP($A890,[1]Table!$A$2:$N1059,F$1,FALSE)</f>
        <v>LORATADINE 10 MG TABLET</v>
      </c>
      <c r="G890" t="str">
        <f>VLOOKUP($A890,[1]Table!$A$2:$N1059,G$1,FALSE)</f>
        <v>LORATADINE 10MG TABLET</v>
      </c>
      <c r="H890" t="str">
        <f>VLOOKUP($A890,[1]Table!$A$2:$N1059,H$1,FALSE)</f>
        <v>tablet</v>
      </c>
      <c r="I890" t="str">
        <f>VLOOKUP($A890,[1]Table!$A$2:$N1059,I$1,FALSE)</f>
        <v>or</v>
      </c>
      <c r="J890">
        <f>VLOOKUP($A890,[1]Table!$A$2:$N1059,J$1,FALSE)</f>
        <v>10</v>
      </c>
      <c r="K890" t="str">
        <f>VLOOKUP($A890,[1]Table!$A$2:$N1059,K$1,FALSE)</f>
        <v>mg/stuk</v>
      </c>
      <c r="L890">
        <f>VLOOKUP($A890,[1]Table!$A$2:$N1059,L$1,FALSE)</f>
        <v>5</v>
      </c>
      <c r="M890" t="str">
        <f>VLOOKUP($A890,[1]Table!$A$2:$N1059,M$1,FALSE)</f>
        <v>mg</v>
      </c>
      <c r="N890" t="str">
        <f>VLOOKUP($A890,[1]Table!$A$2:$N1059,N$1,FALSE)</f>
        <v>Allergische rhinitis en chronische urticaria</v>
      </c>
      <c r="O890" t="str">
        <f>ConcatenateRange(AZ890:BU890,"||")</f>
        <v/>
      </c>
      <c r="AZ890" t="str">
        <f t="shared" si="330"/>
        <v/>
      </c>
      <c r="BA890" t="str">
        <f t="shared" si="331"/>
        <v/>
      </c>
      <c r="BB890" t="str">
        <f t="shared" si="332"/>
        <v/>
      </c>
      <c r="BC890" t="str">
        <f t="shared" si="333"/>
        <v/>
      </c>
      <c r="BD890" t="str">
        <f t="shared" si="334"/>
        <v/>
      </c>
      <c r="BE890" t="str">
        <f t="shared" si="335"/>
        <v/>
      </c>
      <c r="BF890" t="str">
        <f t="shared" si="336"/>
        <v/>
      </c>
      <c r="BG890" t="str">
        <f t="shared" si="337"/>
        <v/>
      </c>
      <c r="BH890" t="str">
        <f t="shared" si="338"/>
        <v/>
      </c>
      <c r="BI890" t="str">
        <f t="shared" si="339"/>
        <v/>
      </c>
      <c r="BJ890" t="str">
        <f t="shared" si="340"/>
        <v/>
      </c>
      <c r="BK890" t="str">
        <f t="shared" si="341"/>
        <v/>
      </c>
      <c r="BL890" t="str">
        <f t="shared" si="342"/>
        <v/>
      </c>
      <c r="BM890" t="str">
        <f t="shared" si="343"/>
        <v/>
      </c>
      <c r="BN890" t="str">
        <f t="shared" si="344"/>
        <v/>
      </c>
      <c r="BO890" t="str">
        <f t="shared" si="345"/>
        <v/>
      </c>
      <c r="BP890" t="str">
        <f t="shared" si="346"/>
        <v/>
      </c>
      <c r="BQ890" t="str">
        <f t="shared" si="347"/>
        <v/>
      </c>
      <c r="BR890" t="str">
        <f t="shared" si="348"/>
        <v/>
      </c>
      <c r="BS890" t="str">
        <f t="shared" si="349"/>
        <v/>
      </c>
      <c r="BT890" t="str">
        <f t="shared" si="350"/>
        <v/>
      </c>
      <c r="BU890" t="str">
        <f t="shared" si="351"/>
        <v/>
      </c>
    </row>
    <row r="891" spans="1:73">
      <c r="A891" s="20">
        <v>163333</v>
      </c>
      <c r="B891" t="str">
        <f>VLOOKUP($A891,[1]Table!$A$2:$N1699,B$1,FALSE)</f>
        <v>N05BA06</v>
      </c>
      <c r="C891" t="str">
        <f>VLOOKUP($A891,[1]Table!$A$2:$N1699,C$1,FALSE)</f>
        <v>PSYCHOLEPTICA</v>
      </c>
      <c r="D891" t="str">
        <f>VLOOKUP($A891,[1]Table!$A$2:$N1699,D$1,FALSE)</f>
        <v>ANXIOLYTICA</v>
      </c>
      <c r="E891" t="str">
        <f>VLOOKUP($A891,[1]Table!$A$2:$N1699,E$1,FALSE)</f>
        <v>LORAZEPAM</v>
      </c>
      <c r="F891" t="str">
        <f>VLOOKUP($A891,[1]Table!$A$2:$N1699,F$1,FALSE)</f>
        <v>LORAZEPAM 0,5 MG/ML DRANK 30 ML</v>
      </c>
      <c r="G891" t="str">
        <f>VLOOKUP($A891,[1]Table!$A$2:$N1699,G$1,FALSE)</f>
        <v>LORAZEPAM 0,5MG/ML DRANK</v>
      </c>
      <c r="H891" t="str">
        <f>VLOOKUP($A891,[1]Table!$A$2:$N1699,H$1,FALSE)</f>
        <v>drank</v>
      </c>
      <c r="I891" t="str">
        <f>VLOOKUP($A891,[1]Table!$A$2:$N1699,I$1,FALSE)</f>
        <v>or</v>
      </c>
      <c r="J891">
        <f>VLOOKUP($A891,[1]Table!$A$2:$N1699,J$1,FALSE)</f>
        <v>0.5</v>
      </c>
      <c r="K891" t="str">
        <f>VLOOKUP($A891,[1]Table!$A$2:$N1699,K$1,FALSE)</f>
        <v>mg/ml</v>
      </c>
      <c r="L891">
        <f>VLOOKUP($A891,[1]Table!$A$2:$N1699,L$1,FALSE)</f>
        <v>0.05</v>
      </c>
      <c r="M891" t="str">
        <f>VLOOKUP($A891,[1]Table!$A$2:$N1699,M$1,FALSE)</f>
        <v>mg</v>
      </c>
      <c r="N891" t="str">
        <f>VLOOKUP($A891,[1]Table!$A$2:$N1699,N$1,FALSE)</f>
        <v>Sedatie||Status epilepticus||Acute angsten (kort gebruik)</v>
      </c>
      <c r="AZ891" t="str">
        <f t="shared" si="330"/>
        <v/>
      </c>
      <c r="BA891" t="str">
        <f t="shared" si="331"/>
        <v/>
      </c>
      <c r="BB891" t="str">
        <f t="shared" si="332"/>
        <v/>
      </c>
      <c r="BC891" t="str">
        <f t="shared" si="333"/>
        <v/>
      </c>
      <c r="BD891" t="str">
        <f t="shared" si="334"/>
        <v/>
      </c>
      <c r="BE891" t="str">
        <f t="shared" si="335"/>
        <v/>
      </c>
      <c r="BF891" t="str">
        <f t="shared" si="336"/>
        <v/>
      </c>
      <c r="BG891" t="str">
        <f t="shared" si="337"/>
        <v/>
      </c>
      <c r="BH891" t="str">
        <f t="shared" si="338"/>
        <v/>
      </c>
      <c r="BI891" t="str">
        <f t="shared" si="339"/>
        <v/>
      </c>
      <c r="BJ891" t="str">
        <f t="shared" si="340"/>
        <v/>
      </c>
      <c r="BK891" t="str">
        <f t="shared" si="341"/>
        <v/>
      </c>
      <c r="BL891" t="str">
        <f t="shared" si="342"/>
        <v/>
      </c>
      <c r="BM891" t="str">
        <f t="shared" si="343"/>
        <v/>
      </c>
      <c r="BN891" t="str">
        <f t="shared" si="344"/>
        <v/>
      </c>
      <c r="BO891" t="str">
        <f t="shared" si="345"/>
        <v/>
      </c>
      <c r="BP891" t="str">
        <f t="shared" si="346"/>
        <v/>
      </c>
      <c r="BQ891" t="str">
        <f t="shared" si="347"/>
        <v/>
      </c>
      <c r="BR891" t="str">
        <f t="shared" si="348"/>
        <v/>
      </c>
      <c r="BS891" t="str">
        <f t="shared" si="349"/>
        <v/>
      </c>
      <c r="BT891" t="str">
        <f t="shared" si="350"/>
        <v/>
      </c>
      <c r="BU891" t="str">
        <f t="shared" si="351"/>
        <v/>
      </c>
    </row>
    <row r="892" spans="1:73">
      <c r="A892" s="1">
        <v>73377</v>
      </c>
      <c r="B892" t="str">
        <f>VLOOKUP($A892,[1]Table!$A$2:$N1060,B$1,FALSE)</f>
        <v>N05BA06</v>
      </c>
      <c r="C892" t="str">
        <f>VLOOKUP($A892,[1]Table!$A$2:$N1060,C$1,FALSE)</f>
        <v>PSYCHOLEPTICA</v>
      </c>
      <c r="D892" t="str">
        <f>VLOOKUP($A892,[1]Table!$A$2:$N1060,D$1,FALSE)</f>
        <v>ANXIOLYTICA</v>
      </c>
      <c r="E892" t="str">
        <f>VLOOKUP($A892,[1]Table!$A$2:$N1060,E$1,FALSE)</f>
        <v>LORAZEPAM</v>
      </c>
      <c r="F892" t="str">
        <f>VLOOKUP($A892,[1]Table!$A$2:$N1060,F$1,FALSE)</f>
        <v>TEMESTA 4 MG/ML AMPUL 1ML</v>
      </c>
      <c r="G892" t="str">
        <f>VLOOKUP($A892,[1]Table!$A$2:$N1060,G$1,FALSE)</f>
        <v>LORAZEPAM 4MG/ML INJVLST</v>
      </c>
      <c r="H892" t="str">
        <f>VLOOKUP($A892,[1]Table!$A$2:$N1060,H$1,FALSE)</f>
        <v>injectievloeistof</v>
      </c>
      <c r="I892" t="s">
        <v>87</v>
      </c>
      <c r="J892">
        <f>VLOOKUP($A892,[1]Table!$A$2:$N1060,J$1,FALSE)</f>
        <v>4</v>
      </c>
      <c r="K892" t="str">
        <f>VLOOKUP($A892,[1]Table!$A$2:$N1060,K$1,FALSE)</f>
        <v>mg/ml</v>
      </c>
      <c r="L892">
        <f>VLOOKUP($A892,[1]Table!$A$2:$N1060,L$1,FALSE)</f>
        <v>4</v>
      </c>
      <c r="M892" t="str">
        <f>VLOOKUP($A892,[1]Table!$A$2:$N1060,M$1,FALSE)</f>
        <v>mg</v>
      </c>
      <c r="N892" t="str">
        <f>VLOOKUP($A892,[1]Table!$A$2:$N1060,N$1,FALSE)</f>
        <v>Sedatie||Status epilepticus||Acute angsten (kort gebruik)</v>
      </c>
      <c r="O892" t="str">
        <f>ConcatenateRange(AZ892:BU892,"||")</f>
        <v/>
      </c>
      <c r="AZ892" t="str">
        <f t="shared" si="330"/>
        <v/>
      </c>
      <c r="BA892" t="str">
        <f t="shared" si="331"/>
        <v/>
      </c>
      <c r="BB892" t="str">
        <f t="shared" si="332"/>
        <v/>
      </c>
      <c r="BC892" t="str">
        <f t="shared" si="333"/>
        <v/>
      </c>
      <c r="BD892" t="str">
        <f t="shared" si="334"/>
        <v/>
      </c>
      <c r="BE892" t="str">
        <f t="shared" si="335"/>
        <v/>
      </c>
      <c r="BF892" t="str">
        <f t="shared" si="336"/>
        <v/>
      </c>
      <c r="BG892" t="str">
        <f t="shared" si="337"/>
        <v/>
      </c>
      <c r="BH892" t="str">
        <f t="shared" si="338"/>
        <v/>
      </c>
      <c r="BI892" t="str">
        <f t="shared" si="339"/>
        <v/>
      </c>
      <c r="BJ892" t="str">
        <f t="shared" si="340"/>
        <v/>
      </c>
      <c r="BK892" t="str">
        <f t="shared" si="341"/>
        <v/>
      </c>
      <c r="BL892" t="str">
        <f t="shared" si="342"/>
        <v/>
      </c>
      <c r="BM892" t="str">
        <f t="shared" si="343"/>
        <v/>
      </c>
      <c r="BN892" t="str">
        <f t="shared" si="344"/>
        <v/>
      </c>
      <c r="BO892" t="str">
        <f t="shared" si="345"/>
        <v/>
      </c>
      <c r="BP892" t="str">
        <f t="shared" si="346"/>
        <v/>
      </c>
      <c r="BQ892" t="str">
        <f t="shared" si="347"/>
        <v/>
      </c>
      <c r="BR892" t="str">
        <f t="shared" si="348"/>
        <v/>
      </c>
      <c r="BS892" t="str">
        <f t="shared" si="349"/>
        <v/>
      </c>
      <c r="BT892" t="str">
        <f t="shared" si="350"/>
        <v/>
      </c>
      <c r="BU892" t="str">
        <f t="shared" si="351"/>
        <v/>
      </c>
    </row>
    <row r="893" spans="1:73">
      <c r="A893" s="1">
        <v>143715</v>
      </c>
      <c r="B893" t="str">
        <f>VLOOKUP($A893,[1]Table!$A$2:$N1061,B$1,FALSE)</f>
        <v>N05BA06</v>
      </c>
      <c r="C893" t="str">
        <f>VLOOKUP($A893,[1]Table!$A$2:$N1061,C$1,FALSE)</f>
        <v>PSYCHOLEPTICA</v>
      </c>
      <c r="D893" t="str">
        <f>VLOOKUP($A893,[1]Table!$A$2:$N1061,D$1,FALSE)</f>
        <v>ANXIOLYTICA</v>
      </c>
      <c r="E893" t="str">
        <f>VLOOKUP($A893,[1]Table!$A$2:$N1061,E$1,FALSE)</f>
        <v>LORAZEPAM</v>
      </c>
      <c r="F893" t="str">
        <f>VLOOKUP($A893,[1]Table!$A$2:$N1061,F$1,FALSE)</f>
        <v>LORAZEPAM 0,5 MG TABLET</v>
      </c>
      <c r="G893" t="str">
        <f>VLOOKUP($A893,[1]Table!$A$2:$N1061,G$1,FALSE)</f>
        <v>LORAZEPAM 0,5MG TABLET</v>
      </c>
      <c r="H893" t="str">
        <f>VLOOKUP($A893,[1]Table!$A$2:$N1061,H$1,FALSE)</f>
        <v>tablet</v>
      </c>
      <c r="I893" t="str">
        <f>VLOOKUP($A893,[1]Table!$A$2:$N1061,I$1,FALSE)</f>
        <v>or</v>
      </c>
      <c r="J893">
        <f>VLOOKUP($A893,[1]Table!$A$2:$N1061,J$1,FALSE)</f>
        <v>0.5</v>
      </c>
      <c r="K893" t="str">
        <f>VLOOKUP($A893,[1]Table!$A$2:$N1061,K$1,FALSE)</f>
        <v>mg/stuk</v>
      </c>
      <c r="L893">
        <f>VLOOKUP($A893,[1]Table!$A$2:$N1061,L$1,FALSE)</f>
        <v>0.5</v>
      </c>
      <c r="M893" t="str">
        <f>VLOOKUP($A893,[1]Table!$A$2:$N1061,M$1,FALSE)</f>
        <v>mg</v>
      </c>
      <c r="N893" t="str">
        <f>VLOOKUP($A893,[1]Table!$A$2:$N1061,N$1,FALSE)</f>
        <v>Sedatie||Status epilepticus||Acute angsten (kort gebruik)</v>
      </c>
      <c r="O893" t="str">
        <f>ConcatenateRange(AZ893:BU893,"||")</f>
        <v/>
      </c>
      <c r="AZ893" t="str">
        <f t="shared" si="330"/>
        <v/>
      </c>
      <c r="BA893" t="str">
        <f t="shared" si="331"/>
        <v/>
      </c>
      <c r="BB893" t="str">
        <f t="shared" si="332"/>
        <v/>
      </c>
      <c r="BC893" t="str">
        <f t="shared" si="333"/>
        <v/>
      </c>
      <c r="BD893" t="str">
        <f t="shared" si="334"/>
        <v/>
      </c>
      <c r="BE893" t="str">
        <f t="shared" si="335"/>
        <v/>
      </c>
      <c r="BF893" t="str">
        <f t="shared" si="336"/>
        <v/>
      </c>
      <c r="BG893" t="str">
        <f t="shared" si="337"/>
        <v/>
      </c>
      <c r="BH893" t="str">
        <f t="shared" si="338"/>
        <v/>
      </c>
      <c r="BI893" t="str">
        <f t="shared" si="339"/>
        <v/>
      </c>
      <c r="BJ893" t="str">
        <f t="shared" si="340"/>
        <v/>
      </c>
      <c r="BK893" t="str">
        <f t="shared" si="341"/>
        <v/>
      </c>
      <c r="BL893" t="str">
        <f t="shared" si="342"/>
        <v/>
      </c>
      <c r="BM893" t="str">
        <f t="shared" si="343"/>
        <v/>
      </c>
      <c r="BN893" t="str">
        <f t="shared" si="344"/>
        <v/>
      </c>
      <c r="BO893" t="str">
        <f t="shared" si="345"/>
        <v/>
      </c>
      <c r="BP893" t="str">
        <f t="shared" si="346"/>
        <v/>
      </c>
      <c r="BQ893" t="str">
        <f t="shared" si="347"/>
        <v/>
      </c>
      <c r="BR893" t="str">
        <f t="shared" si="348"/>
        <v/>
      </c>
      <c r="BS893" t="str">
        <f t="shared" si="349"/>
        <v/>
      </c>
      <c r="BT893" t="str">
        <f t="shared" si="350"/>
        <v/>
      </c>
      <c r="BU893" t="str">
        <f t="shared" si="351"/>
        <v/>
      </c>
    </row>
    <row r="894" spans="1:73">
      <c r="A894" s="1">
        <v>8990</v>
      </c>
      <c r="B894" t="str">
        <f>VLOOKUP($A894,[1]Table!$A$2:$N1062,B$1,FALSE)</f>
        <v>N05BA06</v>
      </c>
      <c r="C894" t="str">
        <f>VLOOKUP($A894,[1]Table!$A$2:$N1062,C$1,FALSE)</f>
        <v>PSYCHOLEPTICA</v>
      </c>
      <c r="D894" t="str">
        <f>VLOOKUP($A894,[1]Table!$A$2:$N1062,D$1,FALSE)</f>
        <v>ANXIOLYTICA</v>
      </c>
      <c r="E894" t="str">
        <f>VLOOKUP($A894,[1]Table!$A$2:$N1062,E$1,FALSE)</f>
        <v>LORAZEPAM</v>
      </c>
      <c r="F894" t="str">
        <f>VLOOKUP($A894,[1]Table!$A$2:$N1062,F$1,FALSE)</f>
        <v>LORAZEPAM 1 MG  TABLET</v>
      </c>
      <c r="G894" t="str">
        <f>VLOOKUP($A894,[1]Table!$A$2:$N1062,G$1,FALSE)</f>
        <v>LORAZEPAM 1MG TABLET</v>
      </c>
      <c r="H894" t="str">
        <f>VLOOKUP($A894,[1]Table!$A$2:$N1062,H$1,FALSE)</f>
        <v>tablet</v>
      </c>
      <c r="I894" t="str">
        <f>VLOOKUP($A894,[1]Table!$A$2:$N1062,I$1,FALSE)</f>
        <v>or</v>
      </c>
      <c r="J894">
        <f>VLOOKUP($A894,[1]Table!$A$2:$N1062,J$1,FALSE)</f>
        <v>1</v>
      </c>
      <c r="K894" t="str">
        <f>VLOOKUP($A894,[1]Table!$A$2:$N1062,K$1,FALSE)</f>
        <v>mg/stuk</v>
      </c>
      <c r="L894">
        <f>VLOOKUP($A894,[1]Table!$A$2:$N1062,L$1,FALSE)</f>
        <v>1</v>
      </c>
      <c r="M894" t="str">
        <f>VLOOKUP($A894,[1]Table!$A$2:$N1062,M$1,FALSE)</f>
        <v>mg</v>
      </c>
      <c r="N894" t="str">
        <f>VLOOKUP($A894,[1]Table!$A$2:$N1062,N$1,FALSE)</f>
        <v>Sedatie||Status epilepticus||Acute angsten (kort gebruik)</v>
      </c>
      <c r="O894" t="str">
        <f>ConcatenateRange(AZ894:BU894,"||")</f>
        <v/>
      </c>
      <c r="AZ894" t="str">
        <f t="shared" si="330"/>
        <v/>
      </c>
      <c r="BA894" t="str">
        <f t="shared" si="331"/>
        <v/>
      </c>
      <c r="BB894" t="str">
        <f t="shared" si="332"/>
        <v/>
      </c>
      <c r="BC894" t="str">
        <f t="shared" si="333"/>
        <v/>
      </c>
      <c r="BD894" t="str">
        <f t="shared" si="334"/>
        <v/>
      </c>
      <c r="BE894" t="str">
        <f t="shared" si="335"/>
        <v/>
      </c>
      <c r="BF894" t="str">
        <f t="shared" si="336"/>
        <v/>
      </c>
      <c r="BG894" t="str">
        <f t="shared" si="337"/>
        <v/>
      </c>
      <c r="BH894" t="str">
        <f t="shared" si="338"/>
        <v/>
      </c>
      <c r="BI894" t="str">
        <f t="shared" si="339"/>
        <v/>
      </c>
      <c r="BJ894" t="str">
        <f t="shared" si="340"/>
        <v/>
      </c>
      <c r="BK894" t="str">
        <f t="shared" si="341"/>
        <v/>
      </c>
      <c r="BL894" t="str">
        <f t="shared" si="342"/>
        <v/>
      </c>
      <c r="BM894" t="str">
        <f t="shared" si="343"/>
        <v/>
      </c>
      <c r="BN894" t="str">
        <f t="shared" si="344"/>
        <v/>
      </c>
      <c r="BO894" t="str">
        <f t="shared" si="345"/>
        <v/>
      </c>
      <c r="BP894" t="str">
        <f t="shared" si="346"/>
        <v/>
      </c>
      <c r="BQ894" t="str">
        <f t="shared" si="347"/>
        <v/>
      </c>
      <c r="BR894" t="str">
        <f t="shared" si="348"/>
        <v/>
      </c>
      <c r="BS894" t="str">
        <f t="shared" si="349"/>
        <v/>
      </c>
      <c r="BT894" t="str">
        <f t="shared" si="350"/>
        <v/>
      </c>
      <c r="BU894" t="str">
        <f t="shared" si="351"/>
        <v/>
      </c>
    </row>
    <row r="895" spans="1:73">
      <c r="A895" s="1">
        <v>21024</v>
      </c>
      <c r="B895" t="str">
        <f>VLOOKUP($A895,[1]Table!$A$2:$N1063,B$1,FALSE)</f>
        <v>N05BA06</v>
      </c>
      <c r="C895" t="str">
        <f>VLOOKUP($A895,[1]Table!$A$2:$N1063,C$1,FALSE)</f>
        <v>PSYCHOLEPTICA</v>
      </c>
      <c r="D895" t="str">
        <f>VLOOKUP($A895,[1]Table!$A$2:$N1063,D$1,FALSE)</f>
        <v>ANXIOLYTICA</v>
      </c>
      <c r="E895" t="str">
        <f>VLOOKUP($A895,[1]Table!$A$2:$N1063,E$1,FALSE)</f>
        <v>LORAZEPAM</v>
      </c>
      <c r="F895" t="str">
        <f>VLOOKUP($A895,[1]Table!$A$2:$N1063,F$1,FALSE)</f>
        <v>LORAZEPAM 2,5 MG TABLET</v>
      </c>
      <c r="G895" t="str">
        <f>VLOOKUP($A895,[1]Table!$A$2:$N1063,G$1,FALSE)</f>
        <v>LORAZEPAM 2,5MG TABLET</v>
      </c>
      <c r="H895" t="str">
        <f>VLOOKUP($A895,[1]Table!$A$2:$N1063,H$1,FALSE)</f>
        <v>tablet</v>
      </c>
      <c r="I895" t="str">
        <f>VLOOKUP($A895,[1]Table!$A$2:$N1063,I$1,FALSE)</f>
        <v>or</v>
      </c>
      <c r="J895">
        <f>VLOOKUP($A895,[1]Table!$A$2:$N1063,J$1,FALSE)</f>
        <v>2.5</v>
      </c>
      <c r="K895" t="str">
        <f>VLOOKUP($A895,[1]Table!$A$2:$N1063,K$1,FALSE)</f>
        <v>mg/stuk</v>
      </c>
      <c r="L895">
        <f>VLOOKUP($A895,[1]Table!$A$2:$N1063,L$1,FALSE)</f>
        <v>1.25</v>
      </c>
      <c r="M895" t="str">
        <f>VLOOKUP($A895,[1]Table!$A$2:$N1063,M$1,FALSE)</f>
        <v>mg</v>
      </c>
      <c r="N895" t="str">
        <f>VLOOKUP($A895,[1]Table!$A$2:$N1063,N$1,FALSE)</f>
        <v>Sedatie||Status epilepticus||Acute angsten (kort gebruik)</v>
      </c>
      <c r="O895" t="str">
        <f>ConcatenateRange(AZ895:BU895,"||")</f>
        <v/>
      </c>
      <c r="AZ895" t="str">
        <f t="shared" si="330"/>
        <v/>
      </c>
      <c r="BA895" t="str">
        <f t="shared" si="331"/>
        <v/>
      </c>
      <c r="BB895" t="str">
        <f t="shared" si="332"/>
        <v/>
      </c>
      <c r="BC895" t="str">
        <f t="shared" si="333"/>
        <v/>
      </c>
      <c r="BD895" t="str">
        <f t="shared" si="334"/>
        <v/>
      </c>
      <c r="BE895" t="str">
        <f t="shared" si="335"/>
        <v/>
      </c>
      <c r="BF895" t="str">
        <f t="shared" si="336"/>
        <v/>
      </c>
      <c r="BG895" t="str">
        <f t="shared" si="337"/>
        <v/>
      </c>
      <c r="BH895" t="str">
        <f t="shared" si="338"/>
        <v/>
      </c>
      <c r="BI895" t="str">
        <f t="shared" si="339"/>
        <v/>
      </c>
      <c r="BJ895" t="str">
        <f t="shared" si="340"/>
        <v/>
      </c>
      <c r="BK895" t="str">
        <f t="shared" si="341"/>
        <v/>
      </c>
      <c r="BL895" t="str">
        <f t="shared" si="342"/>
        <v/>
      </c>
      <c r="BM895" t="str">
        <f t="shared" si="343"/>
        <v/>
      </c>
      <c r="BN895" t="str">
        <f t="shared" si="344"/>
        <v/>
      </c>
      <c r="BO895" t="str">
        <f t="shared" si="345"/>
        <v/>
      </c>
      <c r="BP895" t="str">
        <f t="shared" si="346"/>
        <v/>
      </c>
      <c r="BQ895" t="str">
        <f t="shared" si="347"/>
        <v/>
      </c>
      <c r="BR895" t="str">
        <f t="shared" si="348"/>
        <v/>
      </c>
      <c r="BS895" t="str">
        <f t="shared" si="349"/>
        <v/>
      </c>
      <c r="BT895" t="str">
        <f t="shared" si="350"/>
        <v/>
      </c>
      <c r="BU895" t="str">
        <f t="shared" si="351"/>
        <v/>
      </c>
    </row>
    <row r="896" spans="1:73">
      <c r="A896" s="1">
        <v>115258</v>
      </c>
      <c r="B896" s="11" t="str">
        <f>VLOOKUP($A896,[1]Table!$A$2:$N1064,B$1,FALSE)</f>
        <v>C09CA01</v>
      </c>
      <c r="C896" t="str">
        <f>VLOOKUP($A896,[1]Table!$A$2:$N1064,C$1,FALSE)</f>
        <v>MIDDELEN AANGRIJPEND OP HET RENINE-ANGIOTENSINESYSTEEM</v>
      </c>
      <c r="D896" t="str">
        <f>VLOOKUP($A896,[1]Table!$A$2:$N1064,D$1,FALSE)</f>
        <v>ANGIOTENSINE-II-ANTAGONISTEN</v>
      </c>
      <c r="E896" t="str">
        <f>VLOOKUP($A896,[1]Table!$A$2:$N1064,E$1,FALSE)</f>
        <v>LOSARTAN</v>
      </c>
      <c r="F896" t="str">
        <f>VLOOKUP($A896,[1]Table!$A$2:$N1064,F$1,FALSE)</f>
        <v>LOSARTAN KALIUM 50 MG TABLET OMHULD</v>
      </c>
      <c r="G896" t="str">
        <f>VLOOKUP($A896,[1]Table!$A$2:$N1064,G$1,FALSE)</f>
        <v>LOSARTAN 50MG TABLET FO</v>
      </c>
      <c r="H896" t="str">
        <f>VLOOKUP($A896,[1]Table!$A$2:$N1064,H$1,FALSE)</f>
        <v>filmomhulde tablet</v>
      </c>
      <c r="I896" t="str">
        <f>VLOOKUP($A896,[1]Table!$A$2:$N1064,I$1,FALSE)</f>
        <v>or</v>
      </c>
      <c r="J896">
        <f>VLOOKUP($A896,[1]Table!$A$2:$N1064,J$1,FALSE)</f>
        <v>50</v>
      </c>
      <c r="K896" t="str">
        <f>VLOOKUP($A896,[1]Table!$A$2:$N1064,K$1,FALSE)</f>
        <v>mg/stuk</v>
      </c>
      <c r="L896">
        <f>VLOOKUP($A896,[1]Table!$A$2:$N1064,L$1,FALSE)</f>
        <v>25</v>
      </c>
      <c r="M896" t="str">
        <f>VLOOKUP($A896,[1]Table!$A$2:$N1064,M$1,FALSE)</f>
        <v>mg</v>
      </c>
      <c r="N896" t="str">
        <f>VLOOKUP($A896,[1]Table!$A$2:$N1064,N$1,FALSE)</f>
        <v>Hypertensie, proteïnurie, Marfan syndroom</v>
      </c>
      <c r="O896" t="str">
        <f>ConcatenateRange(AZ896:BU896,"||")</f>
        <v/>
      </c>
      <c r="AZ896" t="str">
        <f t="shared" si="330"/>
        <v/>
      </c>
      <c r="BA896" t="str">
        <f t="shared" si="331"/>
        <v/>
      </c>
      <c r="BB896" t="str">
        <f t="shared" si="332"/>
        <v/>
      </c>
      <c r="BC896" t="str">
        <f t="shared" si="333"/>
        <v/>
      </c>
      <c r="BD896" t="str">
        <f t="shared" si="334"/>
        <v/>
      </c>
      <c r="BE896" t="str">
        <f t="shared" si="335"/>
        <v/>
      </c>
      <c r="BF896" t="str">
        <f t="shared" si="336"/>
        <v/>
      </c>
      <c r="BG896" t="str">
        <f t="shared" si="337"/>
        <v/>
      </c>
      <c r="BH896" t="str">
        <f t="shared" si="338"/>
        <v/>
      </c>
      <c r="BI896" t="str">
        <f t="shared" si="339"/>
        <v/>
      </c>
      <c r="BJ896" t="str">
        <f t="shared" si="340"/>
        <v/>
      </c>
      <c r="BK896" t="str">
        <f t="shared" si="341"/>
        <v/>
      </c>
      <c r="BL896" t="str">
        <f t="shared" si="342"/>
        <v/>
      </c>
      <c r="BM896" t="str">
        <f t="shared" si="343"/>
        <v/>
      </c>
      <c r="BN896" t="str">
        <f t="shared" si="344"/>
        <v/>
      </c>
      <c r="BO896" t="str">
        <f t="shared" si="345"/>
        <v/>
      </c>
      <c r="BP896" t="str">
        <f t="shared" si="346"/>
        <v/>
      </c>
      <c r="BQ896" t="str">
        <f t="shared" si="347"/>
        <v/>
      </c>
      <c r="BR896" t="str">
        <f t="shared" si="348"/>
        <v/>
      </c>
      <c r="BS896" t="str">
        <f t="shared" si="349"/>
        <v/>
      </c>
      <c r="BT896" t="str">
        <f t="shared" si="350"/>
        <v/>
      </c>
      <c r="BU896" t="str">
        <f t="shared" si="351"/>
        <v/>
      </c>
    </row>
    <row r="897" spans="1:73">
      <c r="A897" s="1">
        <v>115266</v>
      </c>
      <c r="B897" s="13" t="str">
        <f>VLOOKUP($A897,[1]Table!$A$2:$N1065,B$1,FALSE)</f>
        <v>C09CA01</v>
      </c>
      <c r="C897" t="str">
        <f>VLOOKUP($A897,[1]Table!$A$2:$N1065,C$1,FALSE)</f>
        <v>MIDDELEN AANGRIJPEND OP HET RENINE-ANGIOTENSINESYSTEEM</v>
      </c>
      <c r="D897" t="str">
        <f>VLOOKUP($A897,[1]Table!$A$2:$N1065,D$1,FALSE)</f>
        <v>ANGIOTENSINE-II-ANTAGONISTEN</v>
      </c>
      <c r="E897" t="str">
        <f>VLOOKUP($A897,[1]Table!$A$2:$N1065,E$1,FALSE)</f>
        <v>LOSARTAN</v>
      </c>
      <c r="F897" t="str">
        <f>VLOOKUP($A897,[1]Table!$A$2:$N1065,F$1,FALSE)</f>
        <v>LOSARTAN KALIUM 100 MG TABLET OMHULD</v>
      </c>
      <c r="G897" t="str">
        <f>VLOOKUP($A897,[1]Table!$A$2:$N1065,G$1,FALSE)</f>
        <v>LOSARTAN 100MG TABLET FO</v>
      </c>
      <c r="H897" t="str">
        <f>VLOOKUP($A897,[1]Table!$A$2:$N1065,H$1,FALSE)</f>
        <v>filmomhulde tablet</v>
      </c>
      <c r="I897" t="str">
        <f>VLOOKUP($A897,[1]Table!$A$2:$N1065,I$1,FALSE)</f>
        <v>or</v>
      </c>
      <c r="J897">
        <f>VLOOKUP($A897,[1]Table!$A$2:$N1065,J$1,FALSE)</f>
        <v>100</v>
      </c>
      <c r="K897" t="str">
        <f>VLOOKUP($A897,[1]Table!$A$2:$N1065,K$1,FALSE)</f>
        <v>mg/stuk</v>
      </c>
      <c r="L897">
        <f>VLOOKUP($A897,[1]Table!$A$2:$N1065,L$1,FALSE)</f>
        <v>50</v>
      </c>
      <c r="M897" t="str">
        <f>VLOOKUP($A897,[1]Table!$A$2:$N1065,M$1,FALSE)</f>
        <v>mg</v>
      </c>
      <c r="N897" t="str">
        <f>VLOOKUP($A897,[1]Table!$A$2:$N1065,N$1,FALSE)</f>
        <v>Hypertensie, proteïnurie, Marfan syndroom</v>
      </c>
      <c r="O897" t="str">
        <f>ConcatenateRange(AZ897:BU897,"||")</f>
        <v/>
      </c>
      <c r="AZ897" t="str">
        <f t="shared" si="330"/>
        <v/>
      </c>
      <c r="BA897" t="str">
        <f t="shared" si="331"/>
        <v/>
      </c>
      <c r="BB897" t="str">
        <f t="shared" si="332"/>
        <v/>
      </c>
      <c r="BC897" t="str">
        <f t="shared" si="333"/>
        <v/>
      </c>
      <c r="BD897" t="str">
        <f t="shared" si="334"/>
        <v/>
      </c>
      <c r="BE897" t="str">
        <f t="shared" si="335"/>
        <v/>
      </c>
      <c r="BF897" t="str">
        <f t="shared" si="336"/>
        <v/>
      </c>
      <c r="BG897" t="str">
        <f t="shared" si="337"/>
        <v/>
      </c>
      <c r="BH897" t="str">
        <f t="shared" si="338"/>
        <v/>
      </c>
      <c r="BI897" t="str">
        <f t="shared" si="339"/>
        <v/>
      </c>
      <c r="BJ897" t="str">
        <f t="shared" si="340"/>
        <v/>
      </c>
      <c r="BK897" t="str">
        <f t="shared" si="341"/>
        <v/>
      </c>
      <c r="BL897" t="str">
        <f t="shared" si="342"/>
        <v/>
      </c>
      <c r="BM897" t="str">
        <f t="shared" si="343"/>
        <v/>
      </c>
      <c r="BN897" t="str">
        <f t="shared" si="344"/>
        <v/>
      </c>
      <c r="BO897" t="str">
        <f t="shared" si="345"/>
        <v/>
      </c>
      <c r="BP897" t="str">
        <f t="shared" si="346"/>
        <v/>
      </c>
      <c r="BQ897" t="str">
        <f t="shared" si="347"/>
        <v/>
      </c>
      <c r="BR897" t="str">
        <f t="shared" si="348"/>
        <v/>
      </c>
      <c r="BS897" t="str">
        <f t="shared" si="349"/>
        <v/>
      </c>
      <c r="BT897" t="str">
        <f t="shared" si="350"/>
        <v/>
      </c>
      <c r="BU897" t="str">
        <f t="shared" si="351"/>
        <v/>
      </c>
    </row>
    <row r="898" spans="1:73">
      <c r="A898" s="1">
        <v>131679</v>
      </c>
      <c r="B898" s="13" t="str">
        <f>VLOOKUP($A898,[1]Table!$A$2:$N1066,B$1,FALSE)</f>
        <v>C09CA01</v>
      </c>
      <c r="C898" t="str">
        <f>VLOOKUP($A898,[1]Table!$A$2:$N1066,C$1,FALSE)</f>
        <v>MIDDELEN AANGRIJPEND OP HET RENINE-ANGIOTENSINESYSTEEM</v>
      </c>
      <c r="D898" t="str">
        <f>VLOOKUP($A898,[1]Table!$A$2:$N1066,D$1,FALSE)</f>
        <v>ANGIOTENSINE-II-ANTAGONISTEN</v>
      </c>
      <c r="E898" t="str">
        <f>VLOOKUP($A898,[1]Table!$A$2:$N1066,E$1,FALSE)</f>
        <v>LOSARTAN</v>
      </c>
      <c r="F898" t="str">
        <f>VLOOKUP($A898,[1]Table!$A$2:$N1066,F$1,FALSE)</f>
        <v>COZAAR 2,5 MG/ML POEDER VOOR SUSPENSIE + SOLVENS FLACON 200 ML</v>
      </c>
      <c r="G898" t="str">
        <f>VLOOKUP($A898,[1]Table!$A$2:$N1066,G$1,FALSE)</f>
        <v>LOSARTAN 2,5MG/ML SUSP ORAA</v>
      </c>
      <c r="H898" t="str">
        <f>VLOOKUP($A898,[1]Table!$A$2:$N1066,H$1,FALSE)</f>
        <v>suspensie voor oraal gebruik</v>
      </c>
      <c r="I898" t="str">
        <f>VLOOKUP($A898,[1]Table!$A$2:$N1066,I$1,FALSE)</f>
        <v>or</v>
      </c>
      <c r="J898">
        <f>VLOOKUP($A898,[1]Table!$A$2:$N1066,J$1,FALSE)</f>
        <v>2.5</v>
      </c>
      <c r="K898" t="str">
        <f>VLOOKUP($A898,[1]Table!$A$2:$N1066,K$1,FALSE)</f>
        <v>mg/ml</v>
      </c>
      <c r="L898">
        <f>VLOOKUP($A898,[1]Table!$A$2:$N1066,L$1,FALSE)</f>
        <v>2.5</v>
      </c>
      <c r="M898" t="str">
        <f>VLOOKUP($A898,[1]Table!$A$2:$N1066,M$1,FALSE)</f>
        <v>mg</v>
      </c>
      <c r="N898" t="str">
        <f>VLOOKUP($A898,[1]Table!$A$2:$N1066,N$1,FALSE)</f>
        <v>Hypertensie, proteïnurie, Marfan syndroom</v>
      </c>
      <c r="O898" t="str">
        <f>ConcatenateRange(AZ898:BU898,"||")</f>
        <v/>
      </c>
      <c r="AZ898" t="str">
        <f t="shared" si="330"/>
        <v/>
      </c>
      <c r="BA898" t="str">
        <f t="shared" si="331"/>
        <v/>
      </c>
      <c r="BB898" t="str">
        <f t="shared" si="332"/>
        <v/>
      </c>
      <c r="BC898" t="str">
        <f t="shared" si="333"/>
        <v/>
      </c>
      <c r="BD898" t="str">
        <f t="shared" si="334"/>
        <v/>
      </c>
      <c r="BE898" t="str">
        <f t="shared" si="335"/>
        <v/>
      </c>
      <c r="BF898" t="str">
        <f t="shared" si="336"/>
        <v/>
      </c>
      <c r="BG898" t="str">
        <f t="shared" si="337"/>
        <v/>
      </c>
      <c r="BH898" t="str">
        <f t="shared" si="338"/>
        <v/>
      </c>
      <c r="BI898" t="str">
        <f t="shared" si="339"/>
        <v/>
      </c>
      <c r="BJ898" t="str">
        <f t="shared" si="340"/>
        <v/>
      </c>
      <c r="BK898" t="str">
        <f t="shared" si="341"/>
        <v/>
      </c>
      <c r="BL898" t="str">
        <f t="shared" si="342"/>
        <v/>
      </c>
      <c r="BM898" t="str">
        <f t="shared" si="343"/>
        <v/>
      </c>
      <c r="BN898" t="str">
        <f t="shared" si="344"/>
        <v/>
      </c>
      <c r="BO898" t="str">
        <f t="shared" si="345"/>
        <v/>
      </c>
      <c r="BP898" t="str">
        <f t="shared" si="346"/>
        <v/>
      </c>
      <c r="BQ898" t="str">
        <f t="shared" si="347"/>
        <v/>
      </c>
      <c r="BR898" t="str">
        <f t="shared" si="348"/>
        <v/>
      </c>
      <c r="BS898" t="str">
        <f t="shared" si="349"/>
        <v/>
      </c>
      <c r="BT898" t="str">
        <f t="shared" si="350"/>
        <v/>
      </c>
      <c r="BU898" t="str">
        <f t="shared" si="351"/>
        <v/>
      </c>
    </row>
    <row r="899" spans="1:73">
      <c r="A899" s="1">
        <v>7498</v>
      </c>
      <c r="B899" s="13" t="str">
        <f>VLOOKUP($A899,[1]Table!$A$2:$N1067,B$1,FALSE)</f>
        <v>G03DC03</v>
      </c>
      <c r="C899" t="str">
        <f>VLOOKUP($A899,[1]Table!$A$2:$N1067,C$1,FALSE)</f>
        <v>GESLACHTSHORMONEN EN MODULATOREN VAN HET GENITALE STELSEL</v>
      </c>
      <c r="D899" t="str">
        <f>VLOOKUP($A899,[1]Table!$A$2:$N1067,D$1,FALSE)</f>
        <v>PROGESTAGENEN</v>
      </c>
      <c r="E899" t="str">
        <f>VLOOKUP($A899,[1]Table!$A$2:$N1067,E$1,FALSE)</f>
        <v>LYNESTRENOL</v>
      </c>
      <c r="F899" t="str">
        <f>VLOOKUP($A899,[1]Table!$A$2:$N1067,F$1,FALSE)</f>
        <v>ORGAMETRIL 5 MG TABLET</v>
      </c>
      <c r="G899" t="str">
        <f>VLOOKUP($A899,[1]Table!$A$2:$N1067,G$1,FALSE)</f>
        <v>LYNESTRENOL 5MG TABLET</v>
      </c>
      <c r="H899" t="str">
        <f>VLOOKUP($A899,[1]Table!$A$2:$N1067,H$1,FALSE)</f>
        <v>tablet</v>
      </c>
      <c r="I899" t="str">
        <f>VLOOKUP($A899,[1]Table!$A$2:$N1067,I$1,FALSE)</f>
        <v>or</v>
      </c>
      <c r="J899">
        <f>VLOOKUP($A899,[1]Table!$A$2:$N1067,J$1,FALSE)</f>
        <v>5</v>
      </c>
      <c r="K899" t="str">
        <f>VLOOKUP($A899,[1]Table!$A$2:$N1067,K$1,FALSE)</f>
        <v>mg/stuk</v>
      </c>
      <c r="L899">
        <f>VLOOKUP($A899,[1]Table!$A$2:$N1067,L$1,FALSE)</f>
        <v>2.5</v>
      </c>
      <c r="M899" t="str">
        <f>VLOOKUP($A899,[1]Table!$A$2:$N1067,M$1,FALSE)</f>
        <v>mg</v>
      </c>
      <c r="N899" t="str">
        <f>VLOOKUP($A899,[1]Table!$A$2:$N1067,N$1,FALSE)</f>
        <v>Uitstel van de menstruatie</v>
      </c>
      <c r="O899" t="str">
        <f>ConcatenateRange(AZ899:BU899,"||")</f>
        <v/>
      </c>
      <c r="AZ899" t="str">
        <f t="shared" si="330"/>
        <v/>
      </c>
      <c r="BA899" t="str">
        <f t="shared" si="331"/>
        <v/>
      </c>
      <c r="BB899" t="str">
        <f t="shared" si="332"/>
        <v/>
      </c>
      <c r="BC899" t="str">
        <f t="shared" si="333"/>
        <v/>
      </c>
      <c r="BD899" t="str">
        <f t="shared" si="334"/>
        <v/>
      </c>
      <c r="BE899" t="str">
        <f t="shared" si="335"/>
        <v/>
      </c>
      <c r="BF899" t="str">
        <f t="shared" si="336"/>
        <v/>
      </c>
      <c r="BG899" t="str">
        <f t="shared" si="337"/>
        <v/>
      </c>
      <c r="BH899" t="str">
        <f t="shared" si="338"/>
        <v/>
      </c>
      <c r="BI899" t="str">
        <f t="shared" si="339"/>
        <v/>
      </c>
      <c r="BJ899" t="str">
        <f t="shared" si="340"/>
        <v/>
      </c>
      <c r="BK899" t="str">
        <f t="shared" si="341"/>
        <v/>
      </c>
      <c r="BL899" t="str">
        <f t="shared" si="342"/>
        <v/>
      </c>
      <c r="BM899" t="str">
        <f t="shared" si="343"/>
        <v/>
      </c>
      <c r="BN899" t="str">
        <f t="shared" si="344"/>
        <v/>
      </c>
      <c r="BO899" t="str">
        <f t="shared" si="345"/>
        <v/>
      </c>
      <c r="BP899" t="str">
        <f t="shared" si="346"/>
        <v/>
      </c>
      <c r="BQ899" t="str">
        <f t="shared" si="347"/>
        <v/>
      </c>
      <c r="BR899" t="str">
        <f t="shared" si="348"/>
        <v/>
      </c>
      <c r="BS899" t="str">
        <f t="shared" si="349"/>
        <v/>
      </c>
      <c r="BT899" t="str">
        <f t="shared" si="350"/>
        <v/>
      </c>
      <c r="BU899" t="str">
        <f t="shared" si="351"/>
        <v/>
      </c>
    </row>
    <row r="900" spans="1:73">
      <c r="A900" s="1">
        <v>119520</v>
      </c>
      <c r="B900" s="13" t="str">
        <f>VLOOKUP($A900,[1]Table!$A$2:$N1068,B$1,FALSE)</f>
        <v>A06AD15</v>
      </c>
      <c r="C900" t="str">
        <f>VLOOKUP($A900,[1]Table!$A$2:$N1068,C$1,FALSE)</f>
        <v>MIDDELEN BIJ OBSTIPATIE</v>
      </c>
      <c r="D900" t="str">
        <f>VLOOKUP($A900,[1]Table!$A$2:$N1068,D$1,FALSE)</f>
        <v>MIDDELEN BIJ OBSTIPATIE</v>
      </c>
      <c r="E900" t="str">
        <f>VLOOKUP($A900,[1]Table!$A$2:$N1068,E$1,FALSE)</f>
        <v>MACROGOL</v>
      </c>
      <c r="F900" t="str">
        <f>VLOOKUP($A900,[1]Table!$A$2:$N1068,F$1,FALSE)</f>
        <v>FORLAX JUNIOR 4G SACHET PDR VOOR DRANK</v>
      </c>
      <c r="G900" t="str">
        <f>VLOOKUP($A900,[1]Table!$A$2:$N1068,G$1,FALSE)</f>
        <v>MACROGOL 4G POEDER V DRANK</v>
      </c>
      <c r="H900" t="str">
        <f>VLOOKUP($A900,[1]Table!$A$2:$N1068,H$1,FALSE)</f>
        <v>poeder voor drank</v>
      </c>
      <c r="I900" t="str">
        <f>VLOOKUP($A900,[1]Table!$A$2:$N1068,I$1,FALSE)</f>
        <v>or</v>
      </c>
      <c r="J900">
        <f>VLOOKUP($A900,[1]Table!$A$2:$N1068,J$1,FALSE)</f>
        <v>4</v>
      </c>
      <c r="K900" t="str">
        <f>VLOOKUP($A900,[1]Table!$A$2:$N1068,K$1,FALSE)</f>
        <v>gr/stuk</v>
      </c>
      <c r="L900">
        <f>VLOOKUP($A900,[1]Table!$A$2:$N1068,L$1,FALSE)</f>
        <v>4</v>
      </c>
      <c r="M900" t="str">
        <f>VLOOKUP($A900,[1]Table!$A$2:$N1068,M$1,FALSE)</f>
        <v>gr</v>
      </c>
      <c r="N900" t="str">
        <f>VLOOKUP($A900,[1]Table!$A$2:$N1068,N$1,FALSE)</f>
        <v>Obstipatie</v>
      </c>
      <c r="O900" t="str">
        <f>ConcatenateRange(AZ900:BU900,"||")</f>
        <v/>
      </c>
      <c r="AZ900" t="str">
        <f t="shared" si="330"/>
        <v/>
      </c>
      <c r="BA900" t="str">
        <f t="shared" si="331"/>
        <v/>
      </c>
      <c r="BB900" t="str">
        <f t="shared" si="332"/>
        <v/>
      </c>
      <c r="BC900" t="str">
        <f t="shared" si="333"/>
        <v/>
      </c>
      <c r="BD900" t="str">
        <f t="shared" si="334"/>
        <v/>
      </c>
      <c r="BE900" t="str">
        <f t="shared" si="335"/>
        <v/>
      </c>
      <c r="BF900" t="str">
        <f t="shared" si="336"/>
        <v/>
      </c>
      <c r="BG900" t="str">
        <f t="shared" si="337"/>
        <v/>
      </c>
      <c r="BH900" t="str">
        <f t="shared" si="338"/>
        <v/>
      </c>
      <c r="BI900" t="str">
        <f t="shared" si="339"/>
        <v/>
      </c>
      <c r="BJ900" t="str">
        <f t="shared" si="340"/>
        <v/>
      </c>
      <c r="BK900" t="str">
        <f t="shared" si="341"/>
        <v/>
      </c>
      <c r="BL900" t="str">
        <f t="shared" si="342"/>
        <v/>
      </c>
      <c r="BM900" t="str">
        <f t="shared" si="343"/>
        <v/>
      </c>
      <c r="BN900" t="str">
        <f t="shared" si="344"/>
        <v/>
      </c>
      <c r="BO900" t="str">
        <f t="shared" si="345"/>
        <v/>
      </c>
      <c r="BP900" t="str">
        <f t="shared" si="346"/>
        <v/>
      </c>
      <c r="BQ900" t="str">
        <f t="shared" si="347"/>
        <v/>
      </c>
      <c r="BR900" t="str">
        <f t="shared" si="348"/>
        <v/>
      </c>
      <c r="BS900" t="str">
        <f t="shared" si="349"/>
        <v/>
      </c>
      <c r="BT900" t="str">
        <f t="shared" si="350"/>
        <v/>
      </c>
      <c r="BU900" t="str">
        <f t="shared" si="351"/>
        <v/>
      </c>
    </row>
    <row r="901" spans="1:73">
      <c r="A901" s="1">
        <v>107654</v>
      </c>
      <c r="B901" s="13" t="str">
        <f>VLOOKUP($A901,[1]Table!$A$2:$N1069,B$1,FALSE)</f>
        <v>A06AD15</v>
      </c>
      <c r="C901" t="str">
        <f>VLOOKUP($A901,[1]Table!$A$2:$N1069,C$1,FALSE)</f>
        <v>MIDDELEN BIJ OBSTIPATIE</v>
      </c>
      <c r="D901" t="str">
        <f>VLOOKUP($A901,[1]Table!$A$2:$N1069,D$1,FALSE)</f>
        <v>MIDDELEN BIJ OBSTIPATIE</v>
      </c>
      <c r="E901" t="str">
        <f>VLOOKUP($A901,[1]Table!$A$2:$N1069,E$1,FALSE)</f>
        <v>MACROGOL</v>
      </c>
      <c r="F901" t="str">
        <f>VLOOKUP($A901,[1]Table!$A$2:$N1069,F$1,FALSE)</f>
        <v>FORLAX 10G SACHET POEDER VOOR DRANK</v>
      </c>
      <c r="G901" t="str">
        <f>VLOOKUP($A901,[1]Table!$A$2:$N1069,G$1,FALSE)</f>
        <v>MACROGOL 10G POEDER V DRANK</v>
      </c>
      <c r="H901" t="str">
        <f>VLOOKUP($A901,[1]Table!$A$2:$N1069,H$1,FALSE)</f>
        <v>poeder voor drank</v>
      </c>
      <c r="I901" t="str">
        <f>VLOOKUP($A901,[1]Table!$A$2:$N1069,I$1,FALSE)</f>
        <v>or</v>
      </c>
      <c r="J901">
        <f>VLOOKUP($A901,[1]Table!$A$2:$N1069,J$1,FALSE)</f>
        <v>10</v>
      </c>
      <c r="K901" t="str">
        <f>VLOOKUP($A901,[1]Table!$A$2:$N1069,K$1,FALSE)</f>
        <v>gr/stuk</v>
      </c>
      <c r="L901">
        <f>VLOOKUP($A901,[1]Table!$A$2:$N1069,L$1,FALSE)</f>
        <v>10</v>
      </c>
      <c r="M901" t="str">
        <f>VLOOKUP($A901,[1]Table!$A$2:$N1069,M$1,FALSE)</f>
        <v>gr</v>
      </c>
      <c r="N901" t="str">
        <f>VLOOKUP($A901,[1]Table!$A$2:$N1069,N$1,FALSE)</f>
        <v>Obstipatie</v>
      </c>
      <c r="O901" t="str">
        <f>ConcatenateRange(AZ901:BU901,"||")</f>
        <v/>
      </c>
      <c r="AZ901" t="str">
        <f t="shared" si="330"/>
        <v/>
      </c>
      <c r="BA901" t="str">
        <f t="shared" si="331"/>
        <v/>
      </c>
      <c r="BB901" t="str">
        <f t="shared" si="332"/>
        <v/>
      </c>
      <c r="BC901" t="str">
        <f t="shared" si="333"/>
        <v/>
      </c>
      <c r="BD901" t="str">
        <f t="shared" si="334"/>
        <v/>
      </c>
      <c r="BE901" t="str">
        <f t="shared" si="335"/>
        <v/>
      </c>
      <c r="BF901" t="str">
        <f t="shared" si="336"/>
        <v/>
      </c>
      <c r="BG901" t="str">
        <f t="shared" si="337"/>
        <v/>
      </c>
      <c r="BH901" t="str">
        <f t="shared" si="338"/>
        <v/>
      </c>
      <c r="BI901" t="str">
        <f t="shared" si="339"/>
        <v/>
      </c>
      <c r="BJ901" t="str">
        <f t="shared" si="340"/>
        <v/>
      </c>
      <c r="BK901" t="str">
        <f t="shared" si="341"/>
        <v/>
      </c>
      <c r="BL901" t="str">
        <f t="shared" si="342"/>
        <v/>
      </c>
      <c r="BM901" t="str">
        <f t="shared" si="343"/>
        <v/>
      </c>
      <c r="BN901" t="str">
        <f t="shared" si="344"/>
        <v/>
      </c>
      <c r="BO901" t="str">
        <f t="shared" si="345"/>
        <v/>
      </c>
      <c r="BP901" t="str">
        <f t="shared" si="346"/>
        <v/>
      </c>
      <c r="BQ901" t="str">
        <f t="shared" si="347"/>
        <v/>
      </c>
      <c r="BR901" t="str">
        <f t="shared" si="348"/>
        <v/>
      </c>
      <c r="BS901" t="str">
        <f t="shared" si="349"/>
        <v/>
      </c>
      <c r="BT901" t="str">
        <f t="shared" si="350"/>
        <v/>
      </c>
      <c r="BU901" t="str">
        <f t="shared" si="351"/>
        <v/>
      </c>
    </row>
    <row r="902" spans="1:73">
      <c r="A902" s="1">
        <v>137626</v>
      </c>
      <c r="B902" s="13" t="str">
        <f>VLOOKUP($A902,[1]Table!$A$2:$N959,B$1,FALSE)</f>
        <v>A06AD65</v>
      </c>
      <c r="C902" t="str">
        <f>VLOOKUP($A902,[1]Table!$A$2:$N959,C$1,FALSE)</f>
        <v>MIDDELEN BIJ OBSTIPATIE</v>
      </c>
      <c r="D902" t="str">
        <f>VLOOKUP($A902,[1]Table!$A$2:$N959,D$1,FALSE)</f>
        <v>MIDDELEN BIJ OBSTIPATIE</v>
      </c>
      <c r="E902" t="s">
        <v>111</v>
      </c>
      <c r="F902" t="str">
        <f>VLOOKUP($A902,[1]Table!$A$2:$N959,F$1,FALSE)</f>
        <v>MOVICOLON LIQUID ORANGE CONCENTRAAT VOOR DRANK 500 ML</v>
      </c>
      <c r="G902" t="str">
        <f>VLOOKUP($A902,[1]Table!$A$2:$N959,G$1,FALSE)</f>
        <v>MACROGOL/ZOUTEN CONC. DRANK</v>
      </c>
      <c r="H902" t="str">
        <f>VLOOKUP($A902,[1]Table!$A$2:$N959,H$1,FALSE)</f>
        <v>concentraat voor drank</v>
      </c>
      <c r="I902" t="str">
        <f>VLOOKUP($A902,[1]Table!$A$2:$N959,I$1,FALSE)</f>
        <v>or</v>
      </c>
      <c r="J902">
        <f>VLOOKUP($A902,[1]Table!$A$2:$N959,J$1,FALSE)</f>
        <v>1.8640000000000001</v>
      </c>
      <c r="K902" t="str">
        <f>VLOOKUP($A902,[1]Table!$A$2:$N959,K$1,FALSE)</f>
        <v>mg/ml</v>
      </c>
      <c r="L902">
        <f>VLOOKUP($A902,[1]Table!$A$2:$N959,L$1,FALSE)</f>
        <v>1.8640000000000001</v>
      </c>
      <c r="M902" t="str">
        <f>VLOOKUP($A902,[1]Table!$A$2:$N959,M$1,FALSE)</f>
        <v>mg</v>
      </c>
      <c r="N902" t="str">
        <f>VLOOKUP($A902,[1]Table!$A$2:$N959,N$1,FALSE)</f>
        <v>Obstipatie||Faecale impactie||Colonlavage (Klean-prep)</v>
      </c>
      <c r="O902" t="str">
        <f>ConcatenateRange(AZ902:BU902,"||")</f>
        <v/>
      </c>
      <c r="AZ902" t="str">
        <f t="shared" si="330"/>
        <v/>
      </c>
      <c r="BA902" t="str">
        <f t="shared" si="331"/>
        <v/>
      </c>
      <c r="BB902" t="str">
        <f t="shared" si="332"/>
        <v/>
      </c>
      <c r="BC902" t="str">
        <f t="shared" si="333"/>
        <v/>
      </c>
      <c r="BD902" t="str">
        <f t="shared" si="334"/>
        <v/>
      </c>
      <c r="BE902" t="str">
        <f t="shared" si="335"/>
        <v/>
      </c>
      <c r="BF902" t="str">
        <f t="shared" si="336"/>
        <v/>
      </c>
      <c r="BG902" t="str">
        <f t="shared" si="337"/>
        <v/>
      </c>
      <c r="BH902" t="str">
        <f t="shared" si="338"/>
        <v/>
      </c>
      <c r="BI902" t="str">
        <f t="shared" si="339"/>
        <v/>
      </c>
      <c r="BJ902" t="str">
        <f t="shared" si="340"/>
        <v/>
      </c>
      <c r="BK902" t="str">
        <f t="shared" si="341"/>
        <v/>
      </c>
      <c r="BL902" t="str">
        <f t="shared" si="342"/>
        <v/>
      </c>
      <c r="BM902" t="str">
        <f t="shared" si="343"/>
        <v/>
      </c>
      <c r="BN902" t="str">
        <f t="shared" si="344"/>
        <v/>
      </c>
      <c r="BO902" t="str">
        <f t="shared" si="345"/>
        <v/>
      </c>
      <c r="BP902" t="str">
        <f t="shared" si="346"/>
        <v/>
      </c>
      <c r="BQ902" t="str">
        <f t="shared" si="347"/>
        <v/>
      </c>
      <c r="BR902" t="str">
        <f t="shared" si="348"/>
        <v/>
      </c>
      <c r="BS902" t="str">
        <f t="shared" si="349"/>
        <v/>
      </c>
      <c r="BT902" t="str">
        <f t="shared" si="350"/>
        <v/>
      </c>
      <c r="BU902" t="str">
        <f t="shared" si="351"/>
        <v/>
      </c>
    </row>
    <row r="903" spans="1:73">
      <c r="A903" s="1">
        <v>127248</v>
      </c>
      <c r="B903" s="20" t="str">
        <f>VLOOKUP($A903,[1]Table!$A$2:$N284,B$1,FALSE)</f>
        <v>A06AD65</v>
      </c>
      <c r="C903" t="str">
        <f>VLOOKUP($A903,[1]Table!$A$2:$N284,C$1,FALSE)</f>
        <v>MIDDELEN BIJ OBSTIPATIE</v>
      </c>
      <c r="D903" t="str">
        <f>VLOOKUP($A903,[1]Table!$A$2:$N284,D$1,FALSE)</f>
        <v>MIDDELEN BIJ OBSTIPATIE</v>
      </c>
      <c r="E903" t="str">
        <f>VLOOKUP($A903,[1]Table!$A$2:$N284,E$1,FALSE)</f>
        <v>MACROGOL/ZOUTEN</v>
      </c>
      <c r="F903" t="str">
        <f>VLOOKUP($A903,[1]Table!$A$2:$N284,F$1,FALSE)</f>
        <v>MOVIPREP POEDER VOOR DRANK ZAK A+B 4ST</v>
      </c>
      <c r="G903" t="str">
        <f>VLOOKUP($A903,[1]Table!$A$2:$N284,G$1,FALSE)</f>
        <v>MACROGOL/ZOUT PDR MOVIPREP</v>
      </c>
      <c r="H903" t="str">
        <f>VLOOKUP($A903,[1]Table!$A$2:$N284,H$1,FALSE)</f>
        <v>poeder voor drank</v>
      </c>
      <c r="I903" t="str">
        <f>VLOOKUP($A903,[1]Table!$A$2:$N284,I$1,FALSE)</f>
        <v>or</v>
      </c>
      <c r="J903">
        <f>VLOOKUP($A903,[1]Table!$A$2:$N284,J$1,FALSE)</f>
        <v>4.7</v>
      </c>
      <c r="K903" t="str">
        <f>VLOOKUP($A903,[1]Table!$A$2:$N284,K$1,FALSE)</f>
        <v>gr/stuk</v>
      </c>
      <c r="L903">
        <f>VLOOKUP($A903,[1]Table!$A$2:$N284,L$1,FALSE)</f>
        <v>4.7</v>
      </c>
      <c r="M903" t="str">
        <f>VLOOKUP($A903,[1]Table!$A$2:$N284,M$1,FALSE)</f>
        <v>gr</v>
      </c>
      <c r="N903" t="str">
        <f>VLOOKUP($A903,[1]Table!$A$2:$N284,N$1,FALSE)</f>
        <v>Obstipatie||Faecale impactie||Colonlavage (Klean-prep)</v>
      </c>
      <c r="O903" t="str">
        <f>ConcatenateRange(AZ903:BU903,"||")</f>
        <v/>
      </c>
      <c r="AZ903" t="str">
        <f t="shared" si="330"/>
        <v/>
      </c>
      <c r="BA903" t="str">
        <f t="shared" si="331"/>
        <v/>
      </c>
      <c r="BB903" t="str">
        <f t="shared" si="332"/>
        <v/>
      </c>
      <c r="BC903" t="str">
        <f t="shared" si="333"/>
        <v/>
      </c>
      <c r="BD903" t="str">
        <f t="shared" si="334"/>
        <v/>
      </c>
      <c r="BE903" t="str">
        <f t="shared" si="335"/>
        <v/>
      </c>
      <c r="BF903" t="str">
        <f t="shared" si="336"/>
        <v/>
      </c>
      <c r="BG903" t="str">
        <f t="shared" si="337"/>
        <v/>
      </c>
      <c r="BH903" t="str">
        <f t="shared" si="338"/>
        <v/>
      </c>
      <c r="BI903" t="str">
        <f t="shared" si="339"/>
        <v/>
      </c>
      <c r="BJ903" t="str">
        <f t="shared" si="340"/>
        <v/>
      </c>
      <c r="BK903" t="str">
        <f t="shared" si="341"/>
        <v/>
      </c>
      <c r="BL903" t="str">
        <f t="shared" si="342"/>
        <v/>
      </c>
      <c r="BM903" t="str">
        <f t="shared" si="343"/>
        <v/>
      </c>
      <c r="BN903" t="str">
        <f t="shared" si="344"/>
        <v/>
      </c>
      <c r="BO903" t="str">
        <f t="shared" si="345"/>
        <v/>
      </c>
      <c r="BP903" t="str">
        <f t="shared" si="346"/>
        <v/>
      </c>
      <c r="BQ903" t="str">
        <f t="shared" si="347"/>
        <v/>
      </c>
      <c r="BR903" t="str">
        <f t="shared" si="348"/>
        <v/>
      </c>
      <c r="BS903" t="str">
        <f t="shared" si="349"/>
        <v/>
      </c>
      <c r="BT903" t="str">
        <f t="shared" si="350"/>
        <v/>
      </c>
      <c r="BU903" t="str">
        <f t="shared" si="351"/>
        <v/>
      </c>
    </row>
    <row r="904" spans="1:73">
      <c r="A904" s="1">
        <v>138789</v>
      </c>
      <c r="B904" s="20" t="str">
        <f>VLOOKUP($A904,[1]Table!$A$2:$N960,B$1,FALSE)</f>
        <v>A06AD65</v>
      </c>
      <c r="C904" t="str">
        <f>VLOOKUP($A904,[1]Table!$A$2:$N960,C$1,FALSE)</f>
        <v>MIDDELEN BIJ OBSTIPATIE</v>
      </c>
      <c r="D904" t="str">
        <f>VLOOKUP($A904,[1]Table!$A$2:$N960,D$1,FALSE)</f>
        <v>MIDDELEN BIJ OBSTIPATIE</v>
      </c>
      <c r="E904" t="str">
        <f>VLOOKUP($A904,[1]Table!$A$2:$N960,E$1,FALSE)</f>
        <v>MACROGOL/ZOUTEN</v>
      </c>
      <c r="F904" t="str">
        <f>VLOOKUP($A904,[1]Table!$A$2:$N960,F$1,FALSE)</f>
        <v>MOVICOLON JUNIOR CHOCOLATE PDR V DRANK</v>
      </c>
      <c r="G904" t="str">
        <f>VLOOKUP($A904,[1]Table!$A$2:$N960,G$1,FALSE)</f>
        <v>MACROGOL/ZOUTEN MOVIC JR CH</v>
      </c>
      <c r="H904" t="str">
        <f>VLOOKUP($A904,[1]Table!$A$2:$N960,H$1,FALSE)</f>
        <v>poeder voor drank</v>
      </c>
      <c r="I904" t="str">
        <f>VLOOKUP($A904,[1]Table!$A$2:$N960,I$1,FALSE)</f>
        <v>or</v>
      </c>
      <c r="J904">
        <f>VLOOKUP($A904,[1]Table!$A$2:$N960,J$1,FALSE)</f>
        <v>15.9</v>
      </c>
      <c r="K904" t="str">
        <f>VLOOKUP($A904,[1]Table!$A$2:$N960,K$1,FALSE)</f>
        <v>mg/stuk</v>
      </c>
      <c r="L904">
        <f>VLOOKUP($A904,[1]Table!$A$2:$N960,L$1,FALSE)</f>
        <v>15.9</v>
      </c>
      <c r="M904" t="str">
        <f>VLOOKUP($A904,[1]Table!$A$2:$N960,M$1,FALSE)</f>
        <v>mg</v>
      </c>
      <c r="N904" t="str">
        <f>VLOOKUP($A904,[1]Table!$A$2:$N960,N$1,FALSE)</f>
        <v>Obstipatie||Faecale impactie||Colonlavage (Klean-prep)</v>
      </c>
      <c r="O904" t="str">
        <f>ConcatenateRange(AZ904:BU904,"||")</f>
        <v/>
      </c>
      <c r="AZ904" t="str">
        <f t="shared" si="330"/>
        <v/>
      </c>
      <c r="BA904" t="str">
        <f t="shared" si="331"/>
        <v/>
      </c>
      <c r="BB904" t="str">
        <f t="shared" si="332"/>
        <v/>
      </c>
      <c r="BC904" t="str">
        <f t="shared" si="333"/>
        <v/>
      </c>
      <c r="BD904" t="str">
        <f t="shared" si="334"/>
        <v/>
      </c>
      <c r="BE904" t="str">
        <f t="shared" si="335"/>
        <v/>
      </c>
      <c r="BF904" t="str">
        <f t="shared" si="336"/>
        <v/>
      </c>
      <c r="BG904" t="str">
        <f t="shared" si="337"/>
        <v/>
      </c>
      <c r="BH904" t="str">
        <f t="shared" si="338"/>
        <v/>
      </c>
      <c r="BI904" t="str">
        <f t="shared" si="339"/>
        <v/>
      </c>
      <c r="BJ904" t="str">
        <f t="shared" si="340"/>
        <v/>
      </c>
      <c r="BK904" t="str">
        <f t="shared" si="341"/>
        <v/>
      </c>
      <c r="BL904" t="str">
        <f t="shared" si="342"/>
        <v/>
      </c>
      <c r="BM904" t="str">
        <f t="shared" si="343"/>
        <v/>
      </c>
      <c r="BN904" t="str">
        <f t="shared" si="344"/>
        <v/>
      </c>
      <c r="BO904" t="str">
        <f t="shared" si="345"/>
        <v/>
      </c>
      <c r="BP904" t="str">
        <f t="shared" si="346"/>
        <v/>
      </c>
      <c r="BQ904" t="str">
        <f t="shared" si="347"/>
        <v/>
      </c>
      <c r="BR904" t="str">
        <f t="shared" si="348"/>
        <v/>
      </c>
      <c r="BS904" t="str">
        <f t="shared" si="349"/>
        <v/>
      </c>
      <c r="BT904" t="str">
        <f t="shared" si="350"/>
        <v/>
      </c>
      <c r="BU904" t="str">
        <f t="shared" si="351"/>
        <v/>
      </c>
    </row>
    <row r="905" spans="1:73">
      <c r="A905" s="1">
        <v>125520</v>
      </c>
      <c r="B905" t="str">
        <f>VLOOKUP($A905,[1]Table!$A$2:$N961,B$1,FALSE)</f>
        <v>A06AD65</v>
      </c>
      <c r="C905" t="str">
        <f>VLOOKUP($A905,[1]Table!$A$2:$N961,C$1,FALSE)</f>
        <v>MIDDELEN BIJ OBSTIPATIE</v>
      </c>
      <c r="D905" t="str">
        <f>VLOOKUP($A905,[1]Table!$A$2:$N961,D$1,FALSE)</f>
        <v>MIDDELEN BIJ OBSTIPATIE</v>
      </c>
      <c r="E905" t="str">
        <f>VLOOKUP($A905,[1]Table!$A$2:$N961,E$1,FALSE)</f>
        <v>MACROGOL/ZOUTEN</v>
      </c>
      <c r="F905" t="str">
        <f>VLOOKUP($A905,[1]Table!$A$2:$N961,F$1,FALSE)</f>
        <v>MOVICOLON JUNIOR NATUREL POEDER V DRANK 6,9 GRAM</v>
      </c>
      <c r="G905" t="str">
        <f>VLOOKUP($A905,[1]Table!$A$2:$N961,G$1,FALSE)</f>
        <v>MACROG/ZOU PDR MOVICOLON JR</v>
      </c>
      <c r="H905" t="str">
        <f>VLOOKUP($A905,[1]Table!$A$2:$N961,H$1,FALSE)</f>
        <v>poeder voor drank</v>
      </c>
      <c r="I905" t="str">
        <f>VLOOKUP($A905,[1]Table!$A$2:$N961,I$1,FALSE)</f>
        <v>or</v>
      </c>
      <c r="J905">
        <f>VLOOKUP($A905,[1]Table!$A$2:$N961,J$1,FALSE)</f>
        <v>25.1</v>
      </c>
      <c r="K905" t="str">
        <f>VLOOKUP($A905,[1]Table!$A$2:$N961,K$1,FALSE)</f>
        <v>mg/stuk</v>
      </c>
      <c r="L905">
        <f>VLOOKUP($A905,[1]Table!$A$2:$N961,L$1,FALSE)</f>
        <v>25.1</v>
      </c>
      <c r="M905" t="str">
        <f>VLOOKUP($A905,[1]Table!$A$2:$N961,M$1,FALSE)</f>
        <v>mg</v>
      </c>
      <c r="N905" t="str">
        <f>VLOOKUP($A905,[1]Table!$A$2:$N961,N$1,FALSE)</f>
        <v>Obstipatie||Faecale impactie||Colonlavage (Klean-prep)</v>
      </c>
      <c r="O905" t="str">
        <f>ConcatenateRange(AZ905:BU905,"||")</f>
        <v/>
      </c>
      <c r="AZ905" t="str">
        <f t="shared" si="330"/>
        <v/>
      </c>
      <c r="BA905" t="str">
        <f t="shared" si="331"/>
        <v/>
      </c>
      <c r="BB905" t="str">
        <f t="shared" si="332"/>
        <v/>
      </c>
      <c r="BC905" t="str">
        <f t="shared" si="333"/>
        <v/>
      </c>
      <c r="BD905" t="str">
        <f t="shared" si="334"/>
        <v/>
      </c>
      <c r="BE905" t="str">
        <f t="shared" si="335"/>
        <v/>
      </c>
      <c r="BF905" t="str">
        <f t="shared" si="336"/>
        <v/>
      </c>
      <c r="BG905" t="str">
        <f t="shared" si="337"/>
        <v/>
      </c>
      <c r="BH905" t="str">
        <f t="shared" si="338"/>
        <v/>
      </c>
      <c r="BI905" t="str">
        <f t="shared" si="339"/>
        <v/>
      </c>
      <c r="BJ905" t="str">
        <f t="shared" si="340"/>
        <v/>
      </c>
      <c r="BK905" t="str">
        <f t="shared" si="341"/>
        <v/>
      </c>
      <c r="BL905" t="str">
        <f t="shared" si="342"/>
        <v/>
      </c>
      <c r="BM905" t="str">
        <f t="shared" si="343"/>
        <v/>
      </c>
      <c r="BN905" t="str">
        <f t="shared" si="344"/>
        <v/>
      </c>
      <c r="BO905" t="str">
        <f t="shared" si="345"/>
        <v/>
      </c>
      <c r="BP905" t="str">
        <f t="shared" si="346"/>
        <v/>
      </c>
      <c r="BQ905" t="str">
        <f t="shared" si="347"/>
        <v/>
      </c>
      <c r="BR905" t="str">
        <f t="shared" si="348"/>
        <v/>
      </c>
      <c r="BS905" t="str">
        <f t="shared" si="349"/>
        <v/>
      </c>
      <c r="BT905" t="str">
        <f t="shared" si="350"/>
        <v/>
      </c>
      <c r="BU905" t="str">
        <f t="shared" si="351"/>
        <v/>
      </c>
    </row>
    <row r="906" spans="1:73">
      <c r="A906" s="1">
        <v>105015</v>
      </c>
      <c r="B906" t="str">
        <f>VLOOKUP($A906,[1]Table!$A$2:$N964,B$1,FALSE)</f>
        <v>A06AD65</v>
      </c>
      <c r="C906" t="str">
        <f>VLOOKUP($A906,[1]Table!$A$2:$N964,C$1,FALSE)</f>
        <v>MIDDELEN BIJ OBSTIPATIE</v>
      </c>
      <c r="D906" t="str">
        <f>VLOOKUP($A906,[1]Table!$A$2:$N964,D$1,FALSE)</f>
        <v>MIDDELEN BIJ OBSTIPATIE</v>
      </c>
      <c r="E906" t="str">
        <f>VLOOKUP($A906,[1]Table!$A$2:$N964,E$1,FALSE)</f>
        <v>MACROGOL/ZOUTEN</v>
      </c>
      <c r="F906" t="str">
        <f>VLOOKUP($A906,[1]Table!$A$2:$N964,F$1,FALSE)</f>
        <v>TRANSIPEG POEDER VOOR DRANK</v>
      </c>
      <c r="G906" t="str">
        <f>VLOOKUP($A906,[1]Table!$A$2:$N964,G$1,FALSE)</f>
        <v>MACROGOL/ZOUT PDR TRANSIPEG</v>
      </c>
      <c r="H906" t="str">
        <f>VLOOKUP($A906,[1]Table!$A$2:$N964,H$1,FALSE)</f>
        <v>poeder voor drank</v>
      </c>
      <c r="I906" t="str">
        <f>VLOOKUP($A906,[1]Table!$A$2:$N964,I$1,FALSE)</f>
        <v>or</v>
      </c>
      <c r="J906">
        <f>VLOOKUP($A906,[1]Table!$A$2:$N964,J$1,FALSE)</f>
        <v>37.5</v>
      </c>
      <c r="K906" t="str">
        <f>VLOOKUP($A906,[1]Table!$A$2:$N964,K$1,FALSE)</f>
        <v>mg/stuk</v>
      </c>
      <c r="L906">
        <f>VLOOKUP($A906,[1]Table!$A$2:$N964,L$1,FALSE)</f>
        <v>37.5</v>
      </c>
      <c r="M906" t="str">
        <f>VLOOKUP($A906,[1]Table!$A$2:$N964,M$1,FALSE)</f>
        <v>mg</v>
      </c>
      <c r="N906" t="str">
        <f>VLOOKUP($A906,[1]Table!$A$2:$N964,N$1,FALSE)</f>
        <v>Obstipatie||Faecale impactie||Colonlavage (Klean-prep)</v>
      </c>
      <c r="O906" t="str">
        <f>ConcatenateRange(AZ906:BU906,"||")</f>
        <v/>
      </c>
      <c r="AZ906" t="str">
        <f t="shared" si="330"/>
        <v/>
      </c>
      <c r="BA906" t="str">
        <f t="shared" si="331"/>
        <v/>
      </c>
      <c r="BB906" t="str">
        <f t="shared" si="332"/>
        <v/>
      </c>
      <c r="BC906" t="str">
        <f t="shared" si="333"/>
        <v/>
      </c>
      <c r="BD906" t="str">
        <f t="shared" si="334"/>
        <v/>
      </c>
      <c r="BE906" t="str">
        <f t="shared" si="335"/>
        <v/>
      </c>
      <c r="BF906" t="str">
        <f t="shared" si="336"/>
        <v/>
      </c>
      <c r="BG906" t="str">
        <f t="shared" si="337"/>
        <v/>
      </c>
      <c r="BH906" t="str">
        <f t="shared" si="338"/>
        <v/>
      </c>
      <c r="BI906" t="str">
        <f t="shared" si="339"/>
        <v/>
      </c>
      <c r="BJ906" t="str">
        <f t="shared" si="340"/>
        <v/>
      </c>
      <c r="BK906" t="str">
        <f t="shared" si="341"/>
        <v/>
      </c>
      <c r="BL906" t="str">
        <f t="shared" si="342"/>
        <v/>
      </c>
      <c r="BM906" t="str">
        <f t="shared" si="343"/>
        <v/>
      </c>
      <c r="BN906" t="str">
        <f t="shared" si="344"/>
        <v/>
      </c>
      <c r="BO906" t="str">
        <f t="shared" si="345"/>
        <v/>
      </c>
      <c r="BP906" t="str">
        <f t="shared" si="346"/>
        <v/>
      </c>
      <c r="BQ906" t="str">
        <f t="shared" si="347"/>
        <v/>
      </c>
      <c r="BR906" t="str">
        <f t="shared" si="348"/>
        <v/>
      </c>
      <c r="BS906" t="str">
        <f t="shared" si="349"/>
        <v/>
      </c>
      <c r="BT906" t="str">
        <f t="shared" si="350"/>
        <v/>
      </c>
      <c r="BU906" t="str">
        <f t="shared" si="351"/>
        <v/>
      </c>
    </row>
    <row r="907" spans="1:73">
      <c r="A907" s="1">
        <v>128783</v>
      </c>
      <c r="B907" t="str">
        <f>VLOOKUP($A907,[1]Table!$A$2:$N962,B$1,FALSE)</f>
        <v>A06AD65</v>
      </c>
      <c r="C907" t="str">
        <f>VLOOKUP($A907,[1]Table!$A$2:$N962,C$1,FALSE)</f>
        <v>MIDDELEN BIJ OBSTIPATIE</v>
      </c>
      <c r="D907" t="str">
        <f>VLOOKUP($A907,[1]Table!$A$2:$N962,D$1,FALSE)</f>
        <v>MIDDELEN BIJ OBSTIPATIE</v>
      </c>
      <c r="E907" t="str">
        <f>VLOOKUP($A907,[1]Table!$A$2:$N962,E$1,FALSE)</f>
        <v>MACROGOL/ZOUTEN</v>
      </c>
      <c r="F907" t="str">
        <f>VLOOKUP($A907,[1]Table!$A$2:$N962,F$1,FALSE)</f>
        <v>MOVICOLON NATUREL POEDER VOOR DRANK 13,7 GRAM</v>
      </c>
      <c r="G907" t="str">
        <f>VLOOKUP($A907,[1]Table!$A$2:$N962,G$1,FALSE)</f>
        <v>MACROG/ZOU PDR MOVICO/GENER</v>
      </c>
      <c r="H907" t="str">
        <f>VLOOKUP($A907,[1]Table!$A$2:$N962,H$1,FALSE)</f>
        <v>poeder voor drank</v>
      </c>
      <c r="I907" t="str">
        <f>VLOOKUP($A907,[1]Table!$A$2:$N962,I$1,FALSE)</f>
        <v>or</v>
      </c>
      <c r="J907">
        <f>VLOOKUP($A907,[1]Table!$A$2:$N962,J$1,FALSE)</f>
        <v>50.2</v>
      </c>
      <c r="K907" t="str">
        <f>VLOOKUP($A907,[1]Table!$A$2:$N962,K$1,FALSE)</f>
        <v>mg/stuk</v>
      </c>
      <c r="L907">
        <f>VLOOKUP($A907,[1]Table!$A$2:$N962,L$1,FALSE)</f>
        <v>50.2</v>
      </c>
      <c r="M907" t="str">
        <f>VLOOKUP($A907,[1]Table!$A$2:$N962,M$1,FALSE)</f>
        <v>mg</v>
      </c>
      <c r="N907" t="str">
        <f>VLOOKUP($A907,[1]Table!$A$2:$N962,N$1,FALSE)</f>
        <v>Obstipatie||Faecale impactie||Colonlavage (Klean-prep)</v>
      </c>
      <c r="O907" t="str">
        <f>ConcatenateRange(AZ907:BU907,"||")</f>
        <v/>
      </c>
      <c r="AZ907" t="str">
        <f t="shared" si="330"/>
        <v/>
      </c>
      <c r="BA907" t="str">
        <f t="shared" si="331"/>
        <v/>
      </c>
      <c r="BB907" t="str">
        <f t="shared" si="332"/>
        <v/>
      </c>
      <c r="BC907" t="str">
        <f t="shared" si="333"/>
        <v/>
      </c>
      <c r="BD907" t="str">
        <f t="shared" si="334"/>
        <v/>
      </c>
      <c r="BE907" t="str">
        <f t="shared" si="335"/>
        <v/>
      </c>
      <c r="BF907" t="str">
        <f t="shared" si="336"/>
        <v/>
      </c>
      <c r="BG907" t="str">
        <f t="shared" si="337"/>
        <v/>
      </c>
      <c r="BH907" t="str">
        <f t="shared" si="338"/>
        <v/>
      </c>
      <c r="BI907" t="str">
        <f t="shared" si="339"/>
        <v/>
      </c>
      <c r="BJ907" t="str">
        <f t="shared" si="340"/>
        <v/>
      </c>
      <c r="BK907" t="str">
        <f t="shared" si="341"/>
        <v/>
      </c>
      <c r="BL907" t="str">
        <f t="shared" si="342"/>
        <v/>
      </c>
      <c r="BM907" t="str">
        <f t="shared" si="343"/>
        <v/>
      </c>
      <c r="BN907" t="str">
        <f t="shared" si="344"/>
        <v/>
      </c>
      <c r="BO907" t="str">
        <f t="shared" si="345"/>
        <v/>
      </c>
      <c r="BP907" t="str">
        <f t="shared" si="346"/>
        <v/>
      </c>
      <c r="BQ907" t="str">
        <f t="shared" si="347"/>
        <v/>
      </c>
      <c r="BR907" t="str">
        <f t="shared" si="348"/>
        <v/>
      </c>
      <c r="BS907" t="str">
        <f t="shared" si="349"/>
        <v/>
      </c>
      <c r="BT907" t="str">
        <f t="shared" si="350"/>
        <v/>
      </c>
      <c r="BU907" t="str">
        <f t="shared" si="351"/>
        <v/>
      </c>
    </row>
    <row r="908" spans="1:73">
      <c r="A908" s="1">
        <v>114820</v>
      </c>
      <c r="B908" s="20" t="str">
        <f>VLOOKUP($A908,[1]Table!$A$2:$N963,B$1,FALSE)</f>
        <v>A06AD65</v>
      </c>
      <c r="C908" t="str">
        <f>VLOOKUP($A908,[1]Table!$A$2:$N963,C$1,FALSE)</f>
        <v>MIDDELEN BIJ OBSTIPATIE</v>
      </c>
      <c r="D908" t="str">
        <f>VLOOKUP($A908,[1]Table!$A$2:$N963,D$1,FALSE)</f>
        <v>MIDDELEN BIJ OBSTIPATIE</v>
      </c>
      <c r="E908" t="str">
        <f>VLOOKUP($A908,[1]Table!$A$2:$N963,E$1,FALSE)</f>
        <v>MACROGOL/ZOUTEN</v>
      </c>
      <c r="F908" t="str">
        <f>VLOOKUP($A908,[1]Table!$A$2:$N963,F$1,FALSE)</f>
        <v>COLOFORT POEDER V DRANK</v>
      </c>
      <c r="G908" t="str">
        <f>VLOOKUP($A908,[1]Table!$A$2:$N963,G$1,FALSE)</f>
        <v>MACROGOL/ZOUT PDR COLOFORT</v>
      </c>
      <c r="H908" t="str">
        <f>VLOOKUP($A908,[1]Table!$A$2:$N963,H$1,FALSE)</f>
        <v>poeder voor drank</v>
      </c>
      <c r="I908" t="str">
        <f>VLOOKUP($A908,[1]Table!$A$2:$N963,I$1,FALSE)</f>
        <v>or</v>
      </c>
      <c r="J908">
        <f>VLOOKUP($A908,[1]Table!$A$2:$N963,J$1,FALSE)</f>
        <v>750</v>
      </c>
      <c r="K908" t="str">
        <f>VLOOKUP($A908,[1]Table!$A$2:$N963,K$1,FALSE)</f>
        <v>mg/stuk</v>
      </c>
      <c r="L908">
        <f>VLOOKUP($A908,[1]Table!$A$2:$N963,L$1,FALSE)</f>
        <v>750</v>
      </c>
      <c r="M908" t="str">
        <f>VLOOKUP($A908,[1]Table!$A$2:$N963,M$1,FALSE)</f>
        <v>mg</v>
      </c>
      <c r="N908" t="str">
        <f>VLOOKUP($A908,[1]Table!$A$2:$N963,N$1,FALSE)</f>
        <v>Obstipatie||Faecale impactie||Colonlavage (Klean-prep)</v>
      </c>
      <c r="O908" t="str">
        <f>ConcatenateRange(AZ908:BU908,"||")</f>
        <v/>
      </c>
      <c r="AZ908" t="str">
        <f t="shared" si="330"/>
        <v/>
      </c>
      <c r="BA908" t="str">
        <f t="shared" si="331"/>
        <v/>
      </c>
      <c r="BB908" t="str">
        <f t="shared" si="332"/>
        <v/>
      </c>
      <c r="BC908" t="str">
        <f t="shared" si="333"/>
        <v/>
      </c>
      <c r="BD908" t="str">
        <f t="shared" si="334"/>
        <v/>
      </c>
      <c r="BE908" t="str">
        <f t="shared" si="335"/>
        <v/>
      </c>
      <c r="BF908" t="str">
        <f t="shared" si="336"/>
        <v/>
      </c>
      <c r="BG908" t="str">
        <f t="shared" si="337"/>
        <v/>
      </c>
      <c r="BH908" t="str">
        <f t="shared" si="338"/>
        <v/>
      </c>
      <c r="BI908" t="str">
        <f t="shared" si="339"/>
        <v/>
      </c>
      <c r="BJ908" t="str">
        <f t="shared" si="340"/>
        <v/>
      </c>
      <c r="BK908" t="str">
        <f t="shared" si="341"/>
        <v/>
      </c>
      <c r="BL908" t="str">
        <f t="shared" si="342"/>
        <v/>
      </c>
      <c r="BM908" t="str">
        <f t="shared" si="343"/>
        <v/>
      </c>
      <c r="BN908" t="str">
        <f t="shared" si="344"/>
        <v/>
      </c>
      <c r="BO908" t="str">
        <f t="shared" si="345"/>
        <v/>
      </c>
      <c r="BP908" t="str">
        <f t="shared" si="346"/>
        <v/>
      </c>
      <c r="BQ908" t="str">
        <f t="shared" si="347"/>
        <v/>
      </c>
      <c r="BR908" t="str">
        <f t="shared" si="348"/>
        <v/>
      </c>
      <c r="BS908" t="str">
        <f t="shared" si="349"/>
        <v/>
      </c>
      <c r="BT908" t="str">
        <f t="shared" si="350"/>
        <v/>
      </c>
      <c r="BU908" t="str">
        <f t="shared" si="351"/>
        <v/>
      </c>
    </row>
    <row r="909" spans="1:73">
      <c r="A909" s="1">
        <v>156590</v>
      </c>
      <c r="B909" s="20" t="str">
        <f>VLOOKUP($A909,[1]Table!$A$2:$N1070,B$1,FALSE)</f>
        <v>A12CC04</v>
      </c>
      <c r="C909" t="str">
        <f>VLOOKUP($A909,[1]Table!$A$2:$N1070,C$1,FALSE)</f>
        <v>MINERAALSUPPLEMENTEN</v>
      </c>
      <c r="D909" t="str">
        <f>VLOOKUP($A909,[1]Table!$A$2:$N1070,D$1,FALSE)</f>
        <v>OVERIGE MINERAALSUPPLEMENTEN</v>
      </c>
      <c r="E909" t="str">
        <f>VLOOKUP($A909,[1]Table!$A$2:$N1070,E$1,FALSE)</f>
        <v>MAGNESIUMCITRAAT</v>
      </c>
      <c r="F909" t="str">
        <f>VLOOKUP($A909,[1]Table!$A$2:$N1070,F$1,FALSE)</f>
        <v>MAGNESIUMCITRAAT 376 MG (=2,5MMOL MAGNESIUM) CAPSULE</v>
      </c>
      <c r="G909" t="str">
        <f>VLOOKUP($A909,[1]Table!$A$2:$N1070,G$1,FALSE)</f>
        <v>MAGNESIUMCITRAAT 376MG CAPS</v>
      </c>
      <c r="H909" t="str">
        <f>VLOOKUP($A909,[1]Table!$A$2:$N1070,H$1,FALSE)</f>
        <v>capsule</v>
      </c>
      <c r="I909" t="str">
        <f>VLOOKUP($A909,[1]Table!$A$2:$N1070,I$1,FALSE)</f>
        <v>or</v>
      </c>
      <c r="J909">
        <f>VLOOKUP($A909,[1]Table!$A$2:$N1070,J$1,FALSE)</f>
        <v>376</v>
      </c>
      <c r="K909" t="str">
        <f>VLOOKUP($A909,[1]Table!$A$2:$N1070,K$1,FALSE)</f>
        <v>mg/stuk</v>
      </c>
      <c r="L909">
        <v>2.5</v>
      </c>
      <c r="M909" t="s">
        <v>72</v>
      </c>
      <c r="N909" t="str">
        <f>VLOOKUP($A909,[1]Table!$A$2:$N1070,N$1,FALSE)</f>
        <v>Hypomagnesiëmie</v>
      </c>
      <c r="O909" t="str">
        <f>ConcatenateRange(AZ909:BU909,"||")</f>
        <v/>
      </c>
      <c r="AZ909" t="str">
        <f t="shared" si="330"/>
        <v/>
      </c>
      <c r="BA909" t="str">
        <f t="shared" si="331"/>
        <v/>
      </c>
      <c r="BB909" t="str">
        <f t="shared" si="332"/>
        <v/>
      </c>
      <c r="BC909" t="str">
        <f t="shared" si="333"/>
        <v/>
      </c>
      <c r="BD909" t="str">
        <f t="shared" si="334"/>
        <v/>
      </c>
      <c r="BE909" t="str">
        <f t="shared" si="335"/>
        <v/>
      </c>
      <c r="BF909" t="str">
        <f t="shared" si="336"/>
        <v/>
      </c>
      <c r="BG909" t="str">
        <f t="shared" si="337"/>
        <v/>
      </c>
      <c r="BH909" t="str">
        <f t="shared" si="338"/>
        <v/>
      </c>
      <c r="BI909" t="str">
        <f t="shared" si="339"/>
        <v/>
      </c>
      <c r="BJ909" t="str">
        <f t="shared" si="340"/>
        <v/>
      </c>
      <c r="BK909" t="str">
        <f t="shared" si="341"/>
        <v/>
      </c>
      <c r="BL909" t="str">
        <f t="shared" si="342"/>
        <v/>
      </c>
      <c r="BM909" t="str">
        <f t="shared" si="343"/>
        <v/>
      </c>
      <c r="BN909" t="str">
        <f t="shared" si="344"/>
        <v/>
      </c>
      <c r="BO909" t="str">
        <f t="shared" si="345"/>
        <v/>
      </c>
      <c r="BP909" t="str">
        <f t="shared" si="346"/>
        <v/>
      </c>
      <c r="BQ909" t="str">
        <f t="shared" si="347"/>
        <v/>
      </c>
      <c r="BR909" t="str">
        <f t="shared" si="348"/>
        <v/>
      </c>
      <c r="BS909" t="str">
        <f t="shared" si="349"/>
        <v/>
      </c>
      <c r="BT909" t="str">
        <f t="shared" si="350"/>
        <v/>
      </c>
      <c r="BU909" t="str">
        <f t="shared" si="351"/>
        <v/>
      </c>
    </row>
    <row r="910" spans="1:73">
      <c r="A910" s="22">
        <v>138703</v>
      </c>
      <c r="B910" s="23" t="s">
        <v>75</v>
      </c>
      <c r="C910" t="str">
        <f>VLOOKUP($A910,[1]Table!$A$2:$N1700,C$1,FALSE)</f>
        <v>MINERAALSUPPLEMENTEN</v>
      </c>
      <c r="D910" t="str">
        <f>VLOOKUP($A910,[1]Table!$A$2:$N1700,D$1,FALSE)</f>
        <v>OVERIGE MINERAALSUPPLEMENTEN</v>
      </c>
      <c r="E910" t="str">
        <f>VLOOKUP($A910,[1]Table!$A$2:$N1700,E$1,FALSE)</f>
        <v>MAGNESIUMGLUCONAAT</v>
      </c>
      <c r="F910" t="str">
        <f>VLOOKUP($A910,[1]Table!$A$2:$N1700,F$1,FALSE)</f>
        <v>MAGNESIUMGLUCONAAT 41,5 MG/ML (= 0,1 mmol Mg/ml = 2,43 mg Mg/ml) DRANK 500 ML</v>
      </c>
      <c r="G910" t="str">
        <f>VLOOKUP($A910,[1]Table!$A$2:$N1700,G$1,FALSE)</f>
        <v>MAGNESIUMGLU 41,5MG/ML DRAN</v>
      </c>
      <c r="H910" t="str">
        <f>VLOOKUP($A910,[1]Table!$A$2:$N1700,H$1,FALSE)</f>
        <v>drank</v>
      </c>
      <c r="I910" t="str">
        <f>VLOOKUP($A910,[1]Table!$A$2:$N1700,I$1,FALSE)</f>
        <v>or</v>
      </c>
      <c r="J910">
        <f>VLOOKUP($A910,[1]Table!$A$2:$N1700,J$1,FALSE)</f>
        <v>41.5</v>
      </c>
      <c r="K910" t="str">
        <f>VLOOKUP($A910,[1]Table!$A$2:$N1700,K$1,FALSE)</f>
        <v>mg/ml</v>
      </c>
      <c r="L910">
        <f>VLOOKUP($A910,[1]Table!$A$2:$N1700,L$1,FALSE)</f>
        <v>1</v>
      </c>
      <c r="M910" t="str">
        <f>VLOOKUP($A910,[1]Table!$A$2:$N1700,M$1,FALSE)</f>
        <v>ml</v>
      </c>
      <c r="N910" t="str">
        <f>VLOOKUP($A910,[1]Table!$A$2:$N1700,N$1,FALSE)</f>
        <v>Hypomagnesiëmie</v>
      </c>
      <c r="AZ910" t="str">
        <f t="shared" si="330"/>
        <v/>
      </c>
      <c r="BA910" t="str">
        <f t="shared" si="331"/>
        <v/>
      </c>
      <c r="BB910" t="str">
        <f t="shared" si="332"/>
        <v/>
      </c>
      <c r="BC910" t="str">
        <f t="shared" si="333"/>
        <v/>
      </c>
      <c r="BD910" t="str">
        <f t="shared" si="334"/>
        <v/>
      </c>
      <c r="BE910" t="str">
        <f t="shared" si="335"/>
        <v/>
      </c>
      <c r="BF910" t="str">
        <f t="shared" si="336"/>
        <v/>
      </c>
      <c r="BG910" t="str">
        <f t="shared" si="337"/>
        <v/>
      </c>
      <c r="BH910" t="str">
        <f t="shared" si="338"/>
        <v/>
      </c>
      <c r="BI910" t="str">
        <f t="shared" si="339"/>
        <v/>
      </c>
      <c r="BJ910" t="str">
        <f t="shared" si="340"/>
        <v/>
      </c>
      <c r="BK910" t="str">
        <f t="shared" si="341"/>
        <v/>
      </c>
      <c r="BL910" t="str">
        <f t="shared" si="342"/>
        <v/>
      </c>
      <c r="BM910" t="str">
        <f t="shared" si="343"/>
        <v/>
      </c>
      <c r="BN910" t="str">
        <f t="shared" si="344"/>
        <v/>
      </c>
      <c r="BO910" t="str">
        <f t="shared" si="345"/>
        <v/>
      </c>
      <c r="BP910" t="str">
        <f t="shared" si="346"/>
        <v/>
      </c>
      <c r="BQ910" t="str">
        <f t="shared" si="347"/>
        <v/>
      </c>
      <c r="BR910" t="str">
        <f t="shared" si="348"/>
        <v/>
      </c>
      <c r="BS910" t="str">
        <f t="shared" si="349"/>
        <v/>
      </c>
      <c r="BT910" t="str">
        <f t="shared" si="350"/>
        <v/>
      </c>
      <c r="BU910" t="str">
        <f t="shared" si="351"/>
        <v/>
      </c>
    </row>
    <row r="911" spans="1:73">
      <c r="A911" s="22">
        <v>150460</v>
      </c>
      <c r="B911" s="23" t="s">
        <v>75</v>
      </c>
      <c r="C911" t="str">
        <f>VLOOKUP($A911,[1]Table!$A$2:$N1699,C$1,FALSE)</f>
        <v>MINERAALSUPPLEMENTEN</v>
      </c>
      <c r="D911" t="str">
        <f>VLOOKUP($A911,[1]Table!$A$2:$N1699,D$1,FALSE)</f>
        <v>OVERIGE MINERAALSUPPLEMENTEN</v>
      </c>
      <c r="E911" t="str">
        <f>VLOOKUP($A911,[1]Table!$A$2:$N1699,E$1,FALSE)</f>
        <v>MAGNESIUMGLUCONAAT</v>
      </c>
      <c r="F911" t="str">
        <f>VLOOKUP($A911,[1]Table!$A$2:$N1699,F$1,FALSE)</f>
        <v>MAGNESIUM GLUCONAAT 500 MG TABLET</v>
      </c>
      <c r="G911" t="str">
        <f>VLOOKUP($A911,[1]Table!$A$2:$N1699,G$1,FALSE)</f>
        <v>MAGNESIUMGLUCONAAT 500MG TA</v>
      </c>
      <c r="H911" t="str">
        <f>VLOOKUP($A911,[1]Table!$A$2:$N1699,H$1,FALSE)</f>
        <v>tablet</v>
      </c>
      <c r="I911" t="str">
        <f>VLOOKUP($A911,[1]Table!$A$2:$N1699,I$1,FALSE)</f>
        <v>or</v>
      </c>
      <c r="J911">
        <f>VLOOKUP($A911,[1]Table!$A$2:$N1699,J$1,FALSE)</f>
        <v>500</v>
      </c>
      <c r="K911" t="str">
        <f>VLOOKUP($A911,[1]Table!$A$2:$N1699,K$1,FALSE)</f>
        <v>mg/stuk</v>
      </c>
      <c r="L911">
        <f>VLOOKUP($A911,[1]Table!$A$2:$N1699,L$1,FALSE)</f>
        <v>500</v>
      </c>
      <c r="M911" t="str">
        <f>VLOOKUP($A911,[1]Table!$A$2:$N1699,M$1,FALSE)</f>
        <v>mg</v>
      </c>
      <c r="N911" t="str">
        <f>VLOOKUP($A911,[1]Table!$A$2:$N1699,N$1,FALSE)</f>
        <v>Hypomagnesiëmie</v>
      </c>
      <c r="AZ911" t="str">
        <f t="shared" si="330"/>
        <v/>
      </c>
      <c r="BA911" t="str">
        <f t="shared" si="331"/>
        <v/>
      </c>
      <c r="BB911" t="str">
        <f t="shared" si="332"/>
        <v/>
      </c>
      <c r="BC911" t="str">
        <f t="shared" si="333"/>
        <v/>
      </c>
      <c r="BD911" t="str">
        <f t="shared" si="334"/>
        <v/>
      </c>
      <c r="BE911" t="str">
        <f t="shared" si="335"/>
        <v/>
      </c>
      <c r="BF911" t="str">
        <f t="shared" si="336"/>
        <v/>
      </c>
      <c r="BG911" t="str">
        <f t="shared" si="337"/>
        <v/>
      </c>
      <c r="BH911" t="str">
        <f t="shared" si="338"/>
        <v/>
      </c>
      <c r="BI911" t="str">
        <f t="shared" si="339"/>
        <v/>
      </c>
      <c r="BJ911" t="str">
        <f t="shared" si="340"/>
        <v/>
      </c>
      <c r="BK911" t="str">
        <f t="shared" si="341"/>
        <v/>
      </c>
      <c r="BL911" t="str">
        <f t="shared" si="342"/>
        <v/>
      </c>
      <c r="BM911" t="str">
        <f t="shared" si="343"/>
        <v/>
      </c>
      <c r="BN911" t="str">
        <f t="shared" si="344"/>
        <v/>
      </c>
      <c r="BO911" t="str">
        <f t="shared" si="345"/>
        <v/>
      </c>
      <c r="BP911" t="str">
        <f t="shared" si="346"/>
        <v/>
      </c>
      <c r="BQ911" t="str">
        <f t="shared" si="347"/>
        <v/>
      </c>
      <c r="BR911" t="str">
        <f t="shared" si="348"/>
        <v/>
      </c>
      <c r="BS911" t="str">
        <f t="shared" si="349"/>
        <v/>
      </c>
      <c r="BT911" t="str">
        <f t="shared" si="350"/>
        <v/>
      </c>
      <c r="BU911" t="str">
        <f t="shared" si="351"/>
        <v/>
      </c>
    </row>
    <row r="912" spans="1:73">
      <c r="A912" s="1">
        <v>56634</v>
      </c>
      <c r="B912" t="str">
        <f>VLOOKUP($A912,[1]Table!$A$2:$N1071,B$1,FALSE)</f>
        <v>B05BC01</v>
      </c>
      <c r="C912" t="str">
        <f>VLOOKUP($A912,[1]Table!$A$2:$N1071,C$1,FALSE)</f>
        <v>BLOEDVERVANGINGSMIDDELEN EN PERFUSIEVLOEISTOFFEN</v>
      </c>
      <c r="D912" t="str">
        <f>VLOOKUP($A912,[1]Table!$A$2:$N1071,D$1,FALSE)</f>
        <v>INTRAVENEUZE OPLOSSINGEN</v>
      </c>
      <c r="E912" t="str">
        <f>VLOOKUP($A912,[1]Table!$A$2:$N1071,E$1,FALSE)</f>
        <v>MANNITOL</v>
      </c>
      <c r="F912" t="str">
        <f>VLOOKUP($A912,[1]Table!$A$2:$N1071,F$1,FALSE)</f>
        <v>MANNITOL 10% INFUUSZAK 500ML WE5613</v>
      </c>
      <c r="G912" t="str">
        <f>VLOOKUP($A912,[1]Table!$A$2:$N1071,G$1,FALSE)</f>
        <v>MANNITOL 100MG/ML INFVLST</v>
      </c>
      <c r="H912" t="str">
        <f>VLOOKUP($A912,[1]Table!$A$2:$N1071,H$1,FALSE)</f>
        <v>infusievloeistof</v>
      </c>
      <c r="I912" t="str">
        <f>VLOOKUP($A912,[1]Table!$A$2:$N1071,I$1,FALSE)</f>
        <v>iv</v>
      </c>
      <c r="J912">
        <f>VLOOKUP($A912,[1]Table!$A$2:$N1071,J$1,FALSE)</f>
        <v>100</v>
      </c>
      <c r="K912" t="str">
        <f>VLOOKUP($A912,[1]Table!$A$2:$N1071,K$1,FALSE)</f>
        <v>mg/ml</v>
      </c>
      <c r="L912">
        <f>VLOOKUP($A912,[1]Table!$A$2:$N1071,L$1,FALSE)</f>
        <v>100</v>
      </c>
      <c r="M912" t="str">
        <f>VLOOKUP($A912,[1]Table!$A$2:$N1071,M$1,FALSE)</f>
        <v>mg</v>
      </c>
      <c r="N912" t="str">
        <f>VLOOKUP($A912,[1]Table!$A$2:$N1071,N$1,FALSE)</f>
        <v>Dialyse||Vermindering van intracraniale of intraoculaire druk, acute nierinsufficiëntie||Cystische Fibrose</v>
      </c>
      <c r="O912" t="str">
        <f>ConcatenateRange(AZ912:BU912,"||")</f>
        <v/>
      </c>
      <c r="AZ912" t="str">
        <f t="shared" si="330"/>
        <v/>
      </c>
      <c r="BA912" t="str">
        <f t="shared" si="331"/>
        <v/>
      </c>
      <c r="BB912" t="str">
        <f t="shared" si="332"/>
        <v/>
      </c>
      <c r="BC912" t="str">
        <f t="shared" si="333"/>
        <v/>
      </c>
      <c r="BD912" t="str">
        <f t="shared" si="334"/>
        <v/>
      </c>
      <c r="BE912" t="str">
        <f t="shared" si="335"/>
        <v/>
      </c>
      <c r="BF912" t="str">
        <f t="shared" si="336"/>
        <v/>
      </c>
      <c r="BG912" t="str">
        <f t="shared" si="337"/>
        <v/>
      </c>
      <c r="BH912" t="str">
        <f t="shared" si="338"/>
        <v/>
      </c>
      <c r="BI912" t="str">
        <f t="shared" si="339"/>
        <v/>
      </c>
      <c r="BJ912" t="str">
        <f t="shared" si="340"/>
        <v/>
      </c>
      <c r="BK912" t="str">
        <f t="shared" si="341"/>
        <v/>
      </c>
      <c r="BL912" t="str">
        <f t="shared" si="342"/>
        <v/>
      </c>
      <c r="BM912" t="str">
        <f t="shared" si="343"/>
        <v/>
      </c>
      <c r="BN912" t="str">
        <f t="shared" si="344"/>
        <v/>
      </c>
      <c r="BO912" t="str">
        <f t="shared" si="345"/>
        <v/>
      </c>
      <c r="BP912" t="str">
        <f t="shared" si="346"/>
        <v/>
      </c>
      <c r="BQ912" t="str">
        <f t="shared" si="347"/>
        <v/>
      </c>
      <c r="BR912" t="str">
        <f t="shared" si="348"/>
        <v/>
      </c>
      <c r="BS912" t="str">
        <f t="shared" si="349"/>
        <v/>
      </c>
      <c r="BT912" t="str">
        <f t="shared" si="350"/>
        <v/>
      </c>
      <c r="BU912" t="str">
        <f t="shared" si="351"/>
        <v/>
      </c>
    </row>
    <row r="913" spans="1:73">
      <c r="A913" s="1">
        <v>134619</v>
      </c>
      <c r="B913" t="str">
        <f>VLOOKUP($A913,[1]Table!$A$2:$N1072,B$1,FALSE)</f>
        <v>B05BC01</v>
      </c>
      <c r="C913" t="str">
        <f>VLOOKUP($A913,[1]Table!$A$2:$N1072,C$1,FALSE)</f>
        <v>BLOEDVERVANGINGSMIDDELEN EN PERFUSIEVLOEISTOFFEN</v>
      </c>
      <c r="D913" t="str">
        <f>VLOOKUP($A913,[1]Table!$A$2:$N1072,D$1,FALSE)</f>
        <v>INTRAVENEUZE OPLOSSINGEN</v>
      </c>
      <c r="E913" t="str">
        <f>VLOOKUP($A913,[1]Table!$A$2:$N1072,E$1,FALSE)</f>
        <v>MANNITOL</v>
      </c>
      <c r="F913" t="str">
        <f>VLOOKUP($A913,[1]Table!$A$2:$N1072,F$1,FALSE)</f>
        <v>MANNITOL 150 MG/ML ZAK 500ML INFVLST WE5623</v>
      </c>
      <c r="G913" t="str">
        <f>VLOOKUP($A913,[1]Table!$A$2:$N1072,G$1,FALSE)</f>
        <v>MANNITOL 150MG/ML INFVLST</v>
      </c>
      <c r="H913" t="str">
        <f>VLOOKUP($A913,[1]Table!$A$2:$N1072,H$1,FALSE)</f>
        <v>infusievloeistof</v>
      </c>
      <c r="I913" t="str">
        <f>VLOOKUP($A913,[1]Table!$A$2:$N1072,I$1,FALSE)</f>
        <v>iv</v>
      </c>
      <c r="J913">
        <f>VLOOKUP($A913,[1]Table!$A$2:$N1072,J$1,FALSE)</f>
        <v>150</v>
      </c>
      <c r="K913" t="str">
        <f>VLOOKUP($A913,[1]Table!$A$2:$N1072,K$1,FALSE)</f>
        <v>mg/ml</v>
      </c>
      <c r="L913">
        <f>VLOOKUP($A913,[1]Table!$A$2:$N1072,L$1,FALSE)</f>
        <v>150</v>
      </c>
      <c r="M913" t="str">
        <f>VLOOKUP($A913,[1]Table!$A$2:$N1072,M$1,FALSE)</f>
        <v>mg</v>
      </c>
      <c r="N913" t="str">
        <f>VLOOKUP($A913,[1]Table!$A$2:$N1072,N$1,FALSE)</f>
        <v>Dialyse||Vermindering van intracraniale of intraoculaire druk, acute nierinsufficiëntie||Cystische Fibrose</v>
      </c>
      <c r="O913" t="str">
        <f>ConcatenateRange(AZ913:BU913,"||")</f>
        <v/>
      </c>
      <c r="AZ913" t="str">
        <f t="shared" si="330"/>
        <v/>
      </c>
      <c r="BA913" t="str">
        <f t="shared" si="331"/>
        <v/>
      </c>
      <c r="BB913" t="str">
        <f t="shared" si="332"/>
        <v/>
      </c>
      <c r="BC913" t="str">
        <f t="shared" si="333"/>
        <v/>
      </c>
      <c r="BD913" t="str">
        <f t="shared" si="334"/>
        <v/>
      </c>
      <c r="BE913" t="str">
        <f t="shared" si="335"/>
        <v/>
      </c>
      <c r="BF913" t="str">
        <f t="shared" si="336"/>
        <v/>
      </c>
      <c r="BG913" t="str">
        <f t="shared" si="337"/>
        <v/>
      </c>
      <c r="BH913" t="str">
        <f t="shared" si="338"/>
        <v/>
      </c>
      <c r="BI913" t="str">
        <f t="shared" si="339"/>
        <v/>
      </c>
      <c r="BJ913" t="str">
        <f t="shared" si="340"/>
        <v/>
      </c>
      <c r="BK913" t="str">
        <f t="shared" si="341"/>
        <v/>
      </c>
      <c r="BL913" t="str">
        <f t="shared" si="342"/>
        <v/>
      </c>
      <c r="BM913" t="str">
        <f t="shared" si="343"/>
        <v/>
      </c>
      <c r="BN913" t="str">
        <f t="shared" si="344"/>
        <v/>
      </c>
      <c r="BO913" t="str">
        <f t="shared" si="345"/>
        <v/>
      </c>
      <c r="BP913" t="str">
        <f t="shared" si="346"/>
        <v/>
      </c>
      <c r="BQ913" t="str">
        <f t="shared" si="347"/>
        <v/>
      </c>
      <c r="BR913" t="str">
        <f t="shared" si="348"/>
        <v/>
      </c>
      <c r="BS913" t="str">
        <f t="shared" si="349"/>
        <v/>
      </c>
      <c r="BT913" t="str">
        <f t="shared" si="350"/>
        <v/>
      </c>
      <c r="BU913" t="str">
        <f t="shared" si="351"/>
        <v/>
      </c>
    </row>
    <row r="914" spans="1:73">
      <c r="A914" s="1">
        <v>9954</v>
      </c>
      <c r="B914" t="str">
        <f>VLOOKUP($A914,[1]Table!$A$2:$N1074,B$1,FALSE)</f>
        <v>P02CA01</v>
      </c>
      <c r="C914" t="str">
        <f>VLOOKUP($A914,[1]Table!$A$2:$N1074,C$1,FALSE)</f>
        <v>ANTHELMINTHICA</v>
      </c>
      <c r="D914" t="str">
        <f>VLOOKUP($A914,[1]Table!$A$2:$N1074,D$1,FALSE)</f>
        <v>ANTHELMINTHICA TEGEN NEMATODEN</v>
      </c>
      <c r="E914" t="str">
        <f>VLOOKUP($A914,[1]Table!$A$2:$N1074,E$1,FALSE)</f>
        <v>MEBENDAZOL</v>
      </c>
      <c r="F914" t="str">
        <f>VLOOKUP($A914,[1]Table!$A$2:$N1074,F$1,FALSE)</f>
        <v>MEBENDAZOL 100 MG TABLET</v>
      </c>
      <c r="G914" t="str">
        <f>VLOOKUP($A914,[1]Table!$A$2:$N1074,G$1,FALSE)</f>
        <v>MEBENDAZOL 100MG TABLET</v>
      </c>
      <c r="H914" t="str">
        <f>VLOOKUP($A914,[1]Table!$A$2:$N1074,H$1,FALSE)</f>
        <v>tablet</v>
      </c>
      <c r="I914" t="str">
        <f>VLOOKUP($A914,[1]Table!$A$2:$N1074,I$1,FALSE)</f>
        <v>or</v>
      </c>
      <c r="J914">
        <f>VLOOKUP($A914,[1]Table!$A$2:$N1074,J$1,FALSE)</f>
        <v>100</v>
      </c>
      <c r="K914" t="str">
        <f>VLOOKUP($A914,[1]Table!$A$2:$N1074,K$1,FALSE)</f>
        <v>mg/stuk</v>
      </c>
      <c r="L914">
        <f>VLOOKUP($A914,[1]Table!$A$2:$N1074,L$1,FALSE)</f>
        <v>50</v>
      </c>
      <c r="M914" t="str">
        <f>VLOOKUP($A914,[1]Table!$A$2:$N1074,M$1,FALSE)</f>
        <v>mg</v>
      </c>
      <c r="N914" t="str">
        <f>VLOOKUP($A914,[1]Table!$A$2:$N1074,N$1,FALSE)</f>
        <v>Enterobiasis||Ascariasis, trichuriasis, toxocariasis en mijnworminfecties</v>
      </c>
      <c r="O914" t="str">
        <f>ConcatenateRange(AZ914:BU914,"||")</f>
        <v/>
      </c>
      <c r="AZ914" t="str">
        <f t="shared" si="330"/>
        <v/>
      </c>
      <c r="BA914" t="str">
        <f t="shared" si="331"/>
        <v/>
      </c>
      <c r="BB914" t="str">
        <f t="shared" si="332"/>
        <v/>
      </c>
      <c r="BC914" t="str">
        <f t="shared" si="333"/>
        <v/>
      </c>
      <c r="BD914" t="str">
        <f t="shared" si="334"/>
        <v/>
      </c>
      <c r="BE914" t="str">
        <f t="shared" si="335"/>
        <v/>
      </c>
      <c r="BF914" t="str">
        <f t="shared" si="336"/>
        <v/>
      </c>
      <c r="BG914" t="str">
        <f t="shared" si="337"/>
        <v/>
      </c>
      <c r="BH914" t="str">
        <f t="shared" si="338"/>
        <v/>
      </c>
      <c r="BI914" t="str">
        <f t="shared" si="339"/>
        <v/>
      </c>
      <c r="BJ914" t="str">
        <f t="shared" si="340"/>
        <v/>
      </c>
      <c r="BK914" t="str">
        <f t="shared" si="341"/>
        <v/>
      </c>
      <c r="BL914" t="str">
        <f t="shared" si="342"/>
        <v/>
      </c>
      <c r="BM914" t="str">
        <f t="shared" si="343"/>
        <v/>
      </c>
      <c r="BN914" t="str">
        <f t="shared" si="344"/>
        <v/>
      </c>
      <c r="BO914" t="str">
        <f t="shared" si="345"/>
        <v/>
      </c>
      <c r="BP914" t="str">
        <f t="shared" si="346"/>
        <v/>
      </c>
      <c r="BQ914" t="str">
        <f t="shared" si="347"/>
        <v/>
      </c>
      <c r="BR914" t="str">
        <f t="shared" si="348"/>
        <v/>
      </c>
      <c r="BS914" t="str">
        <f t="shared" si="349"/>
        <v/>
      </c>
      <c r="BT914" t="str">
        <f t="shared" si="350"/>
        <v/>
      </c>
      <c r="BU914" t="str">
        <f t="shared" si="351"/>
        <v/>
      </c>
    </row>
    <row r="915" spans="1:73">
      <c r="A915" s="1">
        <v>65390</v>
      </c>
      <c r="B915" t="str">
        <f>VLOOKUP($A915,[1]Table!$A$2:$N1075,B$1,FALSE)</f>
        <v>A03AA04</v>
      </c>
      <c r="C915" t="str">
        <f>VLOOKUP($A915,[1]Table!$A$2:$N1075,C$1,FALSE)</f>
        <v>MIDDELEN BIJ FUNCTIONELE MAAGDARMSTOORNISSEN</v>
      </c>
      <c r="D915" t="str">
        <f>VLOOKUP($A915,[1]Table!$A$2:$N1075,D$1,FALSE)</f>
        <v>MIDDELEN BIJ FUNCTIONELE MAAGDARMSTOORNISSEN</v>
      </c>
      <c r="E915" t="str">
        <f>VLOOKUP($A915,[1]Table!$A$2:$N1075,E$1,FALSE)</f>
        <v>MEBEVERINE</v>
      </c>
      <c r="F915" t="str">
        <f>VLOOKUP($A915,[1]Table!$A$2:$N1075,F$1,FALSE)</f>
        <v>DUSPATAL RETARD 200 MG CAPSULE MGA</v>
      </c>
      <c r="G915" t="str">
        <f>VLOOKUP($A915,[1]Table!$A$2:$N1075,G$1,FALSE)</f>
        <v>MEBEVERINE 200MG CAPS MGA</v>
      </c>
      <c r="H915" t="str">
        <f>VLOOKUP($A915,[1]Table!$A$2:$N1075,H$1,FALSE)</f>
        <v>capsule met gereguleerde afgifte</v>
      </c>
      <c r="I915" t="str">
        <f>VLOOKUP($A915,[1]Table!$A$2:$N1075,I$1,FALSE)</f>
        <v>or</v>
      </c>
      <c r="J915">
        <f>VLOOKUP($A915,[1]Table!$A$2:$N1075,J$1,FALSE)</f>
        <v>200</v>
      </c>
      <c r="K915" t="str">
        <f>VLOOKUP($A915,[1]Table!$A$2:$N1075,K$1,FALSE)</f>
        <v>mg/stuk</v>
      </c>
      <c r="L915">
        <f>VLOOKUP($A915,[1]Table!$A$2:$N1075,L$1,FALSE)</f>
        <v>200</v>
      </c>
      <c r="M915" t="str">
        <f>VLOOKUP($A915,[1]Table!$A$2:$N1075,M$1,FALSE)</f>
        <v>mg</v>
      </c>
      <c r="N915" t="str">
        <f>VLOOKUP($A915,[1]Table!$A$2:$N1075,N$1,FALSE)</f>
        <v>Prikkelbare darm syndroom</v>
      </c>
      <c r="O915" t="str">
        <f>ConcatenateRange(AZ915:BU915,"||")</f>
        <v/>
      </c>
      <c r="AZ915" t="str">
        <f t="shared" si="330"/>
        <v/>
      </c>
      <c r="BA915" t="str">
        <f t="shared" si="331"/>
        <v/>
      </c>
      <c r="BB915" t="str">
        <f t="shared" si="332"/>
        <v/>
      </c>
      <c r="BC915" t="str">
        <f t="shared" si="333"/>
        <v/>
      </c>
      <c r="BD915" t="str">
        <f t="shared" si="334"/>
        <v/>
      </c>
      <c r="BE915" t="str">
        <f t="shared" si="335"/>
        <v/>
      </c>
      <c r="BF915" t="str">
        <f t="shared" si="336"/>
        <v/>
      </c>
      <c r="BG915" t="str">
        <f t="shared" si="337"/>
        <v/>
      </c>
      <c r="BH915" t="str">
        <f t="shared" si="338"/>
        <v/>
      </c>
      <c r="BI915" t="str">
        <f t="shared" si="339"/>
        <v/>
      </c>
      <c r="BJ915" t="str">
        <f t="shared" si="340"/>
        <v/>
      </c>
      <c r="BK915" t="str">
        <f t="shared" si="341"/>
        <v/>
      </c>
      <c r="BL915" t="str">
        <f t="shared" si="342"/>
        <v/>
      </c>
      <c r="BM915" t="str">
        <f t="shared" si="343"/>
        <v/>
      </c>
      <c r="BN915" t="str">
        <f t="shared" si="344"/>
        <v/>
      </c>
      <c r="BO915" t="str">
        <f t="shared" si="345"/>
        <v/>
      </c>
      <c r="BP915" t="str">
        <f t="shared" si="346"/>
        <v/>
      </c>
      <c r="BQ915" t="str">
        <f t="shared" si="347"/>
        <v/>
      </c>
      <c r="BR915" t="str">
        <f t="shared" si="348"/>
        <v/>
      </c>
      <c r="BS915" t="str">
        <f t="shared" si="349"/>
        <v/>
      </c>
      <c r="BT915" t="str">
        <f t="shared" si="350"/>
        <v/>
      </c>
      <c r="BU915" t="str">
        <f t="shared" si="351"/>
        <v/>
      </c>
    </row>
    <row r="916" spans="1:73">
      <c r="A916" s="1">
        <v>128724</v>
      </c>
      <c r="B916" t="str">
        <f>VLOOKUP($A916,[1]Table!$A$2:$N1076,B$1,FALSE)</f>
        <v>H01AC03</v>
      </c>
      <c r="C916" t="str">
        <f>VLOOKUP($A916,[1]Table!$A$2:$N1076,C$1,FALSE)</f>
        <v>HYPOFYSE- EN HYPOTHALAMUSHORMONEN EN VERWANTE VERBINDINGEN</v>
      </c>
      <c r="D916" t="str">
        <f>VLOOKUP($A916,[1]Table!$A$2:$N1076,D$1,FALSE)</f>
        <v>ADENOHYPOFYSEHORMONEN EN VERWANTE VERBINDINGEN</v>
      </c>
      <c r="E916" t="str">
        <f>VLOOKUP($A916,[1]Table!$A$2:$N1076,E$1,FALSE)</f>
        <v>MECASERMINE</v>
      </c>
      <c r="F916" t="str">
        <f>VLOOKUP($A916,[1]Table!$A$2:$N1076,F$1,FALSE)</f>
        <v>INCRELEX 10 MG/ML INJVLST FLACON 4 ML</v>
      </c>
      <c r="G916" t="str">
        <f>VLOOKUP($A916,[1]Table!$A$2:$N1076,G$1,FALSE)</f>
        <v>MECASERMINE 10MG/ML INJVLST</v>
      </c>
      <c r="H916" t="str">
        <f>VLOOKUP($A916,[1]Table!$A$2:$N1076,H$1,FALSE)</f>
        <v>injectievloeistof</v>
      </c>
      <c r="I916" t="str">
        <f>VLOOKUP($A916,[1]Table!$A$2:$N1076,I$1,FALSE)</f>
        <v>sc</v>
      </c>
      <c r="J916">
        <f>VLOOKUP($A916,[1]Table!$A$2:$N1076,J$1,FALSE)</f>
        <v>10</v>
      </c>
      <c r="K916" t="str">
        <f>VLOOKUP($A916,[1]Table!$A$2:$N1076,K$1,FALSE)</f>
        <v>mg/ml</v>
      </c>
      <c r="L916">
        <f>VLOOKUP($A916,[1]Table!$A$2:$N1076,L$1,FALSE)</f>
        <v>10</v>
      </c>
      <c r="M916" t="str">
        <f>VLOOKUP($A916,[1]Table!$A$2:$N1076,M$1,FALSE)</f>
        <v>mg</v>
      </c>
      <c r="N916" t="str">
        <f>VLOOKUP($A916,[1]Table!$A$2:$N1076,N$1,FALSE)</f>
        <v>Groeistoornissen met ernstige primaire insuline-achtige groeifactor-1-deficiëntie (IGFD).</v>
      </c>
      <c r="O916" t="str">
        <f>ConcatenateRange(AZ916:BU916,"||")</f>
        <v/>
      </c>
      <c r="AZ916" t="str">
        <f t="shared" si="330"/>
        <v/>
      </c>
      <c r="BA916" t="str">
        <f t="shared" si="331"/>
        <v/>
      </c>
      <c r="BB916" t="str">
        <f t="shared" si="332"/>
        <v/>
      </c>
      <c r="BC916" t="str">
        <f t="shared" si="333"/>
        <v/>
      </c>
      <c r="BD916" t="str">
        <f t="shared" si="334"/>
        <v/>
      </c>
      <c r="BE916" t="str">
        <f t="shared" si="335"/>
        <v/>
      </c>
      <c r="BF916" t="str">
        <f t="shared" si="336"/>
        <v/>
      </c>
      <c r="BG916" t="str">
        <f t="shared" si="337"/>
        <v/>
      </c>
      <c r="BH916" t="str">
        <f t="shared" si="338"/>
        <v/>
      </c>
      <c r="BI916" t="str">
        <f t="shared" si="339"/>
        <v/>
      </c>
      <c r="BJ916" t="str">
        <f t="shared" si="340"/>
        <v/>
      </c>
      <c r="BK916" t="str">
        <f t="shared" si="341"/>
        <v/>
      </c>
      <c r="BL916" t="str">
        <f t="shared" si="342"/>
        <v/>
      </c>
      <c r="BM916" t="str">
        <f t="shared" si="343"/>
        <v/>
      </c>
      <c r="BN916" t="str">
        <f t="shared" si="344"/>
        <v/>
      </c>
      <c r="BO916" t="str">
        <f t="shared" si="345"/>
        <v/>
      </c>
      <c r="BP916" t="str">
        <f t="shared" si="346"/>
        <v/>
      </c>
      <c r="BQ916" t="str">
        <f t="shared" si="347"/>
        <v/>
      </c>
      <c r="BR916" t="str">
        <f t="shared" si="348"/>
        <v/>
      </c>
      <c r="BS916" t="str">
        <f t="shared" si="349"/>
        <v/>
      </c>
      <c r="BT916" t="str">
        <f t="shared" si="350"/>
        <v/>
      </c>
      <c r="BU916" t="str">
        <f t="shared" si="351"/>
        <v/>
      </c>
    </row>
    <row r="917" spans="1:73">
      <c r="A917" s="1">
        <v>116092</v>
      </c>
      <c r="B917" t="str">
        <f>VLOOKUP($A917,[1]Table!$A$2:$N1077,B$1,FALSE)</f>
        <v>G03AC06</v>
      </c>
      <c r="C917" t="str">
        <f>VLOOKUP($A917,[1]Table!$A$2:$N1077,C$1,FALSE)</f>
        <v>GESLACHTSHORMONEN EN MODULATOREN VAN HET GENITALE STELSEL</v>
      </c>
      <c r="D917" t="str">
        <f>VLOOKUP($A917,[1]Table!$A$2:$N1077,D$1,FALSE)</f>
        <v>HORMONALE ANTICONCEPTIVA VOOR SYSTEMISCH GEBRUIK</v>
      </c>
      <c r="E917" t="str">
        <f>VLOOKUP($A917,[1]Table!$A$2:$N1077,E$1,FALSE)</f>
        <v>MEDROXYPROGESTERON</v>
      </c>
      <c r="F917" t="str">
        <f>VLOOKUP($A917,[1]Table!$A$2:$N1077,F$1,FALSE)</f>
        <v>DEPO PROVERA 150MG/ML WWSP 1ML</v>
      </c>
      <c r="G917" t="str">
        <f>VLOOKUP($A917,[1]Table!$A$2:$N1077,G$1,FALSE)</f>
        <v>MEDROXYPROGES 150MG/ML INJS</v>
      </c>
      <c r="H917" t="str">
        <f>VLOOKUP($A917,[1]Table!$A$2:$N1077,H$1,FALSE)</f>
        <v>suspensie voor injectie</v>
      </c>
      <c r="I917" t="str">
        <f>VLOOKUP($A917,[1]Table!$A$2:$N1077,I$1,FALSE)</f>
        <v>im</v>
      </c>
      <c r="J917">
        <f>VLOOKUP($A917,[1]Table!$A$2:$N1077,J$1,FALSE)</f>
        <v>150</v>
      </c>
      <c r="K917" t="str">
        <f>VLOOKUP($A917,[1]Table!$A$2:$N1077,K$1,FALSE)</f>
        <v>mg/ml</v>
      </c>
      <c r="L917">
        <f>VLOOKUP($A917,[1]Table!$A$2:$N1077,L$1,FALSE)</f>
        <v>150</v>
      </c>
      <c r="M917" t="str">
        <f>VLOOKUP($A917,[1]Table!$A$2:$N1077,M$1,FALSE)</f>
        <v>mg</v>
      </c>
      <c r="N917" t="str">
        <f>VLOOKUP($A917,[1]Table!$A$2:$N1077,N$1,FALSE)</f>
        <v>Anticonceptie||Voorkomen endometriumhyperplasie bij oestrogeenbehandeling ivm puberteitsinductie of groeiremming</v>
      </c>
      <c r="O917" t="str">
        <f>ConcatenateRange(AZ917:BU917,"||")</f>
        <v/>
      </c>
      <c r="AZ917" t="str">
        <f t="shared" si="330"/>
        <v/>
      </c>
      <c r="BA917" t="str">
        <f t="shared" si="331"/>
        <v/>
      </c>
      <c r="BB917" t="str">
        <f t="shared" si="332"/>
        <v/>
      </c>
      <c r="BC917" t="str">
        <f t="shared" si="333"/>
        <v/>
      </c>
      <c r="BD917" t="str">
        <f t="shared" si="334"/>
        <v/>
      </c>
      <c r="BE917" t="str">
        <f t="shared" si="335"/>
        <v/>
      </c>
      <c r="BF917" t="str">
        <f t="shared" si="336"/>
        <v/>
      </c>
      <c r="BG917" t="str">
        <f t="shared" si="337"/>
        <v/>
      </c>
      <c r="BH917" t="str">
        <f t="shared" si="338"/>
        <v/>
      </c>
      <c r="BI917" t="str">
        <f t="shared" si="339"/>
        <v/>
      </c>
      <c r="BJ917" t="str">
        <f t="shared" si="340"/>
        <v/>
      </c>
      <c r="BK917" t="str">
        <f t="shared" si="341"/>
        <v/>
      </c>
      <c r="BL917" t="str">
        <f t="shared" si="342"/>
        <v/>
      </c>
      <c r="BM917" t="str">
        <f t="shared" si="343"/>
        <v/>
      </c>
      <c r="BN917" t="str">
        <f t="shared" si="344"/>
        <v/>
      </c>
      <c r="BO917" t="str">
        <f t="shared" si="345"/>
        <v/>
      </c>
      <c r="BP917" t="str">
        <f t="shared" si="346"/>
        <v/>
      </c>
      <c r="BQ917" t="str">
        <f t="shared" si="347"/>
        <v/>
      </c>
      <c r="BR917" t="str">
        <f t="shared" si="348"/>
        <v/>
      </c>
      <c r="BS917" t="str">
        <f t="shared" si="349"/>
        <v/>
      </c>
      <c r="BT917" t="str">
        <f t="shared" si="350"/>
        <v/>
      </c>
      <c r="BU917" t="str">
        <f t="shared" si="351"/>
        <v/>
      </c>
    </row>
    <row r="918" spans="1:73">
      <c r="A918" s="1">
        <v>66478</v>
      </c>
      <c r="B918" t="str">
        <f>VLOOKUP($A918,[1]Table!$A$2:$N1078,B$1,FALSE)</f>
        <v>P01BC02</v>
      </c>
      <c r="C918" t="str">
        <f>VLOOKUP($A918,[1]Table!$A$2:$N1078,C$1,FALSE)</f>
        <v>ANTIPROTOZOICA</v>
      </c>
      <c r="D918" t="str">
        <f>VLOOKUP($A918,[1]Table!$A$2:$N1078,D$1,FALSE)</f>
        <v>MALARIAMIDDELEN</v>
      </c>
      <c r="E918" t="str">
        <f>VLOOKUP($A918,[1]Table!$A$2:$N1078,E$1,FALSE)</f>
        <v>MEFLOQUINE</v>
      </c>
      <c r="F918" t="str">
        <f>VLOOKUP($A918,[1]Table!$A$2:$N1078,F$1,FALSE)</f>
        <v>LARIAM 250 MG TABLET</v>
      </c>
      <c r="G918" t="str">
        <f>VLOOKUP($A918,[1]Table!$A$2:$N1078,G$1,FALSE)</f>
        <v>MEFLOQUINE 250MG TABLET</v>
      </c>
      <c r="H918" t="str">
        <f>VLOOKUP($A918,[1]Table!$A$2:$N1078,H$1,FALSE)</f>
        <v>tablet</v>
      </c>
      <c r="I918" t="str">
        <f>VLOOKUP($A918,[1]Table!$A$2:$N1078,I$1,FALSE)</f>
        <v>or</v>
      </c>
      <c r="J918">
        <f>VLOOKUP($A918,[1]Table!$A$2:$N1078,J$1,FALSE)</f>
        <v>250</v>
      </c>
      <c r="K918" t="str">
        <f>VLOOKUP($A918,[1]Table!$A$2:$N1078,K$1,FALSE)</f>
        <v>mg/stuk</v>
      </c>
      <c r="L918">
        <f>VLOOKUP($A918,[1]Table!$A$2:$N1078,L$1,FALSE)</f>
        <v>62.5</v>
      </c>
      <c r="M918" t="str">
        <f>VLOOKUP($A918,[1]Table!$A$2:$N1078,M$1,FALSE)</f>
        <v>mg</v>
      </c>
      <c r="N918" t="str">
        <f>VLOOKUP($A918,[1]Table!$A$2:$N1078,N$1,FALSE)</f>
        <v>Profylaxe malaria||Behandeling malaria</v>
      </c>
      <c r="O918" t="str">
        <f>ConcatenateRange(AZ918:BU918,"||")</f>
        <v/>
      </c>
      <c r="Q918" s="11"/>
      <c r="R918" s="11"/>
      <c r="T918" s="11"/>
      <c r="U918" s="11"/>
      <c r="V918" s="11"/>
      <c r="W918" s="11"/>
      <c r="AZ918" t="str">
        <f t="shared" si="330"/>
        <v/>
      </c>
      <c r="BA918" t="str">
        <f t="shared" si="331"/>
        <v/>
      </c>
      <c r="BB918" t="str">
        <f t="shared" si="332"/>
        <v/>
      </c>
      <c r="BC918" t="str">
        <f t="shared" si="333"/>
        <v/>
      </c>
      <c r="BD918" t="str">
        <f t="shared" si="334"/>
        <v/>
      </c>
      <c r="BE918" t="str">
        <f t="shared" si="335"/>
        <v/>
      </c>
      <c r="BF918" t="str">
        <f t="shared" si="336"/>
        <v/>
      </c>
      <c r="BG918" t="str">
        <f t="shared" si="337"/>
        <v/>
      </c>
      <c r="BH918" t="str">
        <f t="shared" si="338"/>
        <v/>
      </c>
      <c r="BI918" t="str">
        <f t="shared" si="339"/>
        <v/>
      </c>
      <c r="BJ918" t="str">
        <f t="shared" si="340"/>
        <v/>
      </c>
      <c r="BK918" t="str">
        <f t="shared" si="341"/>
        <v/>
      </c>
      <c r="BL918" t="str">
        <f t="shared" si="342"/>
        <v/>
      </c>
      <c r="BM918" t="str">
        <f t="shared" si="343"/>
        <v/>
      </c>
      <c r="BN918" t="str">
        <f t="shared" si="344"/>
        <v/>
      </c>
      <c r="BO918" t="str">
        <f t="shared" si="345"/>
        <v/>
      </c>
      <c r="BP918" t="str">
        <f t="shared" si="346"/>
        <v/>
      </c>
      <c r="BQ918" t="str">
        <f t="shared" si="347"/>
        <v/>
      </c>
      <c r="BR918" t="str">
        <f t="shared" si="348"/>
        <v/>
      </c>
      <c r="BS918" t="str">
        <f t="shared" si="349"/>
        <v/>
      </c>
      <c r="BT918" t="str">
        <f t="shared" si="350"/>
        <v/>
      </c>
      <c r="BU918" t="str">
        <f t="shared" si="351"/>
        <v/>
      </c>
    </row>
    <row r="919" spans="1:73">
      <c r="A919" s="1">
        <v>142573</v>
      </c>
      <c r="B919" t="str">
        <f>VLOOKUP($A919,[1]Table!$A$2:$N1079,B$1,FALSE)</f>
        <v>N05CH01</v>
      </c>
      <c r="C919" t="str">
        <f>VLOOKUP($A919,[1]Table!$A$2:$N1079,C$1,FALSE)</f>
        <v>PSYCHOLEPTICA</v>
      </c>
      <c r="D919" t="str">
        <f>VLOOKUP($A919,[1]Table!$A$2:$N1079,D$1,FALSE)</f>
        <v>HYPNOTICA EN SEDATIVA</v>
      </c>
      <c r="E919" t="str">
        <f>VLOOKUP($A919,[1]Table!$A$2:$N1079,E$1,FALSE)</f>
        <v>MELATONINE</v>
      </c>
      <c r="F919" t="str">
        <f>VLOOKUP($A919,[1]Table!$A$2:$N1079,F$1,FALSE)</f>
        <v>MELATONINE 1 MG TABLET</v>
      </c>
      <c r="G919" t="str">
        <f>VLOOKUP($A919,[1]Table!$A$2:$N1079,G$1,FALSE)</f>
        <v>MELATONINE 1MG TABLET</v>
      </c>
      <c r="H919" t="str">
        <f>VLOOKUP($A919,[1]Table!$A$2:$N1079,H$1,FALSE)</f>
        <v>tablet</v>
      </c>
      <c r="I919" t="str">
        <f>VLOOKUP($A919,[1]Table!$A$2:$N1079,I$1,FALSE)</f>
        <v>or</v>
      </c>
      <c r="J919">
        <f>VLOOKUP($A919,[1]Table!$A$2:$N1079,J$1,FALSE)</f>
        <v>1</v>
      </c>
      <c r="K919" t="str">
        <f>VLOOKUP($A919,[1]Table!$A$2:$N1079,K$1,FALSE)</f>
        <v>mg/stuk</v>
      </c>
      <c r="L919">
        <f>VLOOKUP($A919,[1]Table!$A$2:$N1079,L$1,FALSE)</f>
        <v>1</v>
      </c>
      <c r="M919" t="str">
        <f>VLOOKUP($A919,[1]Table!$A$2:$N1079,M$1,FALSE)</f>
        <v>mg</v>
      </c>
      <c r="N919" t="str">
        <f>VLOOKUP($A919,[1]Table!$A$2:$N1079,N$1,FALSE)</f>
        <v>Slaapstoornissen</v>
      </c>
      <c r="O919" t="str">
        <f>ConcatenateRange(AZ919:BU919,"||")</f>
        <v/>
      </c>
      <c r="Q919" s="13"/>
      <c r="R919" s="13"/>
      <c r="T919" s="13"/>
      <c r="U919" s="13"/>
      <c r="V919" s="13"/>
      <c r="W919" s="13"/>
      <c r="AZ919" t="str">
        <f t="shared" ref="AZ919:AZ979" si="352">IF(AA919&lt;&gt;0,AA$2,"")</f>
        <v/>
      </c>
      <c r="BA919" t="str">
        <f t="shared" ref="BA919:BA979" si="353">IF(AB919&lt;&gt;0,AB$2,"")</f>
        <v/>
      </c>
      <c r="BB919" t="str">
        <f t="shared" ref="BB919:BB979" si="354">IF(AC919&lt;&gt;0,AC$2,"")</f>
        <v/>
      </c>
      <c r="BC919" t="str">
        <f t="shared" ref="BC919:BC979" si="355">IF(AD919&lt;&gt;0,AD$2,"")</f>
        <v/>
      </c>
      <c r="BD919" t="str">
        <f t="shared" ref="BD919:BD979" si="356">IF(AE919&lt;&gt;0,AE$2,"")</f>
        <v/>
      </c>
      <c r="BE919" t="str">
        <f t="shared" ref="BE919:BE979" si="357">IF(AF919&lt;&gt;0,AF$2,"")</f>
        <v/>
      </c>
      <c r="BF919" t="str">
        <f t="shared" ref="BF919:BF979" si="358">IF(AG919&lt;&gt;0,AG$2,"")</f>
        <v/>
      </c>
      <c r="BG919" t="str">
        <f t="shared" ref="BG919:BG979" si="359">IF(AH919&lt;&gt;0,AH$2,"")</f>
        <v/>
      </c>
      <c r="BH919" t="str">
        <f t="shared" ref="BH919:BH979" si="360">IF(AI919&lt;&gt;0,AI$2,"")</f>
        <v/>
      </c>
      <c r="BI919" t="str">
        <f t="shared" ref="BI919:BI979" si="361">IF(AJ919&lt;&gt;0,AJ$2,"")</f>
        <v/>
      </c>
      <c r="BJ919" t="str">
        <f t="shared" ref="BJ919:BJ979" si="362">IF(AK919&lt;&gt;0,AK$2,"")</f>
        <v/>
      </c>
      <c r="BK919" t="str">
        <f t="shared" ref="BK919:BK979" si="363">IF(AL919&lt;&gt;0,AL$2,"")</f>
        <v/>
      </c>
      <c r="BL919" t="str">
        <f t="shared" ref="BL919:BL979" si="364">IF(AM919&lt;&gt;0,AM$2,"")</f>
        <v/>
      </c>
      <c r="BM919" t="str">
        <f t="shared" ref="BM919:BM979" si="365">IF(AN919&lt;&gt;0,AN$2,"")</f>
        <v/>
      </c>
      <c r="BN919" t="str">
        <f t="shared" ref="BN919:BN979" si="366">IF(AO919&lt;&gt;0,AO$2,"")</f>
        <v/>
      </c>
      <c r="BO919" t="str">
        <f t="shared" ref="BO919:BO979" si="367">IF(AP919&lt;&gt;0,AP$2,"")</f>
        <v/>
      </c>
      <c r="BP919" t="str">
        <f t="shared" ref="BP919:BP979" si="368">IF(AQ919&lt;&gt;0,AQ$2,"")</f>
        <v/>
      </c>
      <c r="BQ919" t="str">
        <f t="shared" ref="BQ919:BQ979" si="369">IF(AR919&lt;&gt;0,AR$2,"")</f>
        <v/>
      </c>
      <c r="BR919" t="str">
        <f t="shared" ref="BR919:BR979" si="370">IF(AS919&lt;&gt;0,AS$2,"")</f>
        <v/>
      </c>
      <c r="BS919" t="str">
        <f t="shared" ref="BS919:BS979" si="371">IF(AT919&lt;&gt;0,AT$2,"")</f>
        <v/>
      </c>
      <c r="BT919" t="str">
        <f t="shared" ref="BT919:BT979" si="372">IF(AU919&lt;&gt;0,AU$2,"")</f>
        <v/>
      </c>
      <c r="BU919" t="str">
        <f t="shared" ref="BU919:BU979" si="373">IF(AV919&lt;&gt;0,AV$2,"")</f>
        <v/>
      </c>
    </row>
    <row r="920" spans="1:73">
      <c r="A920" s="1">
        <v>142581</v>
      </c>
      <c r="B920" t="str">
        <f>VLOOKUP($A920,[1]Table!$A$2:$N1080,B$1,FALSE)</f>
        <v>N05CH01</v>
      </c>
      <c r="C920" t="str">
        <f>VLOOKUP($A920,[1]Table!$A$2:$N1080,C$1,FALSE)</f>
        <v>PSYCHOLEPTICA</v>
      </c>
      <c r="D920" t="str">
        <f>VLOOKUP($A920,[1]Table!$A$2:$N1080,D$1,FALSE)</f>
        <v>HYPNOTICA EN SEDATIVA</v>
      </c>
      <c r="E920" t="str">
        <f>VLOOKUP($A920,[1]Table!$A$2:$N1080,E$1,FALSE)</f>
        <v>MELATONINE</v>
      </c>
      <c r="F920" t="str">
        <f>VLOOKUP($A920,[1]Table!$A$2:$N1080,F$1,FALSE)</f>
        <v>MELATONINE 3 MG TABLET</v>
      </c>
      <c r="G920" t="str">
        <f>VLOOKUP($A920,[1]Table!$A$2:$N1080,G$1,FALSE)</f>
        <v>MELATONINE 3MG TABLET</v>
      </c>
      <c r="H920" t="str">
        <f>VLOOKUP($A920,[1]Table!$A$2:$N1080,H$1,FALSE)</f>
        <v>tablet</v>
      </c>
      <c r="I920" t="str">
        <f>VLOOKUP($A920,[1]Table!$A$2:$N1080,I$1,FALSE)</f>
        <v>or</v>
      </c>
      <c r="J920">
        <f>VLOOKUP($A920,[1]Table!$A$2:$N1080,J$1,FALSE)</f>
        <v>3</v>
      </c>
      <c r="K920" t="str">
        <f>VLOOKUP($A920,[1]Table!$A$2:$N1080,K$1,FALSE)</f>
        <v>mg/stuk</v>
      </c>
      <c r="L920">
        <f>VLOOKUP($A920,[1]Table!$A$2:$N1080,L$1,FALSE)</f>
        <v>3</v>
      </c>
      <c r="M920" t="str">
        <f>VLOOKUP($A920,[1]Table!$A$2:$N1080,M$1,FALSE)</f>
        <v>mg</v>
      </c>
      <c r="N920" t="str">
        <f>VLOOKUP($A920,[1]Table!$A$2:$N1080,N$1,FALSE)</f>
        <v>Slaapstoornissen</v>
      </c>
      <c r="O920" t="str">
        <f>ConcatenateRange(AZ920:BU920,"||")</f>
        <v/>
      </c>
      <c r="Q920" s="13"/>
      <c r="R920" s="13"/>
      <c r="T920" s="13"/>
      <c r="U920" s="13"/>
      <c r="V920" s="13"/>
      <c r="W920" s="13"/>
      <c r="AZ920" t="str">
        <f t="shared" si="352"/>
        <v/>
      </c>
      <c r="BA920" t="str">
        <f t="shared" si="353"/>
        <v/>
      </c>
      <c r="BB920" t="str">
        <f t="shared" si="354"/>
        <v/>
      </c>
      <c r="BC920" t="str">
        <f t="shared" si="355"/>
        <v/>
      </c>
      <c r="BD920" t="str">
        <f t="shared" si="356"/>
        <v/>
      </c>
      <c r="BE920" t="str">
        <f t="shared" si="357"/>
        <v/>
      </c>
      <c r="BF920" t="str">
        <f t="shared" si="358"/>
        <v/>
      </c>
      <c r="BG920" t="str">
        <f t="shared" si="359"/>
        <v/>
      </c>
      <c r="BH920" t="str">
        <f t="shared" si="360"/>
        <v/>
      </c>
      <c r="BI920" t="str">
        <f t="shared" si="361"/>
        <v/>
      </c>
      <c r="BJ920" t="str">
        <f t="shared" si="362"/>
        <v/>
      </c>
      <c r="BK920" t="str">
        <f t="shared" si="363"/>
        <v/>
      </c>
      <c r="BL920" t="str">
        <f t="shared" si="364"/>
        <v/>
      </c>
      <c r="BM920" t="str">
        <f t="shared" si="365"/>
        <v/>
      </c>
      <c r="BN920" t="str">
        <f t="shared" si="366"/>
        <v/>
      </c>
      <c r="BO920" t="str">
        <f t="shared" si="367"/>
        <v/>
      </c>
      <c r="BP920" t="str">
        <f t="shared" si="368"/>
        <v/>
      </c>
      <c r="BQ920" t="str">
        <f t="shared" si="369"/>
        <v/>
      </c>
      <c r="BR920" t="str">
        <f t="shared" si="370"/>
        <v/>
      </c>
      <c r="BS920" t="str">
        <f t="shared" si="371"/>
        <v/>
      </c>
      <c r="BT920" t="str">
        <f t="shared" si="372"/>
        <v/>
      </c>
      <c r="BU920" t="str">
        <f t="shared" si="373"/>
        <v/>
      </c>
    </row>
    <row r="921" spans="1:73">
      <c r="A921" s="1">
        <v>129615</v>
      </c>
      <c r="B921" t="str">
        <f>VLOOKUP($A921,[1]Table!$A$2:$N1081,B$1,FALSE)</f>
        <v>N05CH01</v>
      </c>
      <c r="C921" t="str">
        <f>VLOOKUP($A921,[1]Table!$A$2:$N1081,C$1,FALSE)</f>
        <v>PSYCHOLEPTICA</v>
      </c>
      <c r="D921" t="str">
        <f>VLOOKUP($A921,[1]Table!$A$2:$N1081,D$1,FALSE)</f>
        <v>HYPNOTICA EN SEDATIVA</v>
      </c>
      <c r="E921" t="str">
        <f>VLOOKUP($A921,[1]Table!$A$2:$N1081,E$1,FALSE)</f>
        <v>MELATONINE</v>
      </c>
      <c r="F921" t="str">
        <f>VLOOKUP($A921,[1]Table!$A$2:$N1081,F$1,FALSE)</f>
        <v>CIRCADIN 2 MG TABLET MVA (RETARD)</v>
      </c>
      <c r="G921" t="str">
        <f>VLOOKUP($A921,[1]Table!$A$2:$N1081,G$1,FALSE)</f>
        <v>MELATONINE 2MG TABLET MGA</v>
      </c>
      <c r="H921" t="str">
        <f>VLOOKUP($A921,[1]Table!$A$2:$N1081,H$1,FALSE)</f>
        <v>tablet met gereguleerde afgifte</v>
      </c>
      <c r="I921" t="str">
        <f>VLOOKUP($A921,[1]Table!$A$2:$N1081,I$1,FALSE)</f>
        <v>or</v>
      </c>
      <c r="J921">
        <f>VLOOKUP($A921,[1]Table!$A$2:$N1081,J$1,FALSE)</f>
        <v>2</v>
      </c>
      <c r="K921" t="str">
        <f>VLOOKUP($A921,[1]Table!$A$2:$N1081,K$1,FALSE)</f>
        <v>mg/stuk</v>
      </c>
      <c r="L921">
        <f>VLOOKUP($A921,[1]Table!$A$2:$N1081,L$1,FALSE)</f>
        <v>2</v>
      </c>
      <c r="M921" t="str">
        <f>VLOOKUP($A921,[1]Table!$A$2:$N1081,M$1,FALSE)</f>
        <v>mg</v>
      </c>
      <c r="N921" t="str">
        <f>VLOOKUP($A921,[1]Table!$A$2:$N1081,N$1,FALSE)</f>
        <v>Slaapstoornissen</v>
      </c>
      <c r="O921" t="str">
        <f>ConcatenateRange(AZ921:BU921,"||")</f>
        <v/>
      </c>
      <c r="Q921" s="13"/>
      <c r="R921" s="13"/>
      <c r="T921" s="13"/>
      <c r="U921" s="13"/>
      <c r="V921" s="13"/>
      <c r="W921" s="13"/>
      <c r="AZ921" t="str">
        <f t="shared" si="352"/>
        <v/>
      </c>
      <c r="BA921" t="str">
        <f t="shared" si="353"/>
        <v/>
      </c>
      <c r="BB921" t="str">
        <f t="shared" si="354"/>
        <v/>
      </c>
      <c r="BC921" t="str">
        <f t="shared" si="355"/>
        <v/>
      </c>
      <c r="BD921" t="str">
        <f t="shared" si="356"/>
        <v/>
      </c>
      <c r="BE921" t="str">
        <f t="shared" si="357"/>
        <v/>
      </c>
      <c r="BF921" t="str">
        <f t="shared" si="358"/>
        <v/>
      </c>
      <c r="BG921" t="str">
        <f t="shared" si="359"/>
        <v/>
      </c>
      <c r="BH921" t="str">
        <f t="shared" si="360"/>
        <v/>
      </c>
      <c r="BI921" t="str">
        <f t="shared" si="361"/>
        <v/>
      </c>
      <c r="BJ921" t="str">
        <f t="shared" si="362"/>
        <v/>
      </c>
      <c r="BK921" t="str">
        <f t="shared" si="363"/>
        <v/>
      </c>
      <c r="BL921" t="str">
        <f t="shared" si="364"/>
        <v/>
      </c>
      <c r="BM921" t="str">
        <f t="shared" si="365"/>
        <v/>
      </c>
      <c r="BN921" t="str">
        <f t="shared" si="366"/>
        <v/>
      </c>
      <c r="BO921" t="str">
        <f t="shared" si="367"/>
        <v/>
      </c>
      <c r="BP921" t="str">
        <f t="shared" si="368"/>
        <v/>
      </c>
      <c r="BQ921" t="str">
        <f t="shared" si="369"/>
        <v/>
      </c>
      <c r="BR921" t="str">
        <f t="shared" si="370"/>
        <v/>
      </c>
      <c r="BS921" t="str">
        <f t="shared" si="371"/>
        <v/>
      </c>
      <c r="BT921" t="str">
        <f t="shared" si="372"/>
        <v/>
      </c>
      <c r="BU921" t="str">
        <f t="shared" si="373"/>
        <v/>
      </c>
    </row>
    <row r="922" spans="1:73">
      <c r="A922" s="1">
        <v>113840</v>
      </c>
      <c r="B922" t="str">
        <f>VLOOKUP($A922,[1]Table!$A$2:$N1207,B$1,FALSE)</f>
        <v>J07AH07</v>
      </c>
      <c r="C922" t="str">
        <f>VLOOKUP($A922,[1]Table!$A$2:$N1207,C$1,FALSE)</f>
        <v>VACCINS</v>
      </c>
      <c r="D922" t="str">
        <f>VLOOKUP($A922,[1]Table!$A$2:$N1207,D$1,FALSE)</f>
        <v>BACTERIELE VACCINS</v>
      </c>
      <c r="E922" t="str">
        <f>VLOOKUP($A922,[1]Table!$A$2:$N1207,E$1,FALSE)</f>
        <v>MENINGOKOKKENVACCIN</v>
      </c>
      <c r="F922" t="str">
        <f>VLOOKUP($A922,[1]Table!$A$2:$N1207,F$1,FALSE)</f>
        <v>NEISVAC-C 10 MCG/ST WEGWERPSPUIT</v>
      </c>
      <c r="G922" t="str">
        <f>VLOOKUP($A922,[1]Table!$A$2:$N1207,G$1,FALSE)</f>
        <v>MENINGOKOKVACCIN NEISVAC-C</v>
      </c>
      <c r="H922" t="str">
        <f>VLOOKUP($A922,[1]Table!$A$2:$N1207,H$1,FALSE)</f>
        <v>suspensie voor injectie</v>
      </c>
      <c r="I922" t="str">
        <f>VLOOKUP($A922,[1]Table!$A$2:$N1207,I$1,FALSE)</f>
        <v>im</v>
      </c>
      <c r="J922">
        <f>VLOOKUP($A922,[1]Table!$A$2:$N1207,J$1,FALSE)</f>
        <v>20</v>
      </c>
      <c r="K922" t="str">
        <f>VLOOKUP($A922,[1]Table!$A$2:$N1207,K$1,FALSE)</f>
        <v>mcg/ml</v>
      </c>
      <c r="L922">
        <f>VLOOKUP($A922,[1]Table!$A$2:$N1207,L$1,FALSE)</f>
        <v>20</v>
      </c>
      <c r="M922" t="str">
        <f>VLOOKUP($A922,[1]Table!$A$2:$N1207,M$1,FALSE)</f>
        <v>mcg</v>
      </c>
      <c r="N922" t="str">
        <f>VLOOKUP($A922,[1]Table!$A$2:$N1207,N$1,FALSE)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22" t="str">
        <f>ConcatenateRange(AZ922:BU922,"||")</f>
        <v/>
      </c>
      <c r="Q922" s="13"/>
      <c r="R922" s="13"/>
      <c r="T922" s="13"/>
      <c r="U922" s="13"/>
      <c r="V922" s="13"/>
      <c r="W922" s="13"/>
      <c r="AZ922" t="str">
        <f t="shared" si="352"/>
        <v/>
      </c>
      <c r="BA922" t="str">
        <f t="shared" si="353"/>
        <v/>
      </c>
      <c r="BB922" t="str">
        <f t="shared" si="354"/>
        <v/>
      </c>
      <c r="BC922" t="str">
        <f t="shared" si="355"/>
        <v/>
      </c>
      <c r="BD922" t="str">
        <f t="shared" si="356"/>
        <v/>
      </c>
      <c r="BE922" t="str">
        <f t="shared" si="357"/>
        <v/>
      </c>
      <c r="BF922" t="str">
        <f t="shared" si="358"/>
        <v/>
      </c>
      <c r="BG922" t="str">
        <f t="shared" si="359"/>
        <v/>
      </c>
      <c r="BH922" t="str">
        <f t="shared" si="360"/>
        <v/>
      </c>
      <c r="BI922" t="str">
        <f t="shared" si="361"/>
        <v/>
      </c>
      <c r="BJ922" t="str">
        <f t="shared" si="362"/>
        <v/>
      </c>
      <c r="BK922" t="str">
        <f t="shared" si="363"/>
        <v/>
      </c>
      <c r="BL922" t="str">
        <f t="shared" si="364"/>
        <v/>
      </c>
      <c r="BM922" t="str">
        <f t="shared" si="365"/>
        <v/>
      </c>
      <c r="BN922" t="str">
        <f t="shared" si="366"/>
        <v/>
      </c>
      <c r="BO922" t="str">
        <f t="shared" si="367"/>
        <v/>
      </c>
      <c r="BP922" t="str">
        <f t="shared" si="368"/>
        <v/>
      </c>
      <c r="BQ922" t="str">
        <f t="shared" si="369"/>
        <v/>
      </c>
      <c r="BR922" t="str">
        <f t="shared" si="370"/>
        <v/>
      </c>
      <c r="BS922" t="str">
        <f t="shared" si="371"/>
        <v/>
      </c>
      <c r="BT922" t="str">
        <f t="shared" si="372"/>
        <v/>
      </c>
      <c r="BU922" t="str">
        <f t="shared" si="373"/>
        <v/>
      </c>
    </row>
    <row r="923" spans="1:73">
      <c r="A923" s="1">
        <v>20052</v>
      </c>
      <c r="B923" t="str">
        <f>VLOOKUP($A923,[1]Table!$A$2:$N1082,B$1,FALSE)</f>
        <v>N01BB03</v>
      </c>
      <c r="C923" t="str">
        <f>VLOOKUP($A923,[1]Table!$A$2:$N1082,C$1,FALSE)</f>
        <v>ANAESTHETICA</v>
      </c>
      <c r="D923" t="str">
        <f>VLOOKUP($A923,[1]Table!$A$2:$N1082,D$1,FALSE)</f>
        <v>ANAESTHETICA, LOKALE</v>
      </c>
      <c r="E923" t="str">
        <f>VLOOKUP($A923,[1]Table!$A$2:$N1082,E$1,FALSE)</f>
        <v>MEPIVACAINE</v>
      </c>
      <c r="F923" t="str">
        <f>VLOOKUP($A923,[1]Table!$A$2:$N1082,F$1,FALSE)</f>
        <v>MEPIVACAINE 10MG/ML AMPUL 20 ML</v>
      </c>
      <c r="G923" t="str">
        <f>VLOOKUP($A923,[1]Table!$A$2:$N1082,G$1,FALSE)</f>
        <v>MEPIVACAINE 10MG/ML INJVLST</v>
      </c>
      <c r="H923" t="str">
        <f>VLOOKUP($A923,[1]Table!$A$2:$N1082,H$1,FALSE)</f>
        <v>injectievloeistof</v>
      </c>
      <c r="I923" t="str">
        <f>VLOOKUP($A923,[1]Table!$A$2:$N1082,I$1,FALSE)</f>
        <v>epidur||perineur</v>
      </c>
      <c r="J923">
        <f>VLOOKUP($A923,[1]Table!$A$2:$N1082,J$1,FALSE)</f>
        <v>10</v>
      </c>
      <c r="K923" t="str">
        <f>VLOOKUP($A923,[1]Table!$A$2:$N1082,K$1,FALSE)</f>
        <v>mg/ml</v>
      </c>
      <c r="L923">
        <f>VLOOKUP($A923,[1]Table!$A$2:$N1082,L$1,FALSE)</f>
        <v>10</v>
      </c>
      <c r="M923" t="str">
        <f>VLOOKUP($A923,[1]Table!$A$2:$N1082,M$1,FALSE)</f>
        <v>mg</v>
      </c>
      <c r="N923" t="str">
        <f>VLOOKUP($A923,[1]Table!$A$2:$N1082,N$1,FALSE)</f>
        <v>Lokale en regionale anesthesie in weefsels met aanzienlijke systemische absorptie||Pijnstilling: epiduraal (caudaal)||Bij tandheelkundige ingrepen</v>
      </c>
      <c r="O923" t="str">
        <f>ConcatenateRange(AZ923:BU923,"||")</f>
        <v/>
      </c>
      <c r="Q923" s="13"/>
      <c r="R923" s="13"/>
      <c r="T923" s="13"/>
      <c r="U923" s="13"/>
      <c r="V923" s="13"/>
      <c r="W923" s="13"/>
      <c r="AZ923" t="str">
        <f t="shared" si="352"/>
        <v/>
      </c>
      <c r="BA923" t="str">
        <f t="shared" si="353"/>
        <v/>
      </c>
      <c r="BB923" t="str">
        <f t="shared" si="354"/>
        <v/>
      </c>
      <c r="BC923" t="str">
        <f t="shared" si="355"/>
        <v/>
      </c>
      <c r="BD923" t="str">
        <f t="shared" si="356"/>
        <v/>
      </c>
      <c r="BE923" t="str">
        <f t="shared" si="357"/>
        <v/>
      </c>
      <c r="BF923" t="str">
        <f t="shared" si="358"/>
        <v/>
      </c>
      <c r="BG923" t="str">
        <f t="shared" si="359"/>
        <v/>
      </c>
      <c r="BH923" t="str">
        <f t="shared" si="360"/>
        <v/>
      </c>
      <c r="BI923" t="str">
        <f t="shared" si="361"/>
        <v/>
      </c>
      <c r="BJ923" t="str">
        <f t="shared" si="362"/>
        <v/>
      </c>
      <c r="BK923" t="str">
        <f t="shared" si="363"/>
        <v/>
      </c>
      <c r="BL923" t="str">
        <f t="shared" si="364"/>
        <v/>
      </c>
      <c r="BM923" t="str">
        <f t="shared" si="365"/>
        <v/>
      </c>
      <c r="BN923" t="str">
        <f t="shared" si="366"/>
        <v/>
      </c>
      <c r="BO923" t="str">
        <f t="shared" si="367"/>
        <v/>
      </c>
      <c r="BP923" t="str">
        <f t="shared" si="368"/>
        <v/>
      </c>
      <c r="BQ923" t="str">
        <f t="shared" si="369"/>
        <v/>
      </c>
      <c r="BR923" t="str">
        <f t="shared" si="370"/>
        <v/>
      </c>
      <c r="BS923" t="str">
        <f t="shared" si="371"/>
        <v/>
      </c>
      <c r="BT923" t="str">
        <f t="shared" si="372"/>
        <v/>
      </c>
      <c r="BU923" t="str">
        <f t="shared" si="373"/>
        <v/>
      </c>
    </row>
    <row r="924" spans="1:73">
      <c r="A924" s="1">
        <v>20060</v>
      </c>
      <c r="B924" t="str">
        <f>VLOOKUP($A924,[1]Table!$A$2:$N1083,B$1,FALSE)</f>
        <v>N01BB03</v>
      </c>
      <c r="C924" t="str">
        <f>VLOOKUP($A924,[1]Table!$A$2:$N1083,C$1,FALSE)</f>
        <v>ANAESTHETICA</v>
      </c>
      <c r="D924" t="str">
        <f>VLOOKUP($A924,[1]Table!$A$2:$N1083,D$1,FALSE)</f>
        <v>ANAESTHETICA, LOKALE</v>
      </c>
      <c r="E924" t="str">
        <f>VLOOKUP($A924,[1]Table!$A$2:$N1083,E$1,FALSE)</f>
        <v>MEPIVACAINE</v>
      </c>
      <c r="F924" t="str">
        <f>VLOOKUP($A924,[1]Table!$A$2:$N1083,F$1,FALSE)</f>
        <v>MEPIVACAINE 20 MG/ML AMPUL 10 ML</v>
      </c>
      <c r="G924" t="str">
        <f>VLOOKUP($A924,[1]Table!$A$2:$N1083,G$1,FALSE)</f>
        <v>MEPIVACAINE 20MG/ML INJVLST</v>
      </c>
      <c r="H924" t="str">
        <f>VLOOKUP($A924,[1]Table!$A$2:$N1083,H$1,FALSE)</f>
        <v>injectievloeistof</v>
      </c>
      <c r="I924" t="str">
        <f>VLOOKUP($A924,[1]Table!$A$2:$N1083,I$1,FALSE)</f>
        <v>epidur||perineur</v>
      </c>
      <c r="J924">
        <f>VLOOKUP($A924,[1]Table!$A$2:$N1083,J$1,FALSE)</f>
        <v>20</v>
      </c>
      <c r="K924" t="str">
        <f>VLOOKUP($A924,[1]Table!$A$2:$N1083,K$1,FALSE)</f>
        <v>mg/ml</v>
      </c>
      <c r="L924">
        <f>VLOOKUP($A924,[1]Table!$A$2:$N1083,L$1,FALSE)</f>
        <v>20</v>
      </c>
      <c r="M924" t="str">
        <f>VLOOKUP($A924,[1]Table!$A$2:$N1083,M$1,FALSE)</f>
        <v>mg</v>
      </c>
      <c r="N924" t="str">
        <f>VLOOKUP($A924,[1]Table!$A$2:$N1083,N$1,FALSE)</f>
        <v>Lokale en regionale anesthesie in weefsels met aanzienlijke systemische absorptie||Pijnstilling: epiduraal (caudaal)||Bij tandheelkundige ingrepen</v>
      </c>
      <c r="O924" t="str">
        <f>ConcatenateRange(AZ924:BU924,"||")</f>
        <v/>
      </c>
      <c r="Q924" s="13"/>
      <c r="R924" s="13"/>
      <c r="T924" s="13"/>
      <c r="U924" s="13"/>
      <c r="V924" s="13"/>
      <c r="W924" s="13"/>
      <c r="AZ924" t="str">
        <f t="shared" si="352"/>
        <v/>
      </c>
      <c r="BA924" t="str">
        <f t="shared" si="353"/>
        <v/>
      </c>
      <c r="BB924" t="str">
        <f t="shared" si="354"/>
        <v/>
      </c>
      <c r="BC924" t="str">
        <f t="shared" si="355"/>
        <v/>
      </c>
      <c r="BD924" t="str">
        <f t="shared" si="356"/>
        <v/>
      </c>
      <c r="BE924" t="str">
        <f t="shared" si="357"/>
        <v/>
      </c>
      <c r="BF924" t="str">
        <f t="shared" si="358"/>
        <v/>
      </c>
      <c r="BG924" t="str">
        <f t="shared" si="359"/>
        <v/>
      </c>
      <c r="BH924" t="str">
        <f t="shared" si="360"/>
        <v/>
      </c>
      <c r="BI924" t="str">
        <f t="shared" si="361"/>
        <v/>
      </c>
      <c r="BJ924" t="str">
        <f t="shared" si="362"/>
        <v/>
      </c>
      <c r="BK924" t="str">
        <f t="shared" si="363"/>
        <v/>
      </c>
      <c r="BL924" t="str">
        <f t="shared" si="364"/>
        <v/>
      </c>
      <c r="BM924" t="str">
        <f t="shared" si="365"/>
        <v/>
      </c>
      <c r="BN924" t="str">
        <f t="shared" si="366"/>
        <v/>
      </c>
      <c r="BO924" t="str">
        <f t="shared" si="367"/>
        <v/>
      </c>
      <c r="BP924" t="str">
        <f t="shared" si="368"/>
        <v/>
      </c>
      <c r="BQ924" t="str">
        <f t="shared" si="369"/>
        <v/>
      </c>
      <c r="BR924" t="str">
        <f t="shared" si="370"/>
        <v/>
      </c>
      <c r="BS924" t="str">
        <f t="shared" si="371"/>
        <v/>
      </c>
      <c r="BT924" t="str">
        <f t="shared" si="372"/>
        <v/>
      </c>
      <c r="BU924" t="str">
        <f t="shared" si="373"/>
        <v/>
      </c>
    </row>
    <row r="925" spans="1:73">
      <c r="A925" s="1">
        <v>110000</v>
      </c>
      <c r="B925" t="str">
        <f>VLOOKUP($A925,[1]Table!$A$2:$N1084,B$1,FALSE)</f>
        <v>A16AA04</v>
      </c>
      <c r="C925" t="str">
        <f>VLOOKUP($A925,[1]Table!$A$2:$N1084,C$1,FALSE)</f>
        <v>OVERIGE MAAGDARMKANAAL- EN METABOLISMEPRODUCTEN</v>
      </c>
      <c r="D925" t="str">
        <f>VLOOKUP($A925,[1]Table!$A$2:$N1084,D$1,FALSE)</f>
        <v>OVERIGE MAAGDARMKANAAL- EN METABOLISMEPRODUCTEN</v>
      </c>
      <c r="E925" t="str">
        <f>VLOOKUP($A925,[1]Table!$A$2:$N1084,E$1,FALSE)</f>
        <v>MERCAPTAMINE</v>
      </c>
      <c r="F925" t="str">
        <f>VLOOKUP($A925,[1]Table!$A$2:$N1084,F$1,FALSE)</f>
        <v>CYSTAGON 50 MG CAPSULE</v>
      </c>
      <c r="G925" t="str">
        <f>VLOOKUP($A925,[1]Table!$A$2:$N1084,G$1,FALSE)</f>
        <v>MERCAPTAMINE 50MG CAPSULE</v>
      </c>
      <c r="H925" t="str">
        <f>VLOOKUP($A925,[1]Table!$A$2:$N1084,H$1,FALSE)</f>
        <v>capsule</v>
      </c>
      <c r="I925" t="str">
        <f>VLOOKUP($A925,[1]Table!$A$2:$N1084,I$1,FALSE)</f>
        <v>or</v>
      </c>
      <c r="J925">
        <f>VLOOKUP($A925,[1]Table!$A$2:$N1084,J$1,FALSE)</f>
        <v>50</v>
      </c>
      <c r="K925" t="str">
        <f>VLOOKUP($A925,[1]Table!$A$2:$N1084,K$1,FALSE)</f>
        <v>mg/stuk</v>
      </c>
      <c r="L925">
        <f>VLOOKUP($A925,[1]Table!$A$2:$N1084,L$1,FALSE)</f>
        <v>50</v>
      </c>
      <c r="M925" t="str">
        <f>VLOOKUP($A925,[1]Table!$A$2:$N1084,M$1,FALSE)</f>
        <v>mg</v>
      </c>
      <c r="N925" t="str">
        <f>VLOOKUP($A925,[1]Table!$A$2:$N1084,N$1,FALSE)</f>
        <v>Cystinosis ||Fotofobie en corneale ulceraties tgv neerslagen van cystine in de cornea</v>
      </c>
      <c r="O925" t="str">
        <f>ConcatenateRange(AZ925:BU925,"||")</f>
        <v/>
      </c>
      <c r="Q925" s="20"/>
      <c r="R925" s="20"/>
      <c r="T925" s="20"/>
      <c r="U925" s="20"/>
      <c r="V925" s="20"/>
      <c r="W925" s="20"/>
      <c r="AZ925" t="str">
        <f t="shared" si="352"/>
        <v/>
      </c>
      <c r="BA925" t="str">
        <f t="shared" si="353"/>
        <v/>
      </c>
      <c r="BB925" t="str">
        <f t="shared" si="354"/>
        <v/>
      </c>
      <c r="BC925" t="str">
        <f t="shared" si="355"/>
        <v/>
      </c>
      <c r="BD925" t="str">
        <f t="shared" si="356"/>
        <v/>
      </c>
      <c r="BE925" t="str">
        <f t="shared" si="357"/>
        <v/>
      </c>
      <c r="BF925" t="str">
        <f t="shared" si="358"/>
        <v/>
      </c>
      <c r="BG925" t="str">
        <f t="shared" si="359"/>
        <v/>
      </c>
      <c r="BH925" t="str">
        <f t="shared" si="360"/>
        <v/>
      </c>
      <c r="BI925" t="str">
        <f t="shared" si="361"/>
        <v/>
      </c>
      <c r="BJ925" t="str">
        <f t="shared" si="362"/>
        <v/>
      </c>
      <c r="BK925" t="str">
        <f t="shared" si="363"/>
        <v/>
      </c>
      <c r="BL925" t="str">
        <f t="shared" si="364"/>
        <v/>
      </c>
      <c r="BM925" t="str">
        <f t="shared" si="365"/>
        <v/>
      </c>
      <c r="BN925" t="str">
        <f t="shared" si="366"/>
        <v/>
      </c>
      <c r="BO925" t="str">
        <f t="shared" si="367"/>
        <v/>
      </c>
      <c r="BP925" t="str">
        <f t="shared" si="368"/>
        <v/>
      </c>
      <c r="BQ925" t="str">
        <f t="shared" si="369"/>
        <v/>
      </c>
      <c r="BR925" t="str">
        <f t="shared" si="370"/>
        <v/>
      </c>
      <c r="BS925" t="str">
        <f t="shared" si="371"/>
        <v/>
      </c>
      <c r="BT925" t="str">
        <f t="shared" si="372"/>
        <v/>
      </c>
      <c r="BU925" t="str">
        <f t="shared" si="373"/>
        <v/>
      </c>
    </row>
    <row r="926" spans="1:73">
      <c r="A926" s="1">
        <v>110019</v>
      </c>
      <c r="B926" t="str">
        <f>VLOOKUP($A926,[1]Table!$A$2:$N1085,B$1,FALSE)</f>
        <v>A16AA04</v>
      </c>
      <c r="C926" t="str">
        <f>VLOOKUP($A926,[1]Table!$A$2:$N1085,C$1,FALSE)</f>
        <v>OVERIGE MAAGDARMKANAAL- EN METABOLISMEPRODUCTEN</v>
      </c>
      <c r="D926" t="str">
        <f>VLOOKUP($A926,[1]Table!$A$2:$N1085,D$1,FALSE)</f>
        <v>OVERIGE MAAGDARMKANAAL- EN METABOLISMEPRODUCTEN</v>
      </c>
      <c r="E926" t="str">
        <f>VLOOKUP($A926,[1]Table!$A$2:$N1085,E$1,FALSE)</f>
        <v>MERCAPTAMINE</v>
      </c>
      <c r="F926" t="str">
        <f>VLOOKUP($A926,[1]Table!$A$2:$N1085,F$1,FALSE)</f>
        <v>CYSTAGON 150 MG CAPSULE</v>
      </c>
      <c r="G926" t="str">
        <f>VLOOKUP($A926,[1]Table!$A$2:$N1085,G$1,FALSE)</f>
        <v>MERCAPTAMINE 150MG CAPSULE</v>
      </c>
      <c r="H926" t="str">
        <f>VLOOKUP($A926,[1]Table!$A$2:$N1085,H$1,FALSE)</f>
        <v>capsule</v>
      </c>
      <c r="I926" t="str">
        <f>VLOOKUP($A926,[1]Table!$A$2:$N1085,I$1,FALSE)</f>
        <v>or</v>
      </c>
      <c r="J926">
        <f>VLOOKUP($A926,[1]Table!$A$2:$N1085,J$1,FALSE)</f>
        <v>150</v>
      </c>
      <c r="K926" t="str">
        <f>VLOOKUP($A926,[1]Table!$A$2:$N1085,K$1,FALSE)</f>
        <v>mg/stuk</v>
      </c>
      <c r="L926">
        <f>VLOOKUP($A926,[1]Table!$A$2:$N1085,L$1,FALSE)</f>
        <v>150</v>
      </c>
      <c r="M926" t="str">
        <f>VLOOKUP($A926,[1]Table!$A$2:$N1085,M$1,FALSE)</f>
        <v>mg</v>
      </c>
      <c r="N926" t="str">
        <f>VLOOKUP($A926,[1]Table!$A$2:$N1085,N$1,FALSE)</f>
        <v>Cystinosis ||Fotofobie en corneale ulceraties tgv neerslagen van cystine in de cornea</v>
      </c>
      <c r="O926" t="str">
        <f>ConcatenateRange(AZ926:BU926,"||")</f>
        <v/>
      </c>
      <c r="Q926" s="20"/>
      <c r="R926" s="20"/>
      <c r="T926" s="20"/>
      <c r="U926" s="20"/>
      <c r="V926" s="20"/>
      <c r="W926" s="20"/>
      <c r="AZ926" t="str">
        <f t="shared" si="352"/>
        <v/>
      </c>
      <c r="BA926" t="str">
        <f t="shared" si="353"/>
        <v/>
      </c>
      <c r="BB926" t="str">
        <f t="shared" si="354"/>
        <v/>
      </c>
      <c r="BC926" t="str">
        <f t="shared" si="355"/>
        <v/>
      </c>
      <c r="BD926" t="str">
        <f t="shared" si="356"/>
        <v/>
      </c>
      <c r="BE926" t="str">
        <f t="shared" si="357"/>
        <v/>
      </c>
      <c r="BF926" t="str">
        <f t="shared" si="358"/>
        <v/>
      </c>
      <c r="BG926" t="str">
        <f t="shared" si="359"/>
        <v/>
      </c>
      <c r="BH926" t="str">
        <f t="shared" si="360"/>
        <v/>
      </c>
      <c r="BI926" t="str">
        <f t="shared" si="361"/>
        <v/>
      </c>
      <c r="BJ926" t="str">
        <f t="shared" si="362"/>
        <v/>
      </c>
      <c r="BK926" t="str">
        <f t="shared" si="363"/>
        <v/>
      </c>
      <c r="BL926" t="str">
        <f t="shared" si="364"/>
        <v/>
      </c>
      <c r="BM926" t="str">
        <f t="shared" si="365"/>
        <v/>
      </c>
      <c r="BN926" t="str">
        <f t="shared" si="366"/>
        <v/>
      </c>
      <c r="BO926" t="str">
        <f t="shared" si="367"/>
        <v/>
      </c>
      <c r="BP926" t="str">
        <f t="shared" si="368"/>
        <v/>
      </c>
      <c r="BQ926" t="str">
        <f t="shared" si="369"/>
        <v/>
      </c>
      <c r="BR926" t="str">
        <f t="shared" si="370"/>
        <v/>
      </c>
      <c r="BS926" t="str">
        <f t="shared" si="371"/>
        <v/>
      </c>
      <c r="BT926" t="str">
        <f t="shared" si="372"/>
        <v/>
      </c>
      <c r="BU926" t="str">
        <f t="shared" si="373"/>
        <v/>
      </c>
    </row>
    <row r="927" spans="1:73">
      <c r="A927" s="1">
        <v>38598</v>
      </c>
      <c r="B927" t="str">
        <f>VLOOKUP($A927,[1]Table!$A$2:$N1086,B$1,FALSE)</f>
        <v>V03AF01</v>
      </c>
      <c r="C927" t="str">
        <f>VLOOKUP($A927,[1]Table!$A$2:$N1086,C$1,FALSE)</f>
        <v>ALLE OVERIGE THERAPEUTISCHE MIDDELEN</v>
      </c>
      <c r="D927" t="str">
        <f>VLOOKUP($A927,[1]Table!$A$2:$N1086,D$1,FALSE)</f>
        <v>ALLE OVERIGE THERAPEUTISCHE MIDDELEN</v>
      </c>
      <c r="E927" t="str">
        <f>VLOOKUP($A927,[1]Table!$A$2:$N1086,E$1,FALSE)</f>
        <v>MERCAPTO-ETHAANSULFONZUUR</v>
      </c>
      <c r="F927" t="str">
        <f>VLOOKUP($A927,[1]Table!$A$2:$N1086,F$1,FALSE)</f>
        <v>UROMITEXAN 100MG/ML AMPUL 4ML</v>
      </c>
      <c r="G927" t="str">
        <f>VLOOKUP($A927,[1]Table!$A$2:$N1086,G$1,FALSE)</f>
        <v>MERCAPTOETSULF 100MG/ML INJ</v>
      </c>
      <c r="H927" t="str">
        <f>VLOOKUP($A927,[1]Table!$A$2:$N1086,H$1,FALSE)</f>
        <v>injectievloeistof</v>
      </c>
      <c r="I927" t="str">
        <f>VLOOKUP($A927,[1]Table!$A$2:$N1086,I$1,FALSE)</f>
        <v>iv</v>
      </c>
      <c r="J927">
        <f>VLOOKUP($A927,[1]Table!$A$2:$N1086,J$1,FALSE)</f>
        <v>100</v>
      </c>
      <c r="K927" t="str">
        <f>VLOOKUP($A927,[1]Table!$A$2:$N1086,K$1,FALSE)</f>
        <v>mg/ml</v>
      </c>
      <c r="L927">
        <f>VLOOKUP($A927,[1]Table!$A$2:$N1086,L$1,FALSE)</f>
        <v>100</v>
      </c>
      <c r="M927" t="str">
        <f>VLOOKUP($A927,[1]Table!$A$2:$N1086,M$1,FALSE)</f>
        <v>mg</v>
      </c>
      <c r="N927" t="str">
        <f>VLOOKUP($A927,[1]Table!$A$2:$N1086,N$1,FALSE)</f>
        <v>Profylaxe hemorragische cystitis</v>
      </c>
      <c r="O927" t="str">
        <f>ConcatenateRange(AZ927:BU927,"||")</f>
        <v/>
      </c>
      <c r="AZ927" t="str">
        <f t="shared" si="352"/>
        <v/>
      </c>
      <c r="BA927" t="str">
        <f t="shared" si="353"/>
        <v/>
      </c>
      <c r="BB927" t="str">
        <f t="shared" si="354"/>
        <v/>
      </c>
      <c r="BC927" t="str">
        <f t="shared" si="355"/>
        <v/>
      </c>
      <c r="BD927" t="str">
        <f t="shared" si="356"/>
        <v/>
      </c>
      <c r="BE927" t="str">
        <f t="shared" si="357"/>
        <v/>
      </c>
      <c r="BF927" t="str">
        <f t="shared" si="358"/>
        <v/>
      </c>
      <c r="BG927" t="str">
        <f t="shared" si="359"/>
        <v/>
      </c>
      <c r="BH927" t="str">
        <f t="shared" si="360"/>
        <v/>
      </c>
      <c r="BI927" t="str">
        <f t="shared" si="361"/>
        <v/>
      </c>
      <c r="BJ927" t="str">
        <f t="shared" si="362"/>
        <v/>
      </c>
      <c r="BK927" t="str">
        <f t="shared" si="363"/>
        <v/>
      </c>
      <c r="BL927" t="str">
        <f t="shared" si="364"/>
        <v/>
      </c>
      <c r="BM927" t="str">
        <f t="shared" si="365"/>
        <v/>
      </c>
      <c r="BN927" t="str">
        <f t="shared" si="366"/>
        <v/>
      </c>
      <c r="BO927" t="str">
        <f t="shared" si="367"/>
        <v/>
      </c>
      <c r="BP927" t="str">
        <f t="shared" si="368"/>
        <v/>
      </c>
      <c r="BQ927" t="str">
        <f t="shared" si="369"/>
        <v/>
      </c>
      <c r="BR927" t="str">
        <f t="shared" si="370"/>
        <v/>
      </c>
      <c r="BS927" t="str">
        <f t="shared" si="371"/>
        <v/>
      </c>
      <c r="BT927" t="str">
        <f t="shared" si="372"/>
        <v/>
      </c>
      <c r="BU927" t="str">
        <f t="shared" si="373"/>
        <v/>
      </c>
    </row>
    <row r="928" spans="1:73">
      <c r="A928" s="1">
        <v>97632</v>
      </c>
      <c r="B928" t="str">
        <f>VLOOKUP($A928,[1]Table!$A$2:$N1087,B$1,FALSE)</f>
        <v>V03AF01</v>
      </c>
      <c r="C928" t="str">
        <f>VLOOKUP($A928,[1]Table!$A$2:$N1087,C$1,FALSE)</f>
        <v>ALLE OVERIGE THERAPEUTISCHE MIDDELEN</v>
      </c>
      <c r="D928" t="str">
        <f>VLOOKUP($A928,[1]Table!$A$2:$N1087,D$1,FALSE)</f>
        <v>ALLE OVERIGE THERAPEUTISCHE MIDDELEN</v>
      </c>
      <c r="E928" t="str">
        <f>VLOOKUP($A928,[1]Table!$A$2:$N1087,E$1,FALSE)</f>
        <v>MERCAPTO-ETHAANSULFONZUUR</v>
      </c>
      <c r="F928" t="str">
        <f>VLOOKUP($A928,[1]Table!$A$2:$N1087,F$1,FALSE)</f>
        <v>UROMITEXAN 400 MG TABLET OMHULD</v>
      </c>
      <c r="G928" t="str">
        <f>VLOOKUP($A928,[1]Table!$A$2:$N1087,G$1,FALSE)</f>
        <v>MERCAPTOETSULF 400MG TABLET</v>
      </c>
      <c r="H928" t="str">
        <f>VLOOKUP($A928,[1]Table!$A$2:$N1087,H$1,FALSE)</f>
        <v>tablet</v>
      </c>
      <c r="I928" t="str">
        <f>VLOOKUP($A928,[1]Table!$A$2:$N1087,I$1,FALSE)</f>
        <v>or</v>
      </c>
      <c r="J928">
        <f>VLOOKUP($A928,[1]Table!$A$2:$N1087,J$1,FALSE)</f>
        <v>400</v>
      </c>
      <c r="K928" t="str">
        <f>VLOOKUP($A928,[1]Table!$A$2:$N1087,K$1,FALSE)</f>
        <v>mg/stuk</v>
      </c>
      <c r="L928">
        <f>VLOOKUP($A928,[1]Table!$A$2:$N1087,L$1,FALSE)</f>
        <v>400</v>
      </c>
      <c r="M928" t="str">
        <f>VLOOKUP($A928,[1]Table!$A$2:$N1087,M$1,FALSE)</f>
        <v>mg</v>
      </c>
      <c r="N928" t="str">
        <f>VLOOKUP($A928,[1]Table!$A$2:$N1087,N$1,FALSE)</f>
        <v>Profylaxe hemorragische cystitis</v>
      </c>
      <c r="O928" t="str">
        <f>ConcatenateRange(AZ928:BU928,"||")</f>
        <v/>
      </c>
      <c r="AZ928" t="str">
        <f t="shared" si="352"/>
        <v/>
      </c>
      <c r="BA928" t="str">
        <f t="shared" si="353"/>
        <v/>
      </c>
      <c r="BB928" t="str">
        <f t="shared" si="354"/>
        <v/>
      </c>
      <c r="BC928" t="str">
        <f t="shared" si="355"/>
        <v/>
      </c>
      <c r="BD928" t="str">
        <f t="shared" si="356"/>
        <v/>
      </c>
      <c r="BE928" t="str">
        <f t="shared" si="357"/>
        <v/>
      </c>
      <c r="BF928" t="str">
        <f t="shared" si="358"/>
        <v/>
      </c>
      <c r="BG928" t="str">
        <f t="shared" si="359"/>
        <v/>
      </c>
      <c r="BH928" t="str">
        <f t="shared" si="360"/>
        <v/>
      </c>
      <c r="BI928" t="str">
        <f t="shared" si="361"/>
        <v/>
      </c>
      <c r="BJ928" t="str">
        <f t="shared" si="362"/>
        <v/>
      </c>
      <c r="BK928" t="str">
        <f t="shared" si="363"/>
        <v/>
      </c>
      <c r="BL928" t="str">
        <f t="shared" si="364"/>
        <v/>
      </c>
      <c r="BM928" t="str">
        <f t="shared" si="365"/>
        <v/>
      </c>
      <c r="BN928" t="str">
        <f t="shared" si="366"/>
        <v/>
      </c>
      <c r="BO928" t="str">
        <f t="shared" si="367"/>
        <v/>
      </c>
      <c r="BP928" t="str">
        <f t="shared" si="368"/>
        <v/>
      </c>
      <c r="BQ928" t="str">
        <f t="shared" si="369"/>
        <v/>
      </c>
      <c r="BR928" t="str">
        <f t="shared" si="370"/>
        <v/>
      </c>
      <c r="BS928" t="str">
        <f t="shared" si="371"/>
        <v/>
      </c>
      <c r="BT928" t="str">
        <f t="shared" si="372"/>
        <v/>
      </c>
      <c r="BU928" t="str">
        <f t="shared" si="373"/>
        <v/>
      </c>
    </row>
    <row r="929" spans="1:73">
      <c r="A929" s="1">
        <v>97640</v>
      </c>
      <c r="B929" t="str">
        <f>VLOOKUP($A929,[1]Table!$A$2:$N1088,B$1,FALSE)</f>
        <v>V03AF01</v>
      </c>
      <c r="C929" t="str">
        <f>VLOOKUP($A929,[1]Table!$A$2:$N1088,C$1,FALSE)</f>
        <v>ALLE OVERIGE THERAPEUTISCHE MIDDELEN</v>
      </c>
      <c r="D929" t="str">
        <f>VLOOKUP($A929,[1]Table!$A$2:$N1088,D$1,FALSE)</f>
        <v>ALLE OVERIGE THERAPEUTISCHE MIDDELEN</v>
      </c>
      <c r="E929" t="str">
        <f>VLOOKUP($A929,[1]Table!$A$2:$N1088,E$1,FALSE)</f>
        <v>MERCAPTO-ETHAANSULFONZUUR</v>
      </c>
      <c r="F929" t="str">
        <f>VLOOKUP($A929,[1]Table!$A$2:$N1088,F$1,FALSE)</f>
        <v>UROMITEXAN 600 MG TABLET OMHULD</v>
      </c>
      <c r="G929" t="str">
        <f>VLOOKUP($A929,[1]Table!$A$2:$N1088,G$1,FALSE)</f>
        <v>MERCAPTOETSULF 600MG TABLET</v>
      </c>
      <c r="H929" t="str">
        <f>VLOOKUP($A929,[1]Table!$A$2:$N1088,H$1,FALSE)</f>
        <v>tablet</v>
      </c>
      <c r="I929" t="str">
        <f>VLOOKUP($A929,[1]Table!$A$2:$N1088,I$1,FALSE)</f>
        <v>or</v>
      </c>
      <c r="J929">
        <f>VLOOKUP($A929,[1]Table!$A$2:$N1088,J$1,FALSE)</f>
        <v>600</v>
      </c>
      <c r="K929" t="str">
        <f>VLOOKUP($A929,[1]Table!$A$2:$N1088,K$1,FALSE)</f>
        <v>mg/stuk</v>
      </c>
      <c r="L929">
        <f>VLOOKUP($A929,[1]Table!$A$2:$N1088,L$1,FALSE)</f>
        <v>600</v>
      </c>
      <c r="M929" t="str">
        <f>VLOOKUP($A929,[1]Table!$A$2:$N1088,M$1,FALSE)</f>
        <v>mg</v>
      </c>
      <c r="N929" t="str">
        <f>VLOOKUP($A929,[1]Table!$A$2:$N1088,N$1,FALSE)</f>
        <v>Profylaxe hemorragische cystitis</v>
      </c>
      <c r="O929" t="str">
        <f>ConcatenateRange(AZ929:BU929,"||")</f>
        <v/>
      </c>
      <c r="AZ929" t="str">
        <f t="shared" si="352"/>
        <v/>
      </c>
      <c r="BA929" t="str">
        <f t="shared" si="353"/>
        <v/>
      </c>
      <c r="BB929" t="str">
        <f t="shared" si="354"/>
        <v/>
      </c>
      <c r="BC929" t="str">
        <f t="shared" si="355"/>
        <v/>
      </c>
      <c r="BD929" t="str">
        <f t="shared" si="356"/>
        <v/>
      </c>
      <c r="BE929" t="str">
        <f t="shared" si="357"/>
        <v/>
      </c>
      <c r="BF929" t="str">
        <f t="shared" si="358"/>
        <v/>
      </c>
      <c r="BG929" t="str">
        <f t="shared" si="359"/>
        <v/>
      </c>
      <c r="BH929" t="str">
        <f t="shared" si="360"/>
        <v/>
      </c>
      <c r="BI929" t="str">
        <f t="shared" si="361"/>
        <v/>
      </c>
      <c r="BJ929" t="str">
        <f t="shared" si="362"/>
        <v/>
      </c>
      <c r="BK929" t="str">
        <f t="shared" si="363"/>
        <v/>
      </c>
      <c r="BL929" t="str">
        <f t="shared" si="364"/>
        <v/>
      </c>
      <c r="BM929" t="str">
        <f t="shared" si="365"/>
        <v/>
      </c>
      <c r="BN929" t="str">
        <f t="shared" si="366"/>
        <v/>
      </c>
      <c r="BO929" t="str">
        <f t="shared" si="367"/>
        <v/>
      </c>
      <c r="BP929" t="str">
        <f t="shared" si="368"/>
        <v/>
      </c>
      <c r="BQ929" t="str">
        <f t="shared" si="369"/>
        <v/>
      </c>
      <c r="BR929" t="str">
        <f t="shared" si="370"/>
        <v/>
      </c>
      <c r="BS929" t="str">
        <f t="shared" si="371"/>
        <v/>
      </c>
      <c r="BT929" t="str">
        <f t="shared" si="372"/>
        <v/>
      </c>
      <c r="BU929" t="str">
        <f t="shared" si="373"/>
        <v/>
      </c>
    </row>
    <row r="930" spans="1:73">
      <c r="A930" s="1">
        <v>140929</v>
      </c>
      <c r="B930" t="str">
        <f>VLOOKUP($A930,[1]Table!$A$2:$N1089,B$1,FALSE)</f>
        <v>L01BB02</v>
      </c>
      <c r="C930" t="str">
        <f>VLOOKUP($A930,[1]Table!$A$2:$N1089,C$1,FALSE)</f>
        <v>ONCOLYTICA</v>
      </c>
      <c r="D930" t="str">
        <f>VLOOKUP($A930,[1]Table!$A$2:$N1089,D$1,FALSE)</f>
        <v>ANTIMETABOLIETEN</v>
      </c>
      <c r="E930" t="str">
        <f>VLOOKUP($A930,[1]Table!$A$2:$N1089,E$1,FALSE)</f>
        <v>MERCAPTOPURINE</v>
      </c>
      <c r="F930" t="str">
        <f>VLOOKUP($A930,[1]Table!$A$2:$N1089,F$1,FALSE)</f>
        <v>XALUPRINE 20 MG/ML SUSPENSIE 100 ML</v>
      </c>
      <c r="G930" t="str">
        <f>VLOOKUP($A930,[1]Table!$A$2:$N1089,G$1,FALSE)</f>
        <v>MERCAPTOPURINE 20MG/ML SUSP</v>
      </c>
      <c r="H930" t="str">
        <f>VLOOKUP($A930,[1]Table!$A$2:$N1089,H$1,FALSE)</f>
        <v>suspensie voor oraal gebruik</v>
      </c>
      <c r="I930" t="str">
        <f>VLOOKUP($A930,[1]Table!$A$2:$N1089,I$1,FALSE)</f>
        <v>or</v>
      </c>
      <c r="J930">
        <f>VLOOKUP($A930,[1]Table!$A$2:$N1089,J$1,FALSE)</f>
        <v>20</v>
      </c>
      <c r="K930" t="str">
        <f>VLOOKUP($A930,[1]Table!$A$2:$N1089,K$1,FALSE)</f>
        <v>mg/ml</v>
      </c>
      <c r="L930">
        <f>VLOOKUP($A930,[1]Table!$A$2:$N1089,L$1,FALSE)</f>
        <v>20</v>
      </c>
      <c r="M930" t="str">
        <f>VLOOKUP($A930,[1]Table!$A$2:$N1089,M$1,FALSE)</f>
        <v>mg</v>
      </c>
      <c r="N930" t="str">
        <f>VLOOKUP($A930,[1]Table!$A$2:$N1089,N$1,FALSE)</f>
        <v>Oncologische aandoeningen||Inflammatoire darmziekten (IBD)</v>
      </c>
      <c r="O930" t="str">
        <f>ConcatenateRange(AZ930:BU930,"||")</f>
        <v/>
      </c>
      <c r="Q930" s="20"/>
      <c r="R930" s="20"/>
      <c r="T930" s="20"/>
      <c r="U930" s="20"/>
      <c r="V930" s="20"/>
      <c r="W930" s="20"/>
      <c r="AZ930" t="str">
        <f t="shared" si="352"/>
        <v/>
      </c>
      <c r="BA930" t="str">
        <f t="shared" si="353"/>
        <v/>
      </c>
      <c r="BB930" t="str">
        <f t="shared" si="354"/>
        <v/>
      </c>
      <c r="BC930" t="str">
        <f t="shared" si="355"/>
        <v/>
      </c>
      <c r="BD930" t="str">
        <f t="shared" si="356"/>
        <v/>
      </c>
      <c r="BE930" t="str">
        <f t="shared" si="357"/>
        <v/>
      </c>
      <c r="BF930" t="str">
        <f t="shared" si="358"/>
        <v/>
      </c>
      <c r="BG930" t="str">
        <f t="shared" si="359"/>
        <v/>
      </c>
      <c r="BH930" t="str">
        <f t="shared" si="360"/>
        <v/>
      </c>
      <c r="BI930" t="str">
        <f t="shared" si="361"/>
        <v/>
      </c>
      <c r="BJ930" t="str">
        <f t="shared" si="362"/>
        <v/>
      </c>
      <c r="BK930" t="str">
        <f t="shared" si="363"/>
        <v/>
      </c>
      <c r="BL930" t="str">
        <f t="shared" si="364"/>
        <v/>
      </c>
      <c r="BM930" t="str">
        <f t="shared" si="365"/>
        <v/>
      </c>
      <c r="BN930" t="str">
        <f t="shared" si="366"/>
        <v/>
      </c>
      <c r="BO930" t="str">
        <f t="shared" si="367"/>
        <v/>
      </c>
      <c r="BP930" t="str">
        <f t="shared" si="368"/>
        <v/>
      </c>
      <c r="BQ930" t="str">
        <f t="shared" si="369"/>
        <v/>
      </c>
      <c r="BR930" t="str">
        <f t="shared" si="370"/>
        <v/>
      </c>
      <c r="BS930" t="str">
        <f t="shared" si="371"/>
        <v/>
      </c>
      <c r="BT930" t="str">
        <f t="shared" si="372"/>
        <v/>
      </c>
      <c r="BU930" t="str">
        <f t="shared" si="373"/>
        <v/>
      </c>
    </row>
    <row r="931" spans="1:73">
      <c r="A931" s="1">
        <v>469</v>
      </c>
      <c r="B931" t="str">
        <f>VLOOKUP($A931,[1]Table!$A$2:$N1090,B$1,FALSE)</f>
        <v>L01BB02</v>
      </c>
      <c r="C931" t="str">
        <f>VLOOKUP($A931,[1]Table!$A$2:$N1090,C$1,FALSE)</f>
        <v>ONCOLYTICA</v>
      </c>
      <c r="D931" t="str">
        <f>VLOOKUP($A931,[1]Table!$A$2:$N1090,D$1,FALSE)</f>
        <v>ANTIMETABOLIETEN</v>
      </c>
      <c r="E931" t="str">
        <f>VLOOKUP($A931,[1]Table!$A$2:$N1090,E$1,FALSE)</f>
        <v>MERCAPTOPURINE</v>
      </c>
      <c r="F931" t="str">
        <f>VLOOKUP($A931,[1]Table!$A$2:$N1090,F$1,FALSE)</f>
        <v>PURINETHOL 50 MG TABLET</v>
      </c>
      <c r="G931" t="str">
        <f>VLOOKUP($A931,[1]Table!$A$2:$N1090,G$1,FALSE)</f>
        <v>MERCAPTOPURINE 50MG TABLET</v>
      </c>
      <c r="H931" t="str">
        <f>VLOOKUP($A931,[1]Table!$A$2:$N1090,H$1,FALSE)</f>
        <v>tablet</v>
      </c>
      <c r="I931" t="str">
        <f>VLOOKUP($A931,[1]Table!$A$2:$N1090,I$1,FALSE)</f>
        <v>or</v>
      </c>
      <c r="J931">
        <f>VLOOKUP($A931,[1]Table!$A$2:$N1090,J$1,FALSE)</f>
        <v>50</v>
      </c>
      <c r="K931" t="str">
        <f>VLOOKUP($A931,[1]Table!$A$2:$N1090,K$1,FALSE)</f>
        <v>mg/stuk</v>
      </c>
      <c r="L931">
        <f>VLOOKUP($A931,[1]Table!$A$2:$N1090,L$1,FALSE)</f>
        <v>50</v>
      </c>
      <c r="M931" t="str">
        <f>VLOOKUP($A931,[1]Table!$A$2:$N1090,M$1,FALSE)</f>
        <v>mg</v>
      </c>
      <c r="N931" t="str">
        <f>VLOOKUP($A931,[1]Table!$A$2:$N1090,N$1,FALSE)</f>
        <v>Oncologische aandoeningen||Inflammatoire darmziekten (IBD)</v>
      </c>
      <c r="O931" t="str">
        <f>ConcatenateRange(AZ931:BU931,"||")</f>
        <v/>
      </c>
      <c r="Q931" s="20"/>
      <c r="R931" s="20"/>
      <c r="T931" s="20"/>
      <c r="U931" s="20"/>
      <c r="V931" s="20"/>
      <c r="W931" s="20"/>
      <c r="AZ931" t="str">
        <f t="shared" si="352"/>
        <v/>
      </c>
      <c r="BA931" t="str">
        <f t="shared" si="353"/>
        <v/>
      </c>
      <c r="BB931" t="str">
        <f t="shared" si="354"/>
        <v/>
      </c>
      <c r="BC931" t="str">
        <f t="shared" si="355"/>
        <v/>
      </c>
      <c r="BD931" t="str">
        <f t="shared" si="356"/>
        <v/>
      </c>
      <c r="BE931" t="str">
        <f t="shared" si="357"/>
        <v/>
      </c>
      <c r="BF931" t="str">
        <f t="shared" si="358"/>
        <v/>
      </c>
      <c r="BG931" t="str">
        <f t="shared" si="359"/>
        <v/>
      </c>
      <c r="BH931" t="str">
        <f t="shared" si="360"/>
        <v/>
      </c>
      <c r="BI931" t="str">
        <f t="shared" si="361"/>
        <v/>
      </c>
      <c r="BJ931" t="str">
        <f t="shared" si="362"/>
        <v/>
      </c>
      <c r="BK931" t="str">
        <f t="shared" si="363"/>
        <v/>
      </c>
      <c r="BL931" t="str">
        <f t="shared" si="364"/>
        <v/>
      </c>
      <c r="BM931" t="str">
        <f t="shared" si="365"/>
        <v/>
      </c>
      <c r="BN931" t="str">
        <f t="shared" si="366"/>
        <v/>
      </c>
      <c r="BO931" t="str">
        <f t="shared" si="367"/>
        <v/>
      </c>
      <c r="BP931" t="str">
        <f t="shared" si="368"/>
        <v/>
      </c>
      <c r="BQ931" t="str">
        <f t="shared" si="369"/>
        <v/>
      </c>
      <c r="BR931" t="str">
        <f t="shared" si="370"/>
        <v/>
      </c>
      <c r="BS931" t="str">
        <f t="shared" si="371"/>
        <v/>
      </c>
      <c r="BT931" t="str">
        <f t="shared" si="372"/>
        <v/>
      </c>
      <c r="BU931" t="str">
        <f t="shared" si="373"/>
        <v/>
      </c>
    </row>
    <row r="932" spans="1:73">
      <c r="A932" s="1">
        <v>134627</v>
      </c>
      <c r="B932" t="str">
        <f>VLOOKUP($A932,[1]Table!$A$2:$N1091,B$1,FALSE)</f>
        <v>J01DH02</v>
      </c>
      <c r="C932" t="str">
        <f>VLOOKUP($A932,[1]Table!$A$2:$N1091,C$1,FALSE)</f>
        <v>ANTIBACTERIELE MIDDELEN VOOR SYSTEMISCH GEBRUIK</v>
      </c>
      <c r="D932" t="str">
        <f>VLOOKUP($A932,[1]Table!$A$2:$N1091,D$1,FALSE)</f>
        <v>OVERIGE BETALACTAM-ANTIBIOTICA</v>
      </c>
      <c r="E932" t="str">
        <f>VLOOKUP($A932,[1]Table!$A$2:$N1091,E$1,FALSE)</f>
        <v>MEROPENEM</v>
      </c>
      <c r="F932" t="str">
        <f>VLOOKUP($A932,[1]Table!$A$2:$N1091,F$1,FALSE)</f>
        <v>MEROPENEM 500 MG POEDER VOOR INJECTIE</v>
      </c>
      <c r="G932" t="str">
        <f>VLOOKUP($A932,[1]Table!$A$2:$N1091,G$1,FALSE)</f>
        <v>MEROPENEM 500MG PDR INJ/INF</v>
      </c>
      <c r="H932" t="str">
        <f>VLOOKUP($A932,[1]Table!$A$2:$N1091,H$1,FALSE)</f>
        <v>poeder voor injectie/infusieoplossing</v>
      </c>
      <c r="I932" t="str">
        <f>VLOOKUP($A932,[1]Table!$A$2:$N1091,I$1,FALSE)</f>
        <v>iv</v>
      </c>
      <c r="J932">
        <f>VLOOKUP($A932,[1]Table!$A$2:$N1091,J$1,FALSE)</f>
        <v>500</v>
      </c>
      <c r="K932" t="str">
        <f>VLOOKUP($A932,[1]Table!$A$2:$N1091,K$1,FALSE)</f>
        <v>mg/stuk</v>
      </c>
      <c r="L932">
        <f>VLOOKUP($A932,[1]Table!$A$2:$N1091,L$1,FALSE)</f>
        <v>500</v>
      </c>
      <c r="M932" t="str">
        <f>VLOOKUP($A932,[1]Table!$A$2:$N1091,M$1,FALSE)</f>
        <v>mg</v>
      </c>
      <c r="N932" t="str">
        <f>VLOOKUP($A932,[1]Table!$A$2:$N1091,N$1,FALSE)</f>
        <v>Meningitis||Infecties||Infecties bij Cystic Fibrosis</v>
      </c>
      <c r="O932" t="str">
        <f>ConcatenateRange(AZ932:BU932,"||")</f>
        <v>2 x / dag||3 x / dag||24 x / dag</v>
      </c>
      <c r="Q932" s="4">
        <v>60</v>
      </c>
      <c r="R932" s="4">
        <v>120</v>
      </c>
      <c r="T932" s="4">
        <v>40</v>
      </c>
      <c r="U932" s="4">
        <v>60</v>
      </c>
      <c r="V932" s="4">
        <v>6000</v>
      </c>
      <c r="W932" s="4">
        <v>50</v>
      </c>
      <c r="Y932">
        <v>5</v>
      </c>
      <c r="AB932" t="s">
        <v>49</v>
      </c>
      <c r="AC932" t="s">
        <v>49</v>
      </c>
      <c r="AM932" t="s">
        <v>49</v>
      </c>
      <c r="AZ932" t="str">
        <f t="shared" si="352"/>
        <v/>
      </c>
      <c r="BA932" t="str">
        <f t="shared" si="353"/>
        <v>2 x / dag</v>
      </c>
      <c r="BB932" t="str">
        <f t="shared" si="354"/>
        <v>3 x / dag</v>
      </c>
      <c r="BC932" t="str">
        <f t="shared" si="355"/>
        <v/>
      </c>
      <c r="BD932" t="str">
        <f t="shared" si="356"/>
        <v/>
      </c>
      <c r="BE932" t="str">
        <f t="shared" si="357"/>
        <v/>
      </c>
      <c r="BF932" t="str">
        <f t="shared" si="358"/>
        <v/>
      </c>
      <c r="BG932" t="str">
        <f t="shared" si="359"/>
        <v/>
      </c>
      <c r="BH932" t="str">
        <f t="shared" si="360"/>
        <v/>
      </c>
      <c r="BI932" t="str">
        <f t="shared" si="361"/>
        <v/>
      </c>
      <c r="BJ932" t="str">
        <f t="shared" si="362"/>
        <v/>
      </c>
      <c r="BK932" t="str">
        <f t="shared" si="363"/>
        <v/>
      </c>
      <c r="BL932" t="str">
        <f t="shared" si="364"/>
        <v>24 x / dag</v>
      </c>
      <c r="BM932" t="str">
        <f t="shared" si="365"/>
        <v/>
      </c>
      <c r="BN932" t="str">
        <f t="shared" si="366"/>
        <v/>
      </c>
      <c r="BO932" t="str">
        <f t="shared" si="367"/>
        <v/>
      </c>
      <c r="BP932" t="str">
        <f t="shared" si="368"/>
        <v/>
      </c>
      <c r="BQ932" t="str">
        <f t="shared" si="369"/>
        <v/>
      </c>
      <c r="BR932" t="str">
        <f t="shared" si="370"/>
        <v/>
      </c>
      <c r="BS932" t="str">
        <f t="shared" si="371"/>
        <v/>
      </c>
      <c r="BT932" t="str">
        <f t="shared" si="372"/>
        <v/>
      </c>
      <c r="BU932" t="str">
        <f t="shared" si="373"/>
        <v/>
      </c>
    </row>
    <row r="933" spans="1:73">
      <c r="A933" s="1">
        <v>134635</v>
      </c>
      <c r="B933" t="str">
        <f>VLOOKUP($A933,[1]Table!$A$2:$N1092,B$1,FALSE)</f>
        <v>J01DH02</v>
      </c>
      <c r="C933" t="str">
        <f>VLOOKUP($A933,[1]Table!$A$2:$N1092,C$1,FALSE)</f>
        <v>ANTIBACTERIELE MIDDELEN VOOR SYSTEMISCH GEBRUIK</v>
      </c>
      <c r="D933" t="str">
        <f>VLOOKUP($A933,[1]Table!$A$2:$N1092,D$1,FALSE)</f>
        <v>OVERIGE BETALACTAM-ANTIBIOTICA</v>
      </c>
      <c r="E933" t="str">
        <f>VLOOKUP($A933,[1]Table!$A$2:$N1092,E$1,FALSE)</f>
        <v>MEROPENEM</v>
      </c>
      <c r="F933" t="str">
        <f>VLOOKUP($A933,[1]Table!$A$2:$N1092,F$1,FALSE)</f>
        <v>MEROPENEM 1000 MG POEDER VOOR INJECTIE</v>
      </c>
      <c r="G933" t="str">
        <f>VLOOKUP($A933,[1]Table!$A$2:$N1092,G$1,FALSE)</f>
        <v>MEROPENEM 1000MG PD INJ/INF</v>
      </c>
      <c r="H933" t="str">
        <f>VLOOKUP($A933,[1]Table!$A$2:$N1092,H$1,FALSE)</f>
        <v>poeder voor injectie/infusieoplossing</v>
      </c>
      <c r="I933" t="str">
        <f>VLOOKUP($A933,[1]Table!$A$2:$N1092,I$1,FALSE)</f>
        <v>iv</v>
      </c>
      <c r="J933">
        <f>VLOOKUP($A933,[1]Table!$A$2:$N1092,J$1,FALSE)</f>
        <v>1000</v>
      </c>
      <c r="K933" t="str">
        <f>VLOOKUP($A933,[1]Table!$A$2:$N1092,K$1,FALSE)</f>
        <v>mg/stuk</v>
      </c>
      <c r="L933">
        <f>VLOOKUP($A933,[1]Table!$A$2:$N1092,L$1,FALSE)</f>
        <v>1000</v>
      </c>
      <c r="M933" t="str">
        <f>VLOOKUP($A933,[1]Table!$A$2:$N1092,M$1,FALSE)</f>
        <v>mg</v>
      </c>
      <c r="N933" t="str">
        <f>VLOOKUP($A933,[1]Table!$A$2:$N1092,N$1,FALSE)</f>
        <v>Meningitis||Infecties||Infecties bij Cystic Fibrosis</v>
      </c>
      <c r="O933" t="str">
        <f>ConcatenateRange(AZ933:BU933,"||")</f>
        <v>2 x / dag||3 x / dag||24 x / dag</v>
      </c>
      <c r="Q933" s="4">
        <v>60</v>
      </c>
      <c r="R933" s="4">
        <v>120</v>
      </c>
      <c r="T933" s="4">
        <v>40</v>
      </c>
      <c r="U933" s="4">
        <v>60</v>
      </c>
      <c r="V933" s="4">
        <v>6000</v>
      </c>
      <c r="W933" s="4">
        <v>50</v>
      </c>
      <c r="Y933">
        <v>5</v>
      </c>
      <c r="AB933" t="s">
        <v>49</v>
      </c>
      <c r="AC933" t="s">
        <v>49</v>
      </c>
      <c r="AM933" t="s">
        <v>49</v>
      </c>
      <c r="AZ933" t="str">
        <f t="shared" si="352"/>
        <v/>
      </c>
      <c r="BA933" t="str">
        <f t="shared" si="353"/>
        <v>2 x / dag</v>
      </c>
      <c r="BB933" t="str">
        <f t="shared" si="354"/>
        <v>3 x / dag</v>
      </c>
      <c r="BC933" t="str">
        <f t="shared" si="355"/>
        <v/>
      </c>
      <c r="BD933" t="str">
        <f t="shared" si="356"/>
        <v/>
      </c>
      <c r="BE933" t="str">
        <f t="shared" si="357"/>
        <v/>
      </c>
      <c r="BF933" t="str">
        <f t="shared" si="358"/>
        <v/>
      </c>
      <c r="BG933" t="str">
        <f t="shared" si="359"/>
        <v/>
      </c>
      <c r="BH933" t="str">
        <f t="shared" si="360"/>
        <v/>
      </c>
      <c r="BI933" t="str">
        <f t="shared" si="361"/>
        <v/>
      </c>
      <c r="BJ933" t="str">
        <f t="shared" si="362"/>
        <v/>
      </c>
      <c r="BK933" t="str">
        <f t="shared" si="363"/>
        <v/>
      </c>
      <c r="BL933" t="str">
        <f t="shared" si="364"/>
        <v>24 x / dag</v>
      </c>
      <c r="BM933" t="str">
        <f t="shared" si="365"/>
        <v/>
      </c>
      <c r="BN933" t="str">
        <f t="shared" si="366"/>
        <v/>
      </c>
      <c r="BO933" t="str">
        <f t="shared" si="367"/>
        <v/>
      </c>
      <c r="BP933" t="str">
        <f t="shared" si="368"/>
        <v/>
      </c>
      <c r="BQ933" t="str">
        <f t="shared" si="369"/>
        <v/>
      </c>
      <c r="BR933" t="str">
        <f t="shared" si="370"/>
        <v/>
      </c>
      <c r="BS933" t="str">
        <f t="shared" si="371"/>
        <v/>
      </c>
      <c r="BT933" t="str">
        <f t="shared" si="372"/>
        <v/>
      </c>
      <c r="BU933" t="str">
        <f t="shared" si="373"/>
        <v/>
      </c>
    </row>
    <row r="934" spans="1:73">
      <c r="A934" s="1">
        <v>98116</v>
      </c>
      <c r="B934" t="str">
        <f>VLOOKUP($A934,[1]Table!$A$2:$N1093,B$1,FALSE)</f>
        <v>A07EC02</v>
      </c>
      <c r="C934" t="str">
        <f>VLOOKUP($A934,[1]Table!$A$2:$N1093,C$1,FALSE)</f>
        <v>ANTIDIARRHOICA, ANTI-INFLAMM./ANTIMICROBIELE DARMMIDDELEN</v>
      </c>
      <c r="D934" t="str">
        <f>VLOOKUP($A934,[1]Table!$A$2:$N1093,D$1,FALSE)</f>
        <v>ANTI-INFLAMMATOIRE DARMMIDDELEN</v>
      </c>
      <c r="E934" t="str">
        <f>VLOOKUP($A934,[1]Table!$A$2:$N1093,E$1,FALSE)</f>
        <v>MESALAZINE</v>
      </c>
      <c r="F934" t="str">
        <f>VLOOKUP($A934,[1]Table!$A$2:$N1093,F$1,FALSE)</f>
        <v>PENTASA COMPACT GRANULAAT MVA 1G IN SACHET</v>
      </c>
      <c r="G934" t="str">
        <f>VLOOKUP($A934,[1]Table!$A$2:$N1093,G$1,FALSE)</f>
        <v>MESALAZINE 1G GRANULAAT MGA</v>
      </c>
      <c r="H934" t="str">
        <f>VLOOKUP($A934,[1]Table!$A$2:$N1093,H$1,FALSE)</f>
        <v>granulaat met gereguleerde afgifte</v>
      </c>
      <c r="I934" t="str">
        <f>VLOOKUP($A934,[1]Table!$A$2:$N1093,I$1,FALSE)</f>
        <v>or</v>
      </c>
      <c r="J934">
        <f>VLOOKUP($A934,[1]Table!$A$2:$N1093,J$1,FALSE)</f>
        <v>1</v>
      </c>
      <c r="K934" t="str">
        <f>VLOOKUP($A934,[1]Table!$A$2:$N1093,K$1,FALSE)</f>
        <v>gr/stuk</v>
      </c>
      <c r="L934">
        <f>VLOOKUP($A934,[1]Table!$A$2:$N1093,L$1,FALSE)</f>
        <v>1</v>
      </c>
      <c r="M934" t="str">
        <f>VLOOKUP($A934,[1]Table!$A$2:$N1093,M$1,FALSE)</f>
        <v>gr</v>
      </c>
      <c r="N934" t="str">
        <f>VLOOKUP($A934,[1]Table!$A$2:$N1093,N$1,FALSE)</f>
        <v>Colitis ulcerosa, zowel in de acute fase als ter voorkoming van recidieven</v>
      </c>
      <c r="O934" t="str">
        <f>ConcatenateRange(AZ934:BU934,"||")</f>
        <v/>
      </c>
      <c r="AZ934" t="str">
        <f t="shared" si="352"/>
        <v/>
      </c>
      <c r="BA934" t="str">
        <f t="shared" si="353"/>
        <v/>
      </c>
      <c r="BB934" t="str">
        <f t="shared" si="354"/>
        <v/>
      </c>
      <c r="BC934" t="str">
        <f t="shared" si="355"/>
        <v/>
      </c>
      <c r="BD934" t="str">
        <f t="shared" si="356"/>
        <v/>
      </c>
      <c r="BE934" t="str">
        <f t="shared" si="357"/>
        <v/>
      </c>
      <c r="BF934" t="str">
        <f t="shared" si="358"/>
        <v/>
      </c>
      <c r="BG934" t="str">
        <f t="shared" si="359"/>
        <v/>
      </c>
      <c r="BH934" t="str">
        <f t="shared" si="360"/>
        <v/>
      </c>
      <c r="BI934" t="str">
        <f t="shared" si="361"/>
        <v/>
      </c>
      <c r="BJ934" t="str">
        <f t="shared" si="362"/>
        <v/>
      </c>
      <c r="BK934" t="str">
        <f t="shared" si="363"/>
        <v/>
      </c>
      <c r="BL934" t="str">
        <f t="shared" si="364"/>
        <v/>
      </c>
      <c r="BM934" t="str">
        <f t="shared" si="365"/>
        <v/>
      </c>
      <c r="BN934" t="str">
        <f t="shared" si="366"/>
        <v/>
      </c>
      <c r="BO934" t="str">
        <f t="shared" si="367"/>
        <v/>
      </c>
      <c r="BP934" t="str">
        <f t="shared" si="368"/>
        <v/>
      </c>
      <c r="BQ934" t="str">
        <f t="shared" si="369"/>
        <v/>
      </c>
      <c r="BR934" t="str">
        <f t="shared" si="370"/>
        <v/>
      </c>
      <c r="BS934" t="str">
        <f t="shared" si="371"/>
        <v/>
      </c>
      <c r="BT934" t="str">
        <f t="shared" si="372"/>
        <v/>
      </c>
      <c r="BU934" t="str">
        <f t="shared" si="373"/>
        <v/>
      </c>
    </row>
    <row r="935" spans="1:73">
      <c r="A935" s="1">
        <v>117293</v>
      </c>
      <c r="B935" t="str">
        <f>VLOOKUP($A935,[1]Table!$A$2:$N1094,B$1,FALSE)</f>
        <v>A07EC02</v>
      </c>
      <c r="C935" t="str">
        <f>VLOOKUP($A935,[1]Table!$A$2:$N1094,C$1,FALSE)</f>
        <v>ANTIDIARRHOICA, ANTI-INFLAMM./ANTIMICROBIELE DARMMIDDELEN</v>
      </c>
      <c r="D935" t="str">
        <f>VLOOKUP($A935,[1]Table!$A$2:$N1094,D$1,FALSE)</f>
        <v>ANTI-INFLAMMATOIRE DARMMIDDELEN</v>
      </c>
      <c r="E935" t="str">
        <f>VLOOKUP($A935,[1]Table!$A$2:$N1094,E$1,FALSE)</f>
        <v>MESALAZINE</v>
      </c>
      <c r="F935" t="str">
        <f>VLOOKUP($A935,[1]Table!$A$2:$N1094,F$1,FALSE)</f>
        <v>SALOFALK 500 MG GRANULAAT MGA SACHET</v>
      </c>
      <c r="G935" t="str">
        <f>VLOOKUP($A935,[1]Table!$A$2:$N1094,G$1,FALSE)</f>
        <v>MESALAZINE 500MG GRANULAAT</v>
      </c>
      <c r="H935" t="str">
        <f>VLOOKUP($A935,[1]Table!$A$2:$N1094,H$1,FALSE)</f>
        <v>granulaat met gereguleerde afgifte</v>
      </c>
      <c r="I935" t="str">
        <f>VLOOKUP($A935,[1]Table!$A$2:$N1094,I$1,FALSE)</f>
        <v>or</v>
      </c>
      <c r="J935">
        <f>VLOOKUP($A935,[1]Table!$A$2:$N1094,J$1,FALSE)</f>
        <v>500</v>
      </c>
      <c r="K935" t="str">
        <f>VLOOKUP($A935,[1]Table!$A$2:$N1094,K$1,FALSE)</f>
        <v>mg/stuk</v>
      </c>
      <c r="L935">
        <f>VLOOKUP($A935,[1]Table!$A$2:$N1094,L$1,FALSE)</f>
        <v>500</v>
      </c>
      <c r="M935" t="str">
        <f>VLOOKUP($A935,[1]Table!$A$2:$N1094,M$1,FALSE)</f>
        <v>mg</v>
      </c>
      <c r="N935" t="str">
        <f>VLOOKUP($A935,[1]Table!$A$2:$N1094,N$1,FALSE)</f>
        <v>Colitis ulcerosa, zowel in de acute fase als ter voorkoming van recidieven</v>
      </c>
      <c r="O935" t="str">
        <f>ConcatenateRange(AZ935:BU935,"||")</f>
        <v/>
      </c>
      <c r="AZ935" t="str">
        <f t="shared" si="352"/>
        <v/>
      </c>
      <c r="BA935" t="str">
        <f t="shared" si="353"/>
        <v/>
      </c>
      <c r="BB935" t="str">
        <f t="shared" si="354"/>
        <v/>
      </c>
      <c r="BC935" t="str">
        <f t="shared" si="355"/>
        <v/>
      </c>
      <c r="BD935" t="str">
        <f t="shared" si="356"/>
        <v/>
      </c>
      <c r="BE935" t="str">
        <f t="shared" si="357"/>
        <v/>
      </c>
      <c r="BF935" t="str">
        <f t="shared" si="358"/>
        <v/>
      </c>
      <c r="BG935" t="str">
        <f t="shared" si="359"/>
        <v/>
      </c>
      <c r="BH935" t="str">
        <f t="shared" si="360"/>
        <v/>
      </c>
      <c r="BI935" t="str">
        <f t="shared" si="361"/>
        <v/>
      </c>
      <c r="BJ935" t="str">
        <f t="shared" si="362"/>
        <v/>
      </c>
      <c r="BK935" t="str">
        <f t="shared" si="363"/>
        <v/>
      </c>
      <c r="BL935" t="str">
        <f t="shared" si="364"/>
        <v/>
      </c>
      <c r="BM935" t="str">
        <f t="shared" si="365"/>
        <v/>
      </c>
      <c r="BN935" t="str">
        <f t="shared" si="366"/>
        <v/>
      </c>
      <c r="BO935" t="str">
        <f t="shared" si="367"/>
        <v/>
      </c>
      <c r="BP935" t="str">
        <f t="shared" si="368"/>
        <v/>
      </c>
      <c r="BQ935" t="str">
        <f t="shared" si="369"/>
        <v/>
      </c>
      <c r="BR935" t="str">
        <f t="shared" si="370"/>
        <v/>
      </c>
      <c r="BS935" t="str">
        <f t="shared" si="371"/>
        <v/>
      </c>
      <c r="BT935" t="str">
        <f t="shared" si="372"/>
        <v/>
      </c>
      <c r="BU935" t="str">
        <f t="shared" si="373"/>
        <v/>
      </c>
    </row>
    <row r="936" spans="1:73">
      <c r="A936" s="1">
        <v>65684</v>
      </c>
      <c r="B936" t="str">
        <f>VLOOKUP($A936,[1]Table!$A$2:$N1095,B$1,FALSE)</f>
        <v>A07EC02</v>
      </c>
      <c r="C936" t="str">
        <f>VLOOKUP($A936,[1]Table!$A$2:$N1095,C$1,FALSE)</f>
        <v>ANTIDIARRHOICA, ANTI-INFLAMM./ANTIMICROBIELE DARMMIDDELEN</v>
      </c>
      <c r="D936" t="str">
        <f>VLOOKUP($A936,[1]Table!$A$2:$N1095,D$1,FALSE)</f>
        <v>ANTI-INFLAMMATOIRE DARMMIDDELEN</v>
      </c>
      <c r="E936" t="str">
        <f>VLOOKUP($A936,[1]Table!$A$2:$N1095,E$1,FALSE)</f>
        <v>MESALAZINE</v>
      </c>
      <c r="F936" t="str">
        <f>VLOOKUP($A936,[1]Table!$A$2:$N1095,F$1,FALSE)</f>
        <v>PENTASA 10 MG/ML KLYSMA 100 ML</v>
      </c>
      <c r="G936" t="str">
        <f>VLOOKUP($A936,[1]Table!$A$2:$N1095,G$1,FALSE)</f>
        <v>MESALAZINE 10MG/ML KLYSMA</v>
      </c>
      <c r="H936" t="str">
        <f>VLOOKUP($A936,[1]Table!$A$2:$N1095,H$1,FALSE)</f>
        <v>klysma</v>
      </c>
      <c r="I936" t="str">
        <f>VLOOKUP($A936,[1]Table!$A$2:$N1095,I$1,FALSE)</f>
        <v>rect</v>
      </c>
      <c r="J936">
        <f>VLOOKUP($A936,[1]Table!$A$2:$N1095,J$1,FALSE)</f>
        <v>10</v>
      </c>
      <c r="K936" t="str">
        <f>VLOOKUP($A936,[1]Table!$A$2:$N1095,K$1,FALSE)</f>
        <v>mg/ml</v>
      </c>
      <c r="L936">
        <f>VLOOKUP($A936,[1]Table!$A$2:$N1095,L$1,FALSE)</f>
        <v>10</v>
      </c>
      <c r="M936" t="str">
        <f>VLOOKUP($A936,[1]Table!$A$2:$N1095,M$1,FALSE)</f>
        <v>mg</v>
      </c>
      <c r="N936" t="str">
        <f>VLOOKUP($A936,[1]Table!$A$2:$N1095,N$1,FALSE)</f>
        <v>Colitis ulcerosa, zowel in de acute fase als ter voorkoming van recidieven</v>
      </c>
      <c r="O936" t="str">
        <f>ConcatenateRange(AZ936:BU936,"||")</f>
        <v/>
      </c>
      <c r="AZ936" t="str">
        <f t="shared" si="352"/>
        <v/>
      </c>
      <c r="BA936" t="str">
        <f t="shared" si="353"/>
        <v/>
      </c>
      <c r="BB936" t="str">
        <f t="shared" si="354"/>
        <v/>
      </c>
      <c r="BC936" t="str">
        <f t="shared" si="355"/>
        <v/>
      </c>
      <c r="BD936" t="str">
        <f t="shared" si="356"/>
        <v/>
      </c>
      <c r="BE936" t="str">
        <f t="shared" si="357"/>
        <v/>
      </c>
      <c r="BF936" t="str">
        <f t="shared" si="358"/>
        <v/>
      </c>
      <c r="BG936" t="str">
        <f t="shared" si="359"/>
        <v/>
      </c>
      <c r="BH936" t="str">
        <f t="shared" si="360"/>
        <v/>
      </c>
      <c r="BI936" t="str">
        <f t="shared" si="361"/>
        <v/>
      </c>
      <c r="BJ936" t="str">
        <f t="shared" si="362"/>
        <v/>
      </c>
      <c r="BK936" t="str">
        <f t="shared" si="363"/>
        <v/>
      </c>
      <c r="BL936" t="str">
        <f t="shared" si="364"/>
        <v/>
      </c>
      <c r="BM936" t="str">
        <f t="shared" si="365"/>
        <v/>
      </c>
      <c r="BN936" t="str">
        <f t="shared" si="366"/>
        <v/>
      </c>
      <c r="BO936" t="str">
        <f t="shared" si="367"/>
        <v/>
      </c>
      <c r="BP936" t="str">
        <f t="shared" si="368"/>
        <v/>
      </c>
      <c r="BQ936" t="str">
        <f t="shared" si="369"/>
        <v/>
      </c>
      <c r="BR936" t="str">
        <f t="shared" si="370"/>
        <v/>
      </c>
      <c r="BS936" t="str">
        <f t="shared" si="371"/>
        <v/>
      </c>
      <c r="BT936" t="str">
        <f t="shared" si="372"/>
        <v/>
      </c>
      <c r="BU936" t="str">
        <f t="shared" si="373"/>
        <v/>
      </c>
    </row>
    <row r="937" spans="1:73">
      <c r="A937" s="1">
        <v>63509</v>
      </c>
      <c r="B937" t="str">
        <f>VLOOKUP($A937,[1]Table!$A$2:$N1096,B$1,FALSE)</f>
        <v>A07EC02</v>
      </c>
      <c r="C937" t="str">
        <f>VLOOKUP($A937,[1]Table!$A$2:$N1096,C$1,FALSE)</f>
        <v>ANTIDIARRHOICA, ANTI-INFLAMM./ANTIMICROBIELE DARMMIDDELEN</v>
      </c>
      <c r="D937" t="str">
        <f>VLOOKUP($A937,[1]Table!$A$2:$N1096,D$1,FALSE)</f>
        <v>ANTI-INFLAMMATOIRE DARMMIDDELEN</v>
      </c>
      <c r="E937" t="str">
        <f>VLOOKUP($A937,[1]Table!$A$2:$N1096,E$1,FALSE)</f>
        <v>MESALAZINE</v>
      </c>
      <c r="F937" t="str">
        <f>VLOOKUP($A937,[1]Table!$A$2:$N1096,F$1,FALSE)</f>
        <v>SALOFALK 2 G/30G KLYSMA</v>
      </c>
      <c r="G937" t="str">
        <f>VLOOKUP($A937,[1]Table!$A$2:$N1096,G$1,FALSE)</f>
        <v>MESALAZINE 66,7MG/G KLYSMA</v>
      </c>
      <c r="H937" t="str">
        <f>VLOOKUP($A937,[1]Table!$A$2:$N1096,H$1,FALSE)</f>
        <v>klysma</v>
      </c>
      <c r="I937" t="str">
        <f>VLOOKUP($A937,[1]Table!$A$2:$N1096,I$1,FALSE)</f>
        <v>rect</v>
      </c>
      <c r="J937">
        <f>VLOOKUP($A937,[1]Table!$A$2:$N1096,J$1,FALSE)</f>
        <v>66.7</v>
      </c>
      <c r="K937" t="str">
        <f>VLOOKUP($A937,[1]Table!$A$2:$N1096,K$1,FALSE)</f>
        <v>mg/gr</v>
      </c>
      <c r="L937">
        <f>VLOOKUP($A937,[1]Table!$A$2:$N1096,L$1,FALSE)</f>
        <v>66.7</v>
      </c>
      <c r="M937" t="str">
        <f>VLOOKUP($A937,[1]Table!$A$2:$N1096,M$1,FALSE)</f>
        <v>mg</v>
      </c>
      <c r="N937" t="str">
        <f>VLOOKUP($A937,[1]Table!$A$2:$N1096,N$1,FALSE)</f>
        <v>Colitis ulcerosa, zowel in de acute fase als ter voorkoming van recidieven</v>
      </c>
      <c r="O937" t="str">
        <f>ConcatenateRange(AZ937:BU937,"||")</f>
        <v/>
      </c>
      <c r="AZ937" t="str">
        <f t="shared" si="352"/>
        <v/>
      </c>
      <c r="BA937" t="str">
        <f t="shared" si="353"/>
        <v/>
      </c>
      <c r="BB937" t="str">
        <f t="shared" si="354"/>
        <v/>
      </c>
      <c r="BC937" t="str">
        <f t="shared" si="355"/>
        <v/>
      </c>
      <c r="BD937" t="str">
        <f t="shared" si="356"/>
        <v/>
      </c>
      <c r="BE937" t="str">
        <f t="shared" si="357"/>
        <v/>
      </c>
      <c r="BF937" t="str">
        <f t="shared" si="358"/>
        <v/>
      </c>
      <c r="BG937" t="str">
        <f t="shared" si="359"/>
        <v/>
      </c>
      <c r="BH937" t="str">
        <f t="shared" si="360"/>
        <v/>
      </c>
      <c r="BI937" t="str">
        <f t="shared" si="361"/>
        <v/>
      </c>
      <c r="BJ937" t="str">
        <f t="shared" si="362"/>
        <v/>
      </c>
      <c r="BK937" t="str">
        <f t="shared" si="363"/>
        <v/>
      </c>
      <c r="BL937" t="str">
        <f t="shared" si="364"/>
        <v/>
      </c>
      <c r="BM937" t="str">
        <f t="shared" si="365"/>
        <v/>
      </c>
      <c r="BN937" t="str">
        <f t="shared" si="366"/>
        <v/>
      </c>
      <c r="BO937" t="str">
        <f t="shared" si="367"/>
        <v/>
      </c>
      <c r="BP937" t="str">
        <f t="shared" si="368"/>
        <v/>
      </c>
      <c r="BQ937" t="str">
        <f t="shared" si="369"/>
        <v/>
      </c>
      <c r="BR937" t="str">
        <f t="shared" si="370"/>
        <v/>
      </c>
      <c r="BS937" t="str">
        <f t="shared" si="371"/>
        <v/>
      </c>
      <c r="BT937" t="str">
        <f t="shared" si="372"/>
        <v/>
      </c>
      <c r="BU937" t="str">
        <f t="shared" si="373"/>
        <v/>
      </c>
    </row>
    <row r="938" spans="1:73">
      <c r="A938" s="1">
        <v>66095</v>
      </c>
      <c r="B938" t="str">
        <f>VLOOKUP($A938,[1]Table!$A$2:$N1097,B$1,FALSE)</f>
        <v>A07EC02</v>
      </c>
      <c r="C938" t="str">
        <f>VLOOKUP($A938,[1]Table!$A$2:$N1097,C$1,FALSE)</f>
        <v>ANTIDIARRHOICA, ANTI-INFLAMM./ANTIMICROBIELE DARMMIDDELEN</v>
      </c>
      <c r="D938" t="str">
        <f>VLOOKUP($A938,[1]Table!$A$2:$N1097,D$1,FALSE)</f>
        <v>ANTI-INFLAMMATOIRE DARMMIDDELEN</v>
      </c>
      <c r="E938" t="str">
        <f>VLOOKUP($A938,[1]Table!$A$2:$N1097,E$1,FALSE)</f>
        <v>MESALAZINE</v>
      </c>
      <c r="F938" t="str">
        <f>VLOOKUP($A938,[1]Table!$A$2:$N1097,F$1,FALSE)</f>
        <v>SALOFALK 250 MG TABLET MSR</v>
      </c>
      <c r="G938" t="str">
        <f>VLOOKUP($A938,[1]Table!$A$2:$N1097,G$1,FALSE)</f>
        <v>MESALAZINE 250MG TABLET MSR</v>
      </c>
      <c r="H938" t="str">
        <f>VLOOKUP($A938,[1]Table!$A$2:$N1097,H$1,FALSE)</f>
        <v>maagsapresistente tablet</v>
      </c>
      <c r="I938" t="str">
        <f>VLOOKUP($A938,[1]Table!$A$2:$N1097,I$1,FALSE)</f>
        <v>or</v>
      </c>
      <c r="J938">
        <f>VLOOKUP($A938,[1]Table!$A$2:$N1097,J$1,FALSE)</f>
        <v>250</v>
      </c>
      <c r="K938" t="str">
        <f>VLOOKUP($A938,[1]Table!$A$2:$N1097,K$1,FALSE)</f>
        <v>mg/stuk</v>
      </c>
      <c r="L938">
        <f>VLOOKUP($A938,[1]Table!$A$2:$N1097,L$1,FALSE)</f>
        <v>250</v>
      </c>
      <c r="M938" t="str">
        <f>VLOOKUP($A938,[1]Table!$A$2:$N1097,M$1,FALSE)</f>
        <v>mg</v>
      </c>
      <c r="N938" t="str">
        <f>VLOOKUP($A938,[1]Table!$A$2:$N1097,N$1,FALSE)</f>
        <v>Colitis ulcerosa, zowel in de acute fase als ter voorkoming van recidieven</v>
      </c>
      <c r="O938" t="str">
        <f>ConcatenateRange(AZ938:BU938,"||")</f>
        <v/>
      </c>
      <c r="AZ938" t="str">
        <f t="shared" si="352"/>
        <v/>
      </c>
      <c r="BA938" t="str">
        <f t="shared" si="353"/>
        <v/>
      </c>
      <c r="BB938" t="str">
        <f t="shared" si="354"/>
        <v/>
      </c>
      <c r="BC938" t="str">
        <f t="shared" si="355"/>
        <v/>
      </c>
      <c r="BD938" t="str">
        <f t="shared" si="356"/>
        <v/>
      </c>
      <c r="BE938" t="str">
        <f t="shared" si="357"/>
        <v/>
      </c>
      <c r="BF938" t="str">
        <f t="shared" si="358"/>
        <v/>
      </c>
      <c r="BG938" t="str">
        <f t="shared" si="359"/>
        <v/>
      </c>
      <c r="BH938" t="str">
        <f t="shared" si="360"/>
        <v/>
      </c>
      <c r="BI938" t="str">
        <f t="shared" si="361"/>
        <v/>
      </c>
      <c r="BJ938" t="str">
        <f t="shared" si="362"/>
        <v/>
      </c>
      <c r="BK938" t="str">
        <f t="shared" si="363"/>
        <v/>
      </c>
      <c r="BL938" t="str">
        <f t="shared" si="364"/>
        <v/>
      </c>
      <c r="BM938" t="str">
        <f t="shared" si="365"/>
        <v/>
      </c>
      <c r="BN938" t="str">
        <f t="shared" si="366"/>
        <v/>
      </c>
      <c r="BO938" t="str">
        <f t="shared" si="367"/>
        <v/>
      </c>
      <c r="BP938" t="str">
        <f t="shared" si="368"/>
        <v/>
      </c>
      <c r="BQ938" t="str">
        <f t="shared" si="369"/>
        <v/>
      </c>
      <c r="BR938" t="str">
        <f t="shared" si="370"/>
        <v/>
      </c>
      <c r="BS938" t="str">
        <f t="shared" si="371"/>
        <v/>
      </c>
      <c r="BT938" t="str">
        <f t="shared" si="372"/>
        <v/>
      </c>
      <c r="BU938" t="str">
        <f t="shared" si="373"/>
        <v/>
      </c>
    </row>
    <row r="939" spans="1:73">
      <c r="A939" s="1">
        <v>60577</v>
      </c>
      <c r="B939" t="str">
        <f>VLOOKUP($A939,[1]Table!$A$2:$N1098,B$1,FALSE)</f>
        <v>A07EC02</v>
      </c>
      <c r="C939" t="str">
        <f>VLOOKUP($A939,[1]Table!$A$2:$N1098,C$1,FALSE)</f>
        <v>ANTIDIARRHOICA, ANTI-INFLAMM./ANTIMICROBIELE DARMMIDDELEN</v>
      </c>
      <c r="D939" t="str">
        <f>VLOOKUP($A939,[1]Table!$A$2:$N1098,D$1,FALSE)</f>
        <v>ANTI-INFLAMMATOIRE DARMMIDDELEN</v>
      </c>
      <c r="E939" t="str">
        <f>VLOOKUP($A939,[1]Table!$A$2:$N1098,E$1,FALSE)</f>
        <v>MESALAZINE</v>
      </c>
      <c r="F939" t="str">
        <f>VLOOKUP($A939,[1]Table!$A$2:$N1098,F$1,FALSE)</f>
        <v>ASACOL 400 MG TABLET MSR</v>
      </c>
      <c r="G939" t="str">
        <f>VLOOKUP($A939,[1]Table!$A$2:$N1098,G$1,FALSE)</f>
        <v>MESALAZINE 400MG TABLET MSR</v>
      </c>
      <c r="H939" t="str">
        <f>VLOOKUP($A939,[1]Table!$A$2:$N1098,H$1,FALSE)</f>
        <v>maagsapresistente tablet</v>
      </c>
      <c r="I939" t="str">
        <f>VLOOKUP($A939,[1]Table!$A$2:$N1098,I$1,FALSE)</f>
        <v>or</v>
      </c>
      <c r="J939">
        <f>VLOOKUP($A939,[1]Table!$A$2:$N1098,J$1,FALSE)</f>
        <v>400</v>
      </c>
      <c r="K939" t="str">
        <f>VLOOKUP($A939,[1]Table!$A$2:$N1098,K$1,FALSE)</f>
        <v>mg/stuk</v>
      </c>
      <c r="L939">
        <f>VLOOKUP($A939,[1]Table!$A$2:$N1098,L$1,FALSE)</f>
        <v>400</v>
      </c>
      <c r="M939" t="str">
        <f>VLOOKUP($A939,[1]Table!$A$2:$N1098,M$1,FALSE)</f>
        <v>mg</v>
      </c>
      <c r="N939" t="str">
        <f>VLOOKUP($A939,[1]Table!$A$2:$N1098,N$1,FALSE)</f>
        <v>Colitis ulcerosa, zowel in de acute fase als ter voorkoming van recidieven</v>
      </c>
      <c r="O939" t="str">
        <f>ConcatenateRange(AZ939:BU939,"||")</f>
        <v/>
      </c>
      <c r="AZ939" t="str">
        <f t="shared" si="352"/>
        <v/>
      </c>
      <c r="BA939" t="str">
        <f t="shared" si="353"/>
        <v/>
      </c>
      <c r="BB939" t="str">
        <f t="shared" si="354"/>
        <v/>
      </c>
      <c r="BC939" t="str">
        <f t="shared" si="355"/>
        <v/>
      </c>
      <c r="BD939" t="str">
        <f t="shared" si="356"/>
        <v/>
      </c>
      <c r="BE939" t="str">
        <f t="shared" si="357"/>
        <v/>
      </c>
      <c r="BF939" t="str">
        <f t="shared" si="358"/>
        <v/>
      </c>
      <c r="BG939" t="str">
        <f t="shared" si="359"/>
        <v/>
      </c>
      <c r="BH939" t="str">
        <f t="shared" si="360"/>
        <v/>
      </c>
      <c r="BI939" t="str">
        <f t="shared" si="361"/>
        <v/>
      </c>
      <c r="BJ939" t="str">
        <f t="shared" si="362"/>
        <v/>
      </c>
      <c r="BK939" t="str">
        <f t="shared" si="363"/>
        <v/>
      </c>
      <c r="BL939" t="str">
        <f t="shared" si="364"/>
        <v/>
      </c>
      <c r="BM939" t="str">
        <f t="shared" si="365"/>
        <v/>
      </c>
      <c r="BN939" t="str">
        <f t="shared" si="366"/>
        <v/>
      </c>
      <c r="BO939" t="str">
        <f t="shared" si="367"/>
        <v/>
      </c>
      <c r="BP939" t="str">
        <f t="shared" si="368"/>
        <v/>
      </c>
      <c r="BQ939" t="str">
        <f t="shared" si="369"/>
        <v/>
      </c>
      <c r="BR939" t="str">
        <f t="shared" si="370"/>
        <v/>
      </c>
      <c r="BS939" t="str">
        <f t="shared" si="371"/>
        <v/>
      </c>
      <c r="BT939" t="str">
        <f t="shared" si="372"/>
        <v/>
      </c>
      <c r="BU939" t="str">
        <f t="shared" si="373"/>
        <v/>
      </c>
    </row>
    <row r="940" spans="1:73">
      <c r="A940" s="1">
        <v>66494</v>
      </c>
      <c r="B940" t="str">
        <f>VLOOKUP($A940,[1]Table!$A$2:$N1099,B$1,FALSE)</f>
        <v>A07EC02</v>
      </c>
      <c r="C940" t="str">
        <f>VLOOKUP($A940,[1]Table!$A$2:$N1099,C$1,FALSE)</f>
        <v>ANTIDIARRHOICA, ANTI-INFLAMM./ANTIMICROBIELE DARMMIDDELEN</v>
      </c>
      <c r="D940" t="str">
        <f>VLOOKUP($A940,[1]Table!$A$2:$N1099,D$1,FALSE)</f>
        <v>ANTI-INFLAMMATOIRE DARMMIDDELEN</v>
      </c>
      <c r="E940" t="str">
        <f>VLOOKUP($A940,[1]Table!$A$2:$N1099,E$1,FALSE)</f>
        <v>MESALAZINE</v>
      </c>
      <c r="F940" t="str">
        <f>VLOOKUP($A940,[1]Table!$A$2:$N1099,F$1,FALSE)</f>
        <v>SALOFALK 500 MG TABLET MSR</v>
      </c>
      <c r="G940" t="str">
        <f>VLOOKUP($A940,[1]Table!$A$2:$N1099,G$1,FALSE)</f>
        <v>MESALAZINE 500MG TABLET MSR</v>
      </c>
      <c r="H940" t="str">
        <f>VLOOKUP($A940,[1]Table!$A$2:$N1099,H$1,FALSE)</f>
        <v>maagsapresistente tablet</v>
      </c>
      <c r="I940" t="str">
        <f>VLOOKUP($A940,[1]Table!$A$2:$N1099,I$1,FALSE)</f>
        <v>or</v>
      </c>
      <c r="J940">
        <f>VLOOKUP($A940,[1]Table!$A$2:$N1099,J$1,FALSE)</f>
        <v>500</v>
      </c>
      <c r="K940" t="str">
        <f>VLOOKUP($A940,[1]Table!$A$2:$N1099,K$1,FALSE)</f>
        <v>mg/stuk</v>
      </c>
      <c r="L940">
        <f>VLOOKUP($A940,[1]Table!$A$2:$N1099,L$1,FALSE)</f>
        <v>500</v>
      </c>
      <c r="M940" t="str">
        <f>VLOOKUP($A940,[1]Table!$A$2:$N1099,M$1,FALSE)</f>
        <v>mg</v>
      </c>
      <c r="N940" t="str">
        <f>VLOOKUP($A940,[1]Table!$A$2:$N1099,N$1,FALSE)</f>
        <v>Colitis ulcerosa, zowel in de acute fase als ter voorkoming van recidieven</v>
      </c>
      <c r="O940" t="str">
        <f>ConcatenateRange(AZ940:BU940,"||")</f>
        <v/>
      </c>
      <c r="AZ940" t="str">
        <f t="shared" si="352"/>
        <v/>
      </c>
      <c r="BA940" t="str">
        <f t="shared" si="353"/>
        <v/>
      </c>
      <c r="BB940" t="str">
        <f t="shared" si="354"/>
        <v/>
      </c>
      <c r="BC940" t="str">
        <f t="shared" si="355"/>
        <v/>
      </c>
      <c r="BD940" t="str">
        <f t="shared" si="356"/>
        <v/>
      </c>
      <c r="BE940" t="str">
        <f t="shared" si="357"/>
        <v/>
      </c>
      <c r="BF940" t="str">
        <f t="shared" si="358"/>
        <v/>
      </c>
      <c r="BG940" t="str">
        <f t="shared" si="359"/>
        <v/>
      </c>
      <c r="BH940" t="str">
        <f t="shared" si="360"/>
        <v/>
      </c>
      <c r="BI940" t="str">
        <f t="shared" si="361"/>
        <v/>
      </c>
      <c r="BJ940" t="str">
        <f t="shared" si="362"/>
        <v/>
      </c>
      <c r="BK940" t="str">
        <f t="shared" si="363"/>
        <v/>
      </c>
      <c r="BL940" t="str">
        <f t="shared" si="364"/>
        <v/>
      </c>
      <c r="BM940" t="str">
        <f t="shared" si="365"/>
        <v/>
      </c>
      <c r="BN940" t="str">
        <f t="shared" si="366"/>
        <v/>
      </c>
      <c r="BO940" t="str">
        <f t="shared" si="367"/>
        <v/>
      </c>
      <c r="BP940" t="str">
        <f t="shared" si="368"/>
        <v/>
      </c>
      <c r="BQ940" t="str">
        <f t="shared" si="369"/>
        <v/>
      </c>
      <c r="BR940" t="str">
        <f t="shared" si="370"/>
        <v/>
      </c>
      <c r="BS940" t="str">
        <f t="shared" si="371"/>
        <v/>
      </c>
      <c r="BT940" t="str">
        <f t="shared" si="372"/>
        <v/>
      </c>
      <c r="BU940" t="str">
        <f t="shared" si="373"/>
        <v/>
      </c>
    </row>
    <row r="941" spans="1:73">
      <c r="A941" s="1">
        <v>117633</v>
      </c>
      <c r="B941" t="str">
        <f>VLOOKUP($A941,[1]Table!$A$2:$N1100,B$1,FALSE)</f>
        <v>A07EC02</v>
      </c>
      <c r="C941" t="str">
        <f>VLOOKUP($A941,[1]Table!$A$2:$N1100,C$1,FALSE)</f>
        <v>ANTIDIARRHOICA, ANTI-INFLAMM./ANTIMICROBIELE DARMMIDDELEN</v>
      </c>
      <c r="D941" t="str">
        <f>VLOOKUP($A941,[1]Table!$A$2:$N1100,D$1,FALSE)</f>
        <v>ANTI-INFLAMMATOIRE DARMMIDDELEN</v>
      </c>
      <c r="E941" t="str">
        <f>VLOOKUP($A941,[1]Table!$A$2:$N1100,E$1,FALSE)</f>
        <v>MESALAZINE</v>
      </c>
      <c r="F941" t="str">
        <f>VLOOKUP($A941,[1]Table!$A$2:$N1100,F$1,FALSE)</f>
        <v>SALOFALK SCHUIM 1G/DOSIS FLACON 14DOSES</v>
      </c>
      <c r="G941" t="str">
        <f>VLOOKUP($A941,[1]Table!$A$2:$N1100,G$1,FALSE)</f>
        <v>MESALAZINE 1G/DO SCHUIM REC</v>
      </c>
      <c r="H941" t="str">
        <f>VLOOKUP($A941,[1]Table!$A$2:$N1100,H$1,FALSE)</f>
        <v>schuim voor rectaal gebruik</v>
      </c>
      <c r="I941" t="str">
        <f>VLOOKUP($A941,[1]Table!$A$2:$N1100,I$1,FALSE)</f>
        <v>rect</v>
      </c>
      <c r="J941">
        <f>VLOOKUP($A941,[1]Table!$A$2:$N1100,J$1,FALSE)</f>
        <v>1</v>
      </c>
      <c r="K941" t="str">
        <f>VLOOKUP($A941,[1]Table!$A$2:$N1100,K$1,FALSE)</f>
        <v>gr/dose</v>
      </c>
      <c r="L941">
        <f>VLOOKUP($A941,[1]Table!$A$2:$N1100,L$1,FALSE)</f>
        <v>1</v>
      </c>
      <c r="M941" t="str">
        <f>VLOOKUP($A941,[1]Table!$A$2:$N1100,M$1,FALSE)</f>
        <v>gr</v>
      </c>
      <c r="N941" t="str">
        <f>VLOOKUP($A941,[1]Table!$A$2:$N1100,N$1,FALSE)</f>
        <v>Colitis ulcerosa, zowel in de acute fase als ter voorkoming van recidieven</v>
      </c>
      <c r="O941" t="str">
        <f>ConcatenateRange(AZ941:BU941,"||")</f>
        <v/>
      </c>
      <c r="AZ941" t="str">
        <f t="shared" si="352"/>
        <v/>
      </c>
      <c r="BA941" t="str">
        <f t="shared" si="353"/>
        <v/>
      </c>
      <c r="BB941" t="str">
        <f t="shared" si="354"/>
        <v/>
      </c>
      <c r="BC941" t="str">
        <f t="shared" si="355"/>
        <v/>
      </c>
      <c r="BD941" t="str">
        <f t="shared" si="356"/>
        <v/>
      </c>
      <c r="BE941" t="str">
        <f t="shared" si="357"/>
        <v/>
      </c>
      <c r="BF941" t="str">
        <f t="shared" si="358"/>
        <v/>
      </c>
      <c r="BG941" t="str">
        <f t="shared" si="359"/>
        <v/>
      </c>
      <c r="BH941" t="str">
        <f t="shared" si="360"/>
        <v/>
      </c>
      <c r="BI941" t="str">
        <f t="shared" si="361"/>
        <v/>
      </c>
      <c r="BJ941" t="str">
        <f t="shared" si="362"/>
        <v/>
      </c>
      <c r="BK941" t="str">
        <f t="shared" si="363"/>
        <v/>
      </c>
      <c r="BL941" t="str">
        <f t="shared" si="364"/>
        <v/>
      </c>
      <c r="BM941" t="str">
        <f t="shared" si="365"/>
        <v/>
      </c>
      <c r="BN941" t="str">
        <f t="shared" si="366"/>
        <v/>
      </c>
      <c r="BO941" t="str">
        <f t="shared" si="367"/>
        <v/>
      </c>
      <c r="BP941" t="str">
        <f t="shared" si="368"/>
        <v/>
      </c>
      <c r="BQ941" t="str">
        <f t="shared" si="369"/>
        <v/>
      </c>
      <c r="BR941" t="str">
        <f t="shared" si="370"/>
        <v/>
      </c>
      <c r="BS941" t="str">
        <f t="shared" si="371"/>
        <v/>
      </c>
      <c r="BT941" t="str">
        <f t="shared" si="372"/>
        <v/>
      </c>
      <c r="BU941" t="str">
        <f t="shared" si="373"/>
        <v/>
      </c>
    </row>
    <row r="942" spans="1:73">
      <c r="A942" s="1">
        <v>129526</v>
      </c>
      <c r="B942" t="str">
        <f>VLOOKUP($A942,[1]Table!$A$2:$N1101,B$1,FALSE)</f>
        <v>A07EC02</v>
      </c>
      <c r="C942" t="str">
        <f>VLOOKUP($A942,[1]Table!$A$2:$N1101,C$1,FALSE)</f>
        <v>ANTIDIARRHOICA, ANTI-INFLAMM./ANTIMICROBIELE DARMMIDDELEN</v>
      </c>
      <c r="D942" t="str">
        <f>VLOOKUP($A942,[1]Table!$A$2:$N1101,D$1,FALSE)</f>
        <v>ANTI-INFLAMMATOIRE DARMMIDDELEN</v>
      </c>
      <c r="E942" t="str">
        <f>VLOOKUP($A942,[1]Table!$A$2:$N1101,E$1,FALSE)</f>
        <v>MESALAZINE</v>
      </c>
      <c r="F942" t="str">
        <f>VLOOKUP($A942,[1]Table!$A$2:$N1101,F$1,FALSE)</f>
        <v>MEZAVANT 1200 MG TABLET MVA (RETARD)</v>
      </c>
      <c r="G942" t="str">
        <f>VLOOKUP($A942,[1]Table!$A$2:$N1101,G$1,FALSE)</f>
        <v>MESALAZINE 1,2G TAB MGA</v>
      </c>
      <c r="H942" t="str">
        <f>VLOOKUP($A942,[1]Table!$A$2:$N1101,H$1,FALSE)</f>
        <v>tablet met gereguleerde afgifte</v>
      </c>
      <c r="I942" t="str">
        <f>VLOOKUP($A942,[1]Table!$A$2:$N1101,I$1,FALSE)</f>
        <v>or</v>
      </c>
      <c r="J942">
        <f>VLOOKUP($A942,[1]Table!$A$2:$N1101,J$1,FALSE)</f>
        <v>1.2</v>
      </c>
      <c r="K942" t="str">
        <f>VLOOKUP($A942,[1]Table!$A$2:$N1101,K$1,FALSE)</f>
        <v>gr/stuk</v>
      </c>
      <c r="L942">
        <f>VLOOKUP($A942,[1]Table!$A$2:$N1101,L$1,FALSE)</f>
        <v>1.2</v>
      </c>
      <c r="M942" t="str">
        <f>VLOOKUP($A942,[1]Table!$A$2:$N1101,M$1,FALSE)</f>
        <v>gr</v>
      </c>
      <c r="N942" t="str">
        <f>VLOOKUP($A942,[1]Table!$A$2:$N1101,N$1,FALSE)</f>
        <v>Colitis ulcerosa, zowel in de acute fase als ter voorkoming van recidieven</v>
      </c>
      <c r="O942" t="str">
        <f>ConcatenateRange(AZ942:BU942,"||")</f>
        <v/>
      </c>
      <c r="AZ942" t="str">
        <f t="shared" si="352"/>
        <v/>
      </c>
      <c r="BA942" t="str">
        <f t="shared" si="353"/>
        <v/>
      </c>
      <c r="BB942" t="str">
        <f t="shared" si="354"/>
        <v/>
      </c>
      <c r="BC942" t="str">
        <f t="shared" si="355"/>
        <v/>
      </c>
      <c r="BD942" t="str">
        <f t="shared" si="356"/>
        <v/>
      </c>
      <c r="BE942" t="str">
        <f t="shared" si="357"/>
        <v/>
      </c>
      <c r="BF942" t="str">
        <f t="shared" si="358"/>
        <v/>
      </c>
      <c r="BG942" t="str">
        <f t="shared" si="359"/>
        <v/>
      </c>
      <c r="BH942" t="str">
        <f t="shared" si="360"/>
        <v/>
      </c>
      <c r="BI942" t="str">
        <f t="shared" si="361"/>
        <v/>
      </c>
      <c r="BJ942" t="str">
        <f t="shared" si="362"/>
        <v/>
      </c>
      <c r="BK942" t="str">
        <f t="shared" si="363"/>
        <v/>
      </c>
      <c r="BL942" t="str">
        <f t="shared" si="364"/>
        <v/>
      </c>
      <c r="BM942" t="str">
        <f t="shared" si="365"/>
        <v/>
      </c>
      <c r="BN942" t="str">
        <f t="shared" si="366"/>
        <v/>
      </c>
      <c r="BO942" t="str">
        <f t="shared" si="367"/>
        <v/>
      </c>
      <c r="BP942" t="str">
        <f t="shared" si="368"/>
        <v/>
      </c>
      <c r="BQ942" t="str">
        <f t="shared" si="369"/>
        <v/>
      </c>
      <c r="BR942" t="str">
        <f t="shared" si="370"/>
        <v/>
      </c>
      <c r="BS942" t="str">
        <f t="shared" si="371"/>
        <v/>
      </c>
      <c r="BT942" t="str">
        <f t="shared" si="372"/>
        <v/>
      </c>
      <c r="BU942" t="str">
        <f t="shared" si="373"/>
        <v/>
      </c>
    </row>
    <row r="943" spans="1:73">
      <c r="A943" s="1">
        <v>82139</v>
      </c>
      <c r="B943" t="str">
        <f>VLOOKUP($A943,[1]Table!$A$2:$N1102,B$1,FALSE)</f>
        <v>A07EC02</v>
      </c>
      <c r="C943" t="str">
        <f>VLOOKUP($A943,[1]Table!$A$2:$N1102,C$1,FALSE)</f>
        <v>ANTIDIARRHOICA, ANTI-INFLAMM./ANTIMICROBIELE DARMMIDDELEN</v>
      </c>
      <c r="D943" t="str">
        <f>VLOOKUP($A943,[1]Table!$A$2:$N1102,D$1,FALSE)</f>
        <v>ANTI-INFLAMMATOIRE DARMMIDDELEN</v>
      </c>
      <c r="E943" t="s">
        <v>112</v>
      </c>
      <c r="F943" t="str">
        <f>VLOOKUP($A943,[1]Table!$A$2:$N1102,F$1,FALSE)</f>
        <v>PENTASA 500 TABLET MGA (RETARD)</v>
      </c>
      <c r="G943" t="str">
        <f>VLOOKUP($A943,[1]Table!$A$2:$N1102,G$1,FALSE)</f>
        <v>MESALAZINE 500MG TABLET MGA</v>
      </c>
      <c r="H943" t="str">
        <f>VLOOKUP($A943,[1]Table!$A$2:$N1102,H$1,FALSE)</f>
        <v>tablet met gereguleerde afgifte</v>
      </c>
      <c r="I943" t="str">
        <f>VLOOKUP($A943,[1]Table!$A$2:$N1102,I$1,FALSE)</f>
        <v>or</v>
      </c>
      <c r="J943">
        <f>VLOOKUP($A943,[1]Table!$A$2:$N1102,J$1,FALSE)</f>
        <v>500</v>
      </c>
      <c r="K943" t="str">
        <f>VLOOKUP($A943,[1]Table!$A$2:$N1102,K$1,FALSE)</f>
        <v>mg/stuk</v>
      </c>
      <c r="L943">
        <f>VLOOKUP($A943,[1]Table!$A$2:$N1102,L$1,FALSE)</f>
        <v>250</v>
      </c>
      <c r="M943" t="str">
        <f>VLOOKUP($A943,[1]Table!$A$2:$N1102,M$1,FALSE)</f>
        <v>mg</v>
      </c>
      <c r="N943" t="str">
        <f>VLOOKUP($A943,[1]Table!$A$2:$N1102,N$1,FALSE)</f>
        <v>Colitis ulcerosa, zowel in de acute fase als ter voorkoming van recidieven</v>
      </c>
      <c r="O943" t="str">
        <f>ConcatenateRange(AZ943:BU943,"||")</f>
        <v/>
      </c>
      <c r="AZ943" t="str">
        <f t="shared" si="352"/>
        <v/>
      </c>
      <c r="BA943" t="str">
        <f t="shared" si="353"/>
        <v/>
      </c>
      <c r="BB943" t="str">
        <f t="shared" si="354"/>
        <v/>
      </c>
      <c r="BC943" t="str">
        <f t="shared" si="355"/>
        <v/>
      </c>
      <c r="BD943" t="str">
        <f t="shared" si="356"/>
        <v/>
      </c>
      <c r="BE943" t="str">
        <f t="shared" si="357"/>
        <v/>
      </c>
      <c r="BF943" t="str">
        <f t="shared" si="358"/>
        <v/>
      </c>
      <c r="BG943" t="str">
        <f t="shared" si="359"/>
        <v/>
      </c>
      <c r="BH943" t="str">
        <f t="shared" si="360"/>
        <v/>
      </c>
      <c r="BI943" t="str">
        <f t="shared" si="361"/>
        <v/>
      </c>
      <c r="BJ943" t="str">
        <f t="shared" si="362"/>
        <v/>
      </c>
      <c r="BK943" t="str">
        <f t="shared" si="363"/>
        <v/>
      </c>
      <c r="BL943" t="str">
        <f t="shared" si="364"/>
        <v/>
      </c>
      <c r="BM943" t="str">
        <f t="shared" si="365"/>
        <v/>
      </c>
      <c r="BN943" t="str">
        <f t="shared" si="366"/>
        <v/>
      </c>
      <c r="BO943" t="str">
        <f t="shared" si="367"/>
        <v/>
      </c>
      <c r="BP943" t="str">
        <f t="shared" si="368"/>
        <v/>
      </c>
      <c r="BQ943" t="str">
        <f t="shared" si="369"/>
        <v/>
      </c>
      <c r="BR943" t="str">
        <f t="shared" si="370"/>
        <v/>
      </c>
      <c r="BS943" t="str">
        <f t="shared" si="371"/>
        <v/>
      </c>
      <c r="BT943" t="str">
        <f t="shared" si="372"/>
        <v/>
      </c>
      <c r="BU943" t="str">
        <f t="shared" si="373"/>
        <v/>
      </c>
    </row>
    <row r="944" spans="1:73">
      <c r="A944" s="1">
        <v>53023</v>
      </c>
      <c r="B944" t="str">
        <f>VLOOKUP($A944,[1]Table!$A$2:$N1103,B$1,FALSE)</f>
        <v>A07EC02</v>
      </c>
      <c r="C944" t="str">
        <f>VLOOKUP($A944,[1]Table!$A$2:$N1103,C$1,FALSE)</f>
        <v>ANTIDIARRHOICA, ANTI-INFLAMM./ANTIMICROBIELE DARMMIDDELEN</v>
      </c>
      <c r="D944" t="str">
        <f>VLOOKUP($A944,[1]Table!$A$2:$N1103,D$1,FALSE)</f>
        <v>ANTI-INFLAMMATOIRE DARMMIDDELEN</v>
      </c>
      <c r="E944" t="str">
        <f>VLOOKUP($A944,[1]Table!$A$2:$N1103,E$1,FALSE)</f>
        <v>MESALAZINE</v>
      </c>
      <c r="F944" t="str">
        <f>VLOOKUP($A944,[1]Table!$A$2:$N1103,F$1,FALSE)</f>
        <v>SALOFALK 250 MG ZETPIL</v>
      </c>
      <c r="G944" t="str">
        <f>VLOOKUP($A944,[1]Table!$A$2:$N1103,G$1,FALSE)</f>
        <v>MESALAZINE 250MG ZETPIL</v>
      </c>
      <c r="H944" t="str">
        <f>VLOOKUP($A944,[1]Table!$A$2:$N1103,H$1,FALSE)</f>
        <v>zetpil</v>
      </c>
      <c r="I944" t="str">
        <f>VLOOKUP($A944,[1]Table!$A$2:$N1103,I$1,FALSE)</f>
        <v>rect</v>
      </c>
      <c r="J944">
        <f>VLOOKUP($A944,[1]Table!$A$2:$N1103,J$1,FALSE)</f>
        <v>250</v>
      </c>
      <c r="K944" t="str">
        <f>VLOOKUP($A944,[1]Table!$A$2:$N1103,K$1,FALSE)</f>
        <v>mg/stuk</v>
      </c>
      <c r="L944">
        <f>VLOOKUP($A944,[1]Table!$A$2:$N1103,L$1,FALSE)</f>
        <v>250</v>
      </c>
      <c r="M944" t="str">
        <f>VLOOKUP($A944,[1]Table!$A$2:$N1103,M$1,FALSE)</f>
        <v>mg</v>
      </c>
      <c r="N944" t="str">
        <f>VLOOKUP($A944,[1]Table!$A$2:$N1103,N$1,FALSE)</f>
        <v>Colitis ulcerosa, zowel in de acute fase als ter voorkoming van recidieven</v>
      </c>
      <c r="O944" t="str">
        <f>ConcatenateRange(AZ944:BU944,"||")</f>
        <v/>
      </c>
      <c r="AZ944" t="str">
        <f t="shared" si="352"/>
        <v/>
      </c>
      <c r="BA944" t="str">
        <f t="shared" si="353"/>
        <v/>
      </c>
      <c r="BB944" t="str">
        <f t="shared" si="354"/>
        <v/>
      </c>
      <c r="BC944" t="str">
        <f t="shared" si="355"/>
        <v/>
      </c>
      <c r="BD944" t="str">
        <f t="shared" si="356"/>
        <v/>
      </c>
      <c r="BE944" t="str">
        <f t="shared" si="357"/>
        <v/>
      </c>
      <c r="BF944" t="str">
        <f t="shared" si="358"/>
        <v/>
      </c>
      <c r="BG944" t="str">
        <f t="shared" si="359"/>
        <v/>
      </c>
      <c r="BH944" t="str">
        <f t="shared" si="360"/>
        <v/>
      </c>
      <c r="BI944" t="str">
        <f t="shared" si="361"/>
        <v/>
      </c>
      <c r="BJ944" t="str">
        <f t="shared" si="362"/>
        <v/>
      </c>
      <c r="BK944" t="str">
        <f t="shared" si="363"/>
        <v/>
      </c>
      <c r="BL944" t="str">
        <f t="shared" si="364"/>
        <v/>
      </c>
      <c r="BM944" t="str">
        <f t="shared" si="365"/>
        <v/>
      </c>
      <c r="BN944" t="str">
        <f t="shared" si="366"/>
        <v/>
      </c>
      <c r="BO944" t="str">
        <f t="shared" si="367"/>
        <v/>
      </c>
      <c r="BP944" t="str">
        <f t="shared" si="368"/>
        <v/>
      </c>
      <c r="BQ944" t="str">
        <f t="shared" si="369"/>
        <v/>
      </c>
      <c r="BR944" t="str">
        <f t="shared" si="370"/>
        <v/>
      </c>
      <c r="BS944" t="str">
        <f t="shared" si="371"/>
        <v/>
      </c>
      <c r="BT944" t="str">
        <f t="shared" si="372"/>
        <v/>
      </c>
      <c r="BU944" t="str">
        <f t="shared" si="373"/>
        <v/>
      </c>
    </row>
    <row r="945" spans="1:73">
      <c r="A945" s="1">
        <v>63827</v>
      </c>
      <c r="B945" t="str">
        <f>VLOOKUP($A945,[1]Table!$A$2:$N1104,B$1,FALSE)</f>
        <v>A07EC02</v>
      </c>
      <c r="C945" t="str">
        <f>VLOOKUP($A945,[1]Table!$A$2:$N1104,C$1,FALSE)</f>
        <v>ANTIDIARRHOICA, ANTI-INFLAMM./ANTIMICROBIELE DARMMIDDELEN</v>
      </c>
      <c r="D945" t="str">
        <f>VLOOKUP($A945,[1]Table!$A$2:$N1104,D$1,FALSE)</f>
        <v>ANTI-INFLAMMATOIRE DARMMIDDELEN</v>
      </c>
      <c r="E945" t="str">
        <f>VLOOKUP($A945,[1]Table!$A$2:$N1104,E$1,FALSE)</f>
        <v>MESALAZINE</v>
      </c>
      <c r="F945" t="str">
        <f>VLOOKUP($A945,[1]Table!$A$2:$N1104,F$1,FALSE)</f>
        <v>SALOFALK 500 MG ZETPIL</v>
      </c>
      <c r="G945" t="str">
        <f>VLOOKUP($A945,[1]Table!$A$2:$N1104,G$1,FALSE)</f>
        <v>MESALAZINE 500MG ZETPIL</v>
      </c>
      <c r="H945" t="str">
        <f>VLOOKUP($A945,[1]Table!$A$2:$N1104,H$1,FALSE)</f>
        <v>zetpil</v>
      </c>
      <c r="I945" t="str">
        <f>VLOOKUP($A945,[1]Table!$A$2:$N1104,I$1,FALSE)</f>
        <v>rect</v>
      </c>
      <c r="J945">
        <f>VLOOKUP($A945,[1]Table!$A$2:$N1104,J$1,FALSE)</f>
        <v>500</v>
      </c>
      <c r="K945" t="str">
        <f>VLOOKUP($A945,[1]Table!$A$2:$N1104,K$1,FALSE)</f>
        <v>mg/stuk</v>
      </c>
      <c r="L945">
        <f>VLOOKUP($A945,[1]Table!$A$2:$N1104,L$1,FALSE)</f>
        <v>500</v>
      </c>
      <c r="M945" t="str">
        <f>VLOOKUP($A945,[1]Table!$A$2:$N1104,M$1,FALSE)</f>
        <v>mg</v>
      </c>
      <c r="N945" t="str">
        <f>VLOOKUP($A945,[1]Table!$A$2:$N1104,N$1,FALSE)</f>
        <v>Colitis ulcerosa, zowel in de acute fase als ter voorkoming van recidieven</v>
      </c>
      <c r="O945" t="str">
        <f>ConcatenateRange(AZ945:BU945,"||")</f>
        <v/>
      </c>
      <c r="AZ945" t="str">
        <f t="shared" si="352"/>
        <v/>
      </c>
      <c r="BA945" t="str">
        <f t="shared" si="353"/>
        <v/>
      </c>
      <c r="BB945" t="str">
        <f t="shared" si="354"/>
        <v/>
      </c>
      <c r="BC945" t="str">
        <f t="shared" si="355"/>
        <v/>
      </c>
      <c r="BD945" t="str">
        <f t="shared" si="356"/>
        <v/>
      </c>
      <c r="BE945" t="str">
        <f t="shared" si="357"/>
        <v/>
      </c>
      <c r="BF945" t="str">
        <f t="shared" si="358"/>
        <v/>
      </c>
      <c r="BG945" t="str">
        <f t="shared" si="359"/>
        <v/>
      </c>
      <c r="BH945" t="str">
        <f t="shared" si="360"/>
        <v/>
      </c>
      <c r="BI945" t="str">
        <f t="shared" si="361"/>
        <v/>
      </c>
      <c r="BJ945" t="str">
        <f t="shared" si="362"/>
        <v/>
      </c>
      <c r="BK945" t="str">
        <f t="shared" si="363"/>
        <v/>
      </c>
      <c r="BL945" t="str">
        <f t="shared" si="364"/>
        <v/>
      </c>
      <c r="BM945" t="str">
        <f t="shared" si="365"/>
        <v/>
      </c>
      <c r="BN945" t="str">
        <f t="shared" si="366"/>
        <v/>
      </c>
      <c r="BO945" t="str">
        <f t="shared" si="367"/>
        <v/>
      </c>
      <c r="BP945" t="str">
        <f t="shared" si="368"/>
        <v/>
      </c>
      <c r="BQ945" t="str">
        <f t="shared" si="369"/>
        <v/>
      </c>
      <c r="BR945" t="str">
        <f t="shared" si="370"/>
        <v/>
      </c>
      <c r="BS945" t="str">
        <f t="shared" si="371"/>
        <v/>
      </c>
      <c r="BT945" t="str">
        <f t="shared" si="372"/>
        <v/>
      </c>
      <c r="BU945" t="str">
        <f t="shared" si="373"/>
        <v/>
      </c>
    </row>
    <row r="946" spans="1:73">
      <c r="A946" s="1">
        <v>3816</v>
      </c>
      <c r="B946" t="str">
        <f>VLOOKUP($A946,[1]Table!$A$2:$N1105,B$1,FALSE)</f>
        <v>A10BA02</v>
      </c>
      <c r="C946" t="str">
        <f>VLOOKUP($A946,[1]Table!$A$2:$N1105,C$1,FALSE)</f>
        <v>DIABETESMIDDELEN</v>
      </c>
      <c r="D946" t="str">
        <f>VLOOKUP($A946,[1]Table!$A$2:$N1105,D$1,FALSE)</f>
        <v>BLOEDGLUCOSEVERLAGENDE MIDDELEN EXCL. INSULINES</v>
      </c>
      <c r="E946" t="str">
        <f>VLOOKUP($A946,[1]Table!$A$2:$N1105,E$1,FALSE)</f>
        <v>METFORMINE</v>
      </c>
      <c r="F946" t="str">
        <f>VLOOKUP($A946,[1]Table!$A$2:$N1105,F$1,FALSE)</f>
        <v>METFORMINE 500MG TABLET</v>
      </c>
      <c r="G946" t="str">
        <f>VLOOKUP($A946,[1]Table!$A$2:$N1105,G$1,FALSE)</f>
        <v>METFORMINE 500MG TABLET</v>
      </c>
      <c r="H946" t="str">
        <f>VLOOKUP($A946,[1]Table!$A$2:$N1105,H$1,FALSE)</f>
        <v>tablet</v>
      </c>
      <c r="I946" t="str">
        <f>VLOOKUP($A946,[1]Table!$A$2:$N1105,I$1,FALSE)</f>
        <v>or</v>
      </c>
      <c r="J946">
        <f>VLOOKUP($A946,[1]Table!$A$2:$N1105,J$1,FALSE)</f>
        <v>500</v>
      </c>
      <c r="K946" t="str">
        <f>VLOOKUP($A946,[1]Table!$A$2:$N1105,K$1,FALSE)</f>
        <v>mg/stuk</v>
      </c>
      <c r="L946">
        <f>VLOOKUP($A946,[1]Table!$A$2:$N1105,L$1,FALSE)</f>
        <v>500</v>
      </c>
      <c r="M946" t="str">
        <f>VLOOKUP($A946,[1]Table!$A$2:$N1105,M$1,FALSE)</f>
        <v>mg</v>
      </c>
      <c r="N946" t="str">
        <f>VLOOKUP($A946,[1]Table!$A$2:$N1105,N$1,FALSE)</f>
        <v>Diabetes type II</v>
      </c>
      <c r="O946" t="str">
        <f>ConcatenateRange(AZ946:BU946,"||")</f>
        <v/>
      </c>
      <c r="AZ946" t="str">
        <f t="shared" si="352"/>
        <v/>
      </c>
      <c r="BA946" t="str">
        <f t="shared" si="353"/>
        <v/>
      </c>
      <c r="BB946" t="str">
        <f t="shared" si="354"/>
        <v/>
      </c>
      <c r="BC946" t="str">
        <f t="shared" si="355"/>
        <v/>
      </c>
      <c r="BD946" t="str">
        <f t="shared" si="356"/>
        <v/>
      </c>
      <c r="BE946" t="str">
        <f t="shared" si="357"/>
        <v/>
      </c>
      <c r="BF946" t="str">
        <f t="shared" si="358"/>
        <v/>
      </c>
      <c r="BG946" t="str">
        <f t="shared" si="359"/>
        <v/>
      </c>
      <c r="BH946" t="str">
        <f t="shared" si="360"/>
        <v/>
      </c>
      <c r="BI946" t="str">
        <f t="shared" si="361"/>
        <v/>
      </c>
      <c r="BJ946" t="str">
        <f t="shared" si="362"/>
        <v/>
      </c>
      <c r="BK946" t="str">
        <f t="shared" si="363"/>
        <v/>
      </c>
      <c r="BL946" t="str">
        <f t="shared" si="364"/>
        <v/>
      </c>
      <c r="BM946" t="str">
        <f t="shared" si="365"/>
        <v/>
      </c>
      <c r="BN946" t="str">
        <f t="shared" si="366"/>
        <v/>
      </c>
      <c r="BO946" t="str">
        <f t="shared" si="367"/>
        <v/>
      </c>
      <c r="BP946" t="str">
        <f t="shared" si="368"/>
        <v/>
      </c>
      <c r="BQ946" t="str">
        <f t="shared" si="369"/>
        <v/>
      </c>
      <c r="BR946" t="str">
        <f t="shared" si="370"/>
        <v/>
      </c>
      <c r="BS946" t="str">
        <f t="shared" si="371"/>
        <v/>
      </c>
      <c r="BT946" t="str">
        <f t="shared" si="372"/>
        <v/>
      </c>
      <c r="BU946" t="str">
        <f t="shared" si="373"/>
        <v/>
      </c>
    </row>
    <row r="947" spans="1:73">
      <c r="A947" s="1">
        <v>15865</v>
      </c>
      <c r="B947" t="str">
        <f>VLOOKUP($A947,[1]Table!$A$2:$N1106,B$1,FALSE)</f>
        <v>A10BA02</v>
      </c>
      <c r="C947" t="str">
        <f>VLOOKUP($A947,[1]Table!$A$2:$N1106,C$1,FALSE)</f>
        <v>DIABETESMIDDELEN</v>
      </c>
      <c r="D947" t="str">
        <f>VLOOKUP($A947,[1]Table!$A$2:$N1106,D$1,FALSE)</f>
        <v>BLOEDGLUCOSEVERLAGENDE MIDDELEN EXCL. INSULINES</v>
      </c>
      <c r="E947" t="str">
        <f>VLOOKUP($A947,[1]Table!$A$2:$N1106,E$1,FALSE)</f>
        <v>METFORMINE</v>
      </c>
      <c r="F947" t="str">
        <f>VLOOKUP($A947,[1]Table!$A$2:$N1106,F$1,FALSE)</f>
        <v>METFORMINE HCL 850 MG TABLET</v>
      </c>
      <c r="G947" t="str">
        <f>VLOOKUP($A947,[1]Table!$A$2:$N1106,G$1,FALSE)</f>
        <v>METFORMINE 850MG TABLET</v>
      </c>
      <c r="H947" t="str">
        <f>VLOOKUP($A947,[1]Table!$A$2:$N1106,H$1,FALSE)</f>
        <v>tablet</v>
      </c>
      <c r="I947" t="str">
        <f>VLOOKUP($A947,[1]Table!$A$2:$N1106,I$1,FALSE)</f>
        <v>or</v>
      </c>
      <c r="J947">
        <f>VLOOKUP($A947,[1]Table!$A$2:$N1106,J$1,FALSE)</f>
        <v>850</v>
      </c>
      <c r="K947" t="str">
        <f>VLOOKUP($A947,[1]Table!$A$2:$N1106,K$1,FALSE)</f>
        <v>mg/stuk</v>
      </c>
      <c r="L947">
        <f>VLOOKUP($A947,[1]Table!$A$2:$N1106,L$1,FALSE)</f>
        <v>850</v>
      </c>
      <c r="M947" t="str">
        <f>VLOOKUP($A947,[1]Table!$A$2:$N1106,M$1,FALSE)</f>
        <v>mg</v>
      </c>
      <c r="N947" t="str">
        <f>VLOOKUP($A947,[1]Table!$A$2:$N1106,N$1,FALSE)</f>
        <v>Diabetes type II</v>
      </c>
      <c r="O947" t="str">
        <f>ConcatenateRange(AZ947:BU947,"||")</f>
        <v/>
      </c>
      <c r="AZ947" t="str">
        <f t="shared" si="352"/>
        <v/>
      </c>
      <c r="BA947" t="str">
        <f t="shared" si="353"/>
        <v/>
      </c>
      <c r="BB947" t="str">
        <f t="shared" si="354"/>
        <v/>
      </c>
      <c r="BC947" t="str">
        <f t="shared" si="355"/>
        <v/>
      </c>
      <c r="BD947" t="str">
        <f t="shared" si="356"/>
        <v/>
      </c>
      <c r="BE947" t="str">
        <f t="shared" si="357"/>
        <v/>
      </c>
      <c r="BF947" t="str">
        <f t="shared" si="358"/>
        <v/>
      </c>
      <c r="BG947" t="str">
        <f t="shared" si="359"/>
        <v/>
      </c>
      <c r="BH947" t="str">
        <f t="shared" si="360"/>
        <v/>
      </c>
      <c r="BI947" t="str">
        <f t="shared" si="361"/>
        <v/>
      </c>
      <c r="BJ947" t="str">
        <f t="shared" si="362"/>
        <v/>
      </c>
      <c r="BK947" t="str">
        <f t="shared" si="363"/>
        <v/>
      </c>
      <c r="BL947" t="str">
        <f t="shared" si="364"/>
        <v/>
      </c>
      <c r="BM947" t="str">
        <f t="shared" si="365"/>
        <v/>
      </c>
      <c r="BN947" t="str">
        <f t="shared" si="366"/>
        <v/>
      </c>
      <c r="BO947" t="str">
        <f t="shared" si="367"/>
        <v/>
      </c>
      <c r="BP947" t="str">
        <f t="shared" si="368"/>
        <v/>
      </c>
      <c r="BQ947" t="str">
        <f t="shared" si="369"/>
        <v/>
      </c>
      <c r="BR947" t="str">
        <f t="shared" si="370"/>
        <v/>
      </c>
      <c r="BS947" t="str">
        <f t="shared" si="371"/>
        <v/>
      </c>
      <c r="BT947" t="str">
        <f t="shared" si="372"/>
        <v/>
      </c>
      <c r="BU947" t="str">
        <f t="shared" si="373"/>
        <v/>
      </c>
    </row>
    <row r="948" spans="1:73">
      <c r="A948" s="1">
        <v>114421</v>
      </c>
      <c r="B948" t="str">
        <f>VLOOKUP($A948,[1]Table!$A$2:$N1107,B$1,FALSE)</f>
        <v>A10BA02</v>
      </c>
      <c r="C948" t="str">
        <f>VLOOKUP($A948,[1]Table!$A$2:$N1107,C$1,FALSE)</f>
        <v>DIABETESMIDDELEN</v>
      </c>
      <c r="D948" t="str">
        <f>VLOOKUP($A948,[1]Table!$A$2:$N1107,D$1,FALSE)</f>
        <v>BLOEDGLUCOSEVERLAGENDE MIDDELEN EXCL. INSULINES</v>
      </c>
      <c r="E948" t="str">
        <f>VLOOKUP($A948,[1]Table!$A$2:$N1107,E$1,FALSE)</f>
        <v>METFORMINE</v>
      </c>
      <c r="F948" t="str">
        <f>VLOOKUP($A948,[1]Table!$A$2:$N1107,F$1,FALSE)</f>
        <v>METFORMINE 1000 MG TABLET</v>
      </c>
      <c r="G948" t="str">
        <f>VLOOKUP($A948,[1]Table!$A$2:$N1107,G$1,FALSE)</f>
        <v>METFORMINE 1000MG TABLET</v>
      </c>
      <c r="H948" t="str">
        <f>VLOOKUP($A948,[1]Table!$A$2:$N1107,H$1,FALSE)</f>
        <v>tablet</v>
      </c>
      <c r="I948" t="str">
        <f>VLOOKUP($A948,[1]Table!$A$2:$N1107,I$1,FALSE)</f>
        <v>or</v>
      </c>
      <c r="J948">
        <f>VLOOKUP($A948,[1]Table!$A$2:$N1107,J$1,FALSE)</f>
        <v>1000</v>
      </c>
      <c r="K948" t="str">
        <f>VLOOKUP($A948,[1]Table!$A$2:$N1107,K$1,FALSE)</f>
        <v>mg/stuk</v>
      </c>
      <c r="L948">
        <f>VLOOKUP($A948,[1]Table!$A$2:$N1107,L$1,FALSE)</f>
        <v>500</v>
      </c>
      <c r="M948" t="str">
        <f>VLOOKUP($A948,[1]Table!$A$2:$N1107,M$1,FALSE)</f>
        <v>mg</v>
      </c>
      <c r="N948" t="str">
        <f>VLOOKUP($A948,[1]Table!$A$2:$N1107,N$1,FALSE)</f>
        <v>Diabetes type II</v>
      </c>
      <c r="O948" t="str">
        <f>ConcatenateRange(AZ948:BU948,"||")</f>
        <v/>
      </c>
      <c r="AZ948" t="str">
        <f t="shared" si="352"/>
        <v/>
      </c>
      <c r="BA948" t="str">
        <f t="shared" si="353"/>
        <v/>
      </c>
      <c r="BB948" t="str">
        <f t="shared" si="354"/>
        <v/>
      </c>
      <c r="BC948" t="str">
        <f t="shared" si="355"/>
        <v/>
      </c>
      <c r="BD948" t="str">
        <f t="shared" si="356"/>
        <v/>
      </c>
      <c r="BE948" t="str">
        <f t="shared" si="357"/>
        <v/>
      </c>
      <c r="BF948" t="str">
        <f t="shared" si="358"/>
        <v/>
      </c>
      <c r="BG948" t="str">
        <f t="shared" si="359"/>
        <v/>
      </c>
      <c r="BH948" t="str">
        <f t="shared" si="360"/>
        <v/>
      </c>
      <c r="BI948" t="str">
        <f t="shared" si="361"/>
        <v/>
      </c>
      <c r="BJ948" t="str">
        <f t="shared" si="362"/>
        <v/>
      </c>
      <c r="BK948" t="str">
        <f t="shared" si="363"/>
        <v/>
      </c>
      <c r="BL948" t="str">
        <f t="shared" si="364"/>
        <v/>
      </c>
      <c r="BM948" t="str">
        <f t="shared" si="365"/>
        <v/>
      </c>
      <c r="BN948" t="str">
        <f t="shared" si="366"/>
        <v/>
      </c>
      <c r="BO948" t="str">
        <f t="shared" si="367"/>
        <v/>
      </c>
      <c r="BP948" t="str">
        <f t="shared" si="368"/>
        <v/>
      </c>
      <c r="BQ948" t="str">
        <f t="shared" si="369"/>
        <v/>
      </c>
      <c r="BR948" t="str">
        <f t="shared" si="370"/>
        <v/>
      </c>
      <c r="BS948" t="str">
        <f t="shared" si="371"/>
        <v/>
      </c>
      <c r="BT948" t="str">
        <f t="shared" si="372"/>
        <v/>
      </c>
      <c r="BU948" t="str">
        <f t="shared" si="373"/>
        <v/>
      </c>
    </row>
    <row r="949" spans="1:73">
      <c r="A949" s="1">
        <v>120316</v>
      </c>
      <c r="B949" t="str">
        <f>VLOOKUP($A949,[1]Table!$A$2:$N1108,B$1,FALSE)</f>
        <v>N07BC02</v>
      </c>
      <c r="C949" t="str">
        <f>VLOOKUP($A949,[1]Table!$A$2:$N1108,C$1,FALSE)</f>
        <v>OVERIGE MIDDELEN WERKZAAM OP HET ZENUWSTELSEL</v>
      </c>
      <c r="D949" t="str">
        <f>VLOOKUP($A949,[1]Table!$A$2:$N1108,D$1,FALSE)</f>
        <v>MIDDELEN BIJ VERSLAVINGEN</v>
      </c>
      <c r="E949" t="str">
        <f>VLOOKUP($A949,[1]Table!$A$2:$N1108,E$1,FALSE)</f>
        <v>METHADON</v>
      </c>
      <c r="F949" t="str">
        <f>VLOOKUP($A949,[1]Table!$A$2:$N1108,F$1,FALSE)</f>
        <v>METHADON 5 MG/ML DRANK 100 ML</v>
      </c>
      <c r="G949" t="str">
        <f>VLOOKUP($A949,[1]Table!$A$2:$N1108,G$1,FALSE)</f>
        <v>METHADON 5MG/ML DRANK</v>
      </c>
      <c r="H949" t="str">
        <f>VLOOKUP($A949,[1]Table!$A$2:$N1108,H$1,FALSE)</f>
        <v>drank</v>
      </c>
      <c r="I949" t="str">
        <f>VLOOKUP($A949,[1]Table!$A$2:$N1108,I$1,FALSE)</f>
        <v>or</v>
      </c>
      <c r="J949">
        <f>VLOOKUP($A949,[1]Table!$A$2:$N1108,J$1,FALSE)</f>
        <v>5</v>
      </c>
      <c r="K949" t="str">
        <f>VLOOKUP($A949,[1]Table!$A$2:$N1108,K$1,FALSE)</f>
        <v>mg/ml</v>
      </c>
      <c r="L949">
        <f>VLOOKUP($A949,[1]Table!$A$2:$N1108,L$1,FALSE)</f>
        <v>5</v>
      </c>
      <c r="M949" t="str">
        <f>VLOOKUP($A949,[1]Table!$A$2:$N1108,M$1,FALSE)</f>
        <v>mg</v>
      </c>
      <c r="N949" t="str">
        <f>VLOOKUP($A949,[1]Table!$A$2:$N1108,N$1,FALSE)</f>
        <v>Pijnbestrijding||Ontwenning van opiaten</v>
      </c>
      <c r="O949" t="str">
        <f>ConcatenateRange(AZ949:BU949,"||")</f>
        <v/>
      </c>
      <c r="AZ949" t="str">
        <f t="shared" si="352"/>
        <v/>
      </c>
      <c r="BA949" t="str">
        <f t="shared" si="353"/>
        <v/>
      </c>
      <c r="BB949" t="str">
        <f t="shared" si="354"/>
        <v/>
      </c>
      <c r="BC949" t="str">
        <f t="shared" si="355"/>
        <v/>
      </c>
      <c r="BD949" t="str">
        <f t="shared" si="356"/>
        <v/>
      </c>
      <c r="BE949" t="str">
        <f t="shared" si="357"/>
        <v/>
      </c>
      <c r="BF949" t="str">
        <f t="shared" si="358"/>
        <v/>
      </c>
      <c r="BG949" t="str">
        <f t="shared" si="359"/>
        <v/>
      </c>
      <c r="BH949" t="str">
        <f t="shared" si="360"/>
        <v/>
      </c>
      <c r="BI949" t="str">
        <f t="shared" si="361"/>
        <v/>
      </c>
      <c r="BJ949" t="str">
        <f t="shared" si="362"/>
        <v/>
      </c>
      <c r="BK949" t="str">
        <f t="shared" si="363"/>
        <v/>
      </c>
      <c r="BL949" t="str">
        <f t="shared" si="364"/>
        <v/>
      </c>
      <c r="BM949" t="str">
        <f t="shared" si="365"/>
        <v/>
      </c>
      <c r="BN949" t="str">
        <f t="shared" si="366"/>
        <v/>
      </c>
      <c r="BO949" t="str">
        <f t="shared" si="367"/>
        <v/>
      </c>
      <c r="BP949" t="str">
        <f t="shared" si="368"/>
        <v/>
      </c>
      <c r="BQ949" t="str">
        <f t="shared" si="369"/>
        <v/>
      </c>
      <c r="BR949" t="str">
        <f t="shared" si="370"/>
        <v/>
      </c>
      <c r="BS949" t="str">
        <f t="shared" si="371"/>
        <v/>
      </c>
      <c r="BT949" t="str">
        <f t="shared" si="372"/>
        <v/>
      </c>
      <c r="BU949" t="str">
        <f t="shared" si="373"/>
        <v/>
      </c>
    </row>
    <row r="950" spans="1:73">
      <c r="A950" s="1">
        <v>1368</v>
      </c>
      <c r="B950" t="str">
        <f>VLOOKUP($A950,[1]Table!$A$2:$N1109,B$1,FALSE)</f>
        <v>N07BC02</v>
      </c>
      <c r="C950" t="str">
        <f>VLOOKUP($A950,[1]Table!$A$2:$N1109,C$1,FALSE)</f>
        <v>OVERIGE MIDDELEN WERKZAAM OP HET ZENUWSTELSEL</v>
      </c>
      <c r="D950" t="str">
        <f>VLOOKUP($A950,[1]Table!$A$2:$N1109,D$1,FALSE)</f>
        <v>MIDDELEN BIJ VERSLAVINGEN</v>
      </c>
      <c r="E950" t="str">
        <f>VLOOKUP($A950,[1]Table!$A$2:$N1109,E$1,FALSE)</f>
        <v>METHADON</v>
      </c>
      <c r="F950" t="str">
        <f>VLOOKUP($A950,[1]Table!$A$2:$N1109,F$1,FALSE)</f>
        <v>METHADON 10 MG/ML AMPUL 1ML INJVLST</v>
      </c>
      <c r="G950" t="str">
        <f>VLOOKUP($A950,[1]Table!$A$2:$N1109,G$1,FALSE)</f>
        <v>METHADON 10MG/ML INJVLST</v>
      </c>
      <c r="H950" t="str">
        <f>VLOOKUP($A950,[1]Table!$A$2:$N1109,H$1,FALSE)</f>
        <v>injectievloeistof</v>
      </c>
      <c r="I950" t="str">
        <f>VLOOKUP($A950,[1]Table!$A$2:$N1109,I$1,FALSE)</f>
        <v>im||iv||sc</v>
      </c>
      <c r="J950">
        <f>VLOOKUP($A950,[1]Table!$A$2:$N1109,J$1,FALSE)</f>
        <v>10</v>
      </c>
      <c r="K950" t="str">
        <f>VLOOKUP($A950,[1]Table!$A$2:$N1109,K$1,FALSE)</f>
        <v>mg/ml</v>
      </c>
      <c r="L950">
        <f>VLOOKUP($A950,[1]Table!$A$2:$N1109,L$1,FALSE)</f>
        <v>10</v>
      </c>
      <c r="M950" t="str">
        <f>VLOOKUP($A950,[1]Table!$A$2:$N1109,M$1,FALSE)</f>
        <v>mg</v>
      </c>
      <c r="N950" t="str">
        <f>VLOOKUP($A950,[1]Table!$A$2:$N1109,N$1,FALSE)</f>
        <v>Pijnbestrijding||Ontwenning van opiaten</v>
      </c>
      <c r="O950" t="str">
        <f>ConcatenateRange(AZ950:BU950,"||")</f>
        <v/>
      </c>
      <c r="AZ950" t="str">
        <f t="shared" si="352"/>
        <v/>
      </c>
      <c r="BA950" t="str">
        <f t="shared" si="353"/>
        <v/>
      </c>
      <c r="BB950" t="str">
        <f t="shared" si="354"/>
        <v/>
      </c>
      <c r="BC950" t="str">
        <f t="shared" si="355"/>
        <v/>
      </c>
      <c r="BD950" t="str">
        <f t="shared" si="356"/>
        <v/>
      </c>
      <c r="BE950" t="str">
        <f t="shared" si="357"/>
        <v/>
      </c>
      <c r="BF950" t="str">
        <f t="shared" si="358"/>
        <v/>
      </c>
      <c r="BG950" t="str">
        <f t="shared" si="359"/>
        <v/>
      </c>
      <c r="BH950" t="str">
        <f t="shared" si="360"/>
        <v/>
      </c>
      <c r="BI950" t="str">
        <f t="shared" si="361"/>
        <v/>
      </c>
      <c r="BJ950" t="str">
        <f t="shared" si="362"/>
        <v/>
      </c>
      <c r="BK950" t="str">
        <f t="shared" si="363"/>
        <v/>
      </c>
      <c r="BL950" t="str">
        <f t="shared" si="364"/>
        <v/>
      </c>
      <c r="BM950" t="str">
        <f t="shared" si="365"/>
        <v/>
      </c>
      <c r="BN950" t="str">
        <f t="shared" si="366"/>
        <v/>
      </c>
      <c r="BO950" t="str">
        <f t="shared" si="367"/>
        <v/>
      </c>
      <c r="BP950" t="str">
        <f t="shared" si="368"/>
        <v/>
      </c>
      <c r="BQ950" t="str">
        <f t="shared" si="369"/>
        <v/>
      </c>
      <c r="BR950" t="str">
        <f t="shared" si="370"/>
        <v/>
      </c>
      <c r="BS950" t="str">
        <f t="shared" si="371"/>
        <v/>
      </c>
      <c r="BT950" t="str">
        <f t="shared" si="372"/>
        <v/>
      </c>
      <c r="BU950" t="str">
        <f t="shared" si="373"/>
        <v/>
      </c>
    </row>
    <row r="951" spans="1:73">
      <c r="A951" s="1">
        <v>20796</v>
      </c>
      <c r="B951" t="str">
        <f>VLOOKUP($A951,[1]Table!$A$2:$N1110,B$1,FALSE)</f>
        <v>N07BC02</v>
      </c>
      <c r="C951" t="str">
        <f>VLOOKUP($A951,[1]Table!$A$2:$N1110,C$1,FALSE)</f>
        <v>OVERIGE MIDDELEN WERKZAAM OP HET ZENUWSTELSEL</v>
      </c>
      <c r="D951" t="str">
        <f>VLOOKUP($A951,[1]Table!$A$2:$N1110,D$1,FALSE)</f>
        <v>MIDDELEN BIJ VERSLAVINGEN</v>
      </c>
      <c r="E951" t="str">
        <f>VLOOKUP($A951,[1]Table!$A$2:$N1110,E$1,FALSE)</f>
        <v>METHADON</v>
      </c>
      <c r="F951" t="str">
        <f>VLOOKUP($A951,[1]Table!$A$2:$N1110,F$1,FALSE)</f>
        <v>METHADON TABLET 5 MG</v>
      </c>
      <c r="G951" t="str">
        <f>VLOOKUP($A951,[1]Table!$A$2:$N1110,G$1,FALSE)</f>
        <v>METHADON 5MG TABLET</v>
      </c>
      <c r="H951" t="str">
        <f>VLOOKUP($A951,[1]Table!$A$2:$N1110,H$1,FALSE)</f>
        <v>tablet</v>
      </c>
      <c r="I951" t="str">
        <f>VLOOKUP($A951,[1]Table!$A$2:$N1110,I$1,FALSE)</f>
        <v>or</v>
      </c>
      <c r="J951">
        <f>VLOOKUP($A951,[1]Table!$A$2:$N1110,J$1,FALSE)</f>
        <v>5</v>
      </c>
      <c r="K951" t="str">
        <f>VLOOKUP($A951,[1]Table!$A$2:$N1110,K$1,FALSE)</f>
        <v>mg/stuk</v>
      </c>
      <c r="L951">
        <f>VLOOKUP($A951,[1]Table!$A$2:$N1110,L$1,FALSE)</f>
        <v>2.5</v>
      </c>
      <c r="M951" t="str">
        <f>VLOOKUP($A951,[1]Table!$A$2:$N1110,M$1,FALSE)</f>
        <v>mg</v>
      </c>
      <c r="N951" t="str">
        <f>VLOOKUP($A951,[1]Table!$A$2:$N1110,N$1,FALSE)</f>
        <v>Pijnbestrijding||Ontwenning van opiaten</v>
      </c>
      <c r="O951" t="str">
        <f>ConcatenateRange(AZ951:BU951,"||")</f>
        <v/>
      </c>
      <c r="AZ951" t="str">
        <f t="shared" si="352"/>
        <v/>
      </c>
      <c r="BA951" t="str">
        <f t="shared" si="353"/>
        <v/>
      </c>
      <c r="BB951" t="str">
        <f t="shared" si="354"/>
        <v/>
      </c>
      <c r="BC951" t="str">
        <f t="shared" si="355"/>
        <v/>
      </c>
      <c r="BD951" t="str">
        <f t="shared" si="356"/>
        <v/>
      </c>
      <c r="BE951" t="str">
        <f t="shared" si="357"/>
        <v/>
      </c>
      <c r="BF951" t="str">
        <f t="shared" si="358"/>
        <v/>
      </c>
      <c r="BG951" t="str">
        <f t="shared" si="359"/>
        <v/>
      </c>
      <c r="BH951" t="str">
        <f t="shared" si="360"/>
        <v/>
      </c>
      <c r="BI951" t="str">
        <f t="shared" si="361"/>
        <v/>
      </c>
      <c r="BJ951" t="str">
        <f t="shared" si="362"/>
        <v/>
      </c>
      <c r="BK951" t="str">
        <f t="shared" si="363"/>
        <v/>
      </c>
      <c r="BL951" t="str">
        <f t="shared" si="364"/>
        <v/>
      </c>
      <c r="BM951" t="str">
        <f t="shared" si="365"/>
        <v/>
      </c>
      <c r="BN951" t="str">
        <f t="shared" si="366"/>
        <v/>
      </c>
      <c r="BO951" t="str">
        <f t="shared" si="367"/>
        <v/>
      </c>
      <c r="BP951" t="str">
        <f t="shared" si="368"/>
        <v/>
      </c>
      <c r="BQ951" t="str">
        <f t="shared" si="369"/>
        <v/>
      </c>
      <c r="BR951" t="str">
        <f t="shared" si="370"/>
        <v/>
      </c>
      <c r="BS951" t="str">
        <f t="shared" si="371"/>
        <v/>
      </c>
      <c r="BT951" t="str">
        <f t="shared" si="372"/>
        <v/>
      </c>
      <c r="BU951" t="str">
        <f t="shared" si="373"/>
        <v/>
      </c>
    </row>
    <row r="952" spans="1:73">
      <c r="A952" s="1">
        <v>129208</v>
      </c>
      <c r="B952" t="str">
        <f>VLOOKUP($A952,[1]Table!$A$2:$N1111,B$1,FALSE)</f>
        <v>N07BC02</v>
      </c>
      <c r="C952" t="str">
        <f>VLOOKUP($A952,[1]Table!$A$2:$N1111,C$1,FALSE)</f>
        <v>OVERIGE MIDDELEN WERKZAAM OP HET ZENUWSTELSEL</v>
      </c>
      <c r="D952" t="str">
        <f>VLOOKUP($A952,[1]Table!$A$2:$N1111,D$1,FALSE)</f>
        <v>MIDDELEN BIJ VERSLAVINGEN</v>
      </c>
      <c r="E952" t="str">
        <f>VLOOKUP($A952,[1]Table!$A$2:$N1111,E$1,FALSE)</f>
        <v>METHADON</v>
      </c>
      <c r="F952" t="str">
        <f>VLOOKUP($A952,[1]Table!$A$2:$N1111,F$1,FALSE)</f>
        <v>METHADON 20 MG TABLET</v>
      </c>
      <c r="G952" t="str">
        <f>VLOOKUP($A952,[1]Table!$A$2:$N1111,G$1,FALSE)</f>
        <v>METHADON 20MG TABLET</v>
      </c>
      <c r="H952" t="str">
        <f>VLOOKUP($A952,[1]Table!$A$2:$N1111,H$1,FALSE)</f>
        <v>tablet</v>
      </c>
      <c r="I952" t="str">
        <f>VLOOKUP($A952,[1]Table!$A$2:$N1111,I$1,FALSE)</f>
        <v>or</v>
      </c>
      <c r="J952">
        <f>VLOOKUP($A952,[1]Table!$A$2:$N1111,J$1,FALSE)</f>
        <v>20</v>
      </c>
      <c r="K952" t="str">
        <f>VLOOKUP($A952,[1]Table!$A$2:$N1111,K$1,FALSE)</f>
        <v>mg/stuk</v>
      </c>
      <c r="L952">
        <f>VLOOKUP($A952,[1]Table!$A$2:$N1111,L$1,FALSE)</f>
        <v>20</v>
      </c>
      <c r="M952" t="str">
        <f>VLOOKUP($A952,[1]Table!$A$2:$N1111,M$1,FALSE)</f>
        <v>mg</v>
      </c>
      <c r="N952" t="str">
        <f>VLOOKUP($A952,[1]Table!$A$2:$N1111,N$1,FALSE)</f>
        <v>Pijnbestrijding||Ontwenning van opiaten</v>
      </c>
      <c r="O952" t="str">
        <f>ConcatenateRange(AZ952:BU952,"||")</f>
        <v/>
      </c>
      <c r="AZ952" t="str">
        <f t="shared" si="352"/>
        <v/>
      </c>
      <c r="BA952" t="str">
        <f t="shared" si="353"/>
        <v/>
      </c>
      <c r="BB952" t="str">
        <f t="shared" si="354"/>
        <v/>
      </c>
      <c r="BC952" t="str">
        <f t="shared" si="355"/>
        <v/>
      </c>
      <c r="BD952" t="str">
        <f t="shared" si="356"/>
        <v/>
      </c>
      <c r="BE952" t="str">
        <f t="shared" si="357"/>
        <v/>
      </c>
      <c r="BF952" t="str">
        <f t="shared" si="358"/>
        <v/>
      </c>
      <c r="BG952" t="str">
        <f t="shared" si="359"/>
        <v/>
      </c>
      <c r="BH952" t="str">
        <f t="shared" si="360"/>
        <v/>
      </c>
      <c r="BI952" t="str">
        <f t="shared" si="361"/>
        <v/>
      </c>
      <c r="BJ952" t="str">
        <f t="shared" si="362"/>
        <v/>
      </c>
      <c r="BK952" t="str">
        <f t="shared" si="363"/>
        <v/>
      </c>
      <c r="BL952" t="str">
        <f t="shared" si="364"/>
        <v/>
      </c>
      <c r="BM952" t="str">
        <f t="shared" si="365"/>
        <v/>
      </c>
      <c r="BN952" t="str">
        <f t="shared" si="366"/>
        <v/>
      </c>
      <c r="BO952" t="str">
        <f t="shared" si="367"/>
        <v/>
      </c>
      <c r="BP952" t="str">
        <f t="shared" si="368"/>
        <v/>
      </c>
      <c r="BQ952" t="str">
        <f t="shared" si="369"/>
        <v/>
      </c>
      <c r="BR952" t="str">
        <f t="shared" si="370"/>
        <v/>
      </c>
      <c r="BS952" t="str">
        <f t="shared" si="371"/>
        <v/>
      </c>
      <c r="BT952" t="str">
        <f t="shared" si="372"/>
        <v/>
      </c>
      <c r="BU952" t="str">
        <f t="shared" si="373"/>
        <v/>
      </c>
    </row>
    <row r="953" spans="1:73">
      <c r="A953" s="22">
        <v>168513</v>
      </c>
      <c r="B953" t="str">
        <f>VLOOKUP($A953,[1]Table!$A$2:$N1726,B$1,FALSE)</f>
        <v>L04AX03</v>
      </c>
      <c r="C953" t="str">
        <f>VLOOKUP($A953,[1]Table!$A$2:$N1726,C$1,FALSE)</f>
        <v>IMMUNOSUPPRESSIVA</v>
      </c>
      <c r="D953" t="str">
        <f>VLOOKUP($A953,[1]Table!$A$2:$N1726,D$1,FALSE)</f>
        <v>IMMUNOSUPPRESSIVA</v>
      </c>
      <c r="E953" t="str">
        <f>VLOOKUP($A953,[1]Table!$A$2:$N1726,E$1,FALSE)</f>
        <v>METHOTREXAAT</v>
      </c>
      <c r="F953" t="str">
        <f>VLOOKUP($A953,[1]Table!$A$2:$N1726,F$1,FALSE)</f>
        <v>EBETREX 12,5 MG WWSP 0,625ML</v>
      </c>
      <c r="G953" t="str">
        <f>VLOOKUP($A953,[1]Table!$A$2:$N1726,G$1,FALSE)</f>
        <v>METHOTREXAAT 20MG/ML INJVLS</v>
      </c>
      <c r="H953" t="str">
        <f>VLOOKUP($A953,[1]Table!$A$2:$N1726,H$1,FALSE)</f>
        <v>injectievloeistof</v>
      </c>
      <c r="I953" t="str">
        <f>VLOOKUP($A953,[1]Table!$A$2:$N1726,I$1,FALSE)</f>
        <v>sc</v>
      </c>
      <c r="J953">
        <f>VLOOKUP($A953,[1]Table!$A$2:$N1726,J$1,FALSE)</f>
        <v>20</v>
      </c>
      <c r="K953" t="str">
        <f>VLOOKUP($A953,[1]Table!$A$2:$N1726,K$1,FALSE)</f>
        <v>mg/ml</v>
      </c>
      <c r="L953">
        <f>VLOOKUP($A953,[1]Table!$A$2:$N1726,L$1,FALSE)</f>
        <v>12.5</v>
      </c>
      <c r="M953" t="str">
        <f>VLOOKUP($A953,[1]Table!$A$2:$N1726,M$1,FALSE)</f>
        <v>mg</v>
      </c>
      <c r="N953" t="str">
        <f>VLOOKUP($A953,[1]Table!$A$2:$N1726,N$1,FALSE)</f>
        <v>Juveniele Idiopathische Arthritis (J.I.A.)||Oncologische aandoeningen||Ziekte van Crohn||Juveniele dermatomyositis</v>
      </c>
      <c r="AZ953" t="str">
        <f t="shared" si="352"/>
        <v/>
      </c>
      <c r="BA953" t="str">
        <f t="shared" si="353"/>
        <v/>
      </c>
      <c r="BB953" t="str">
        <f t="shared" si="354"/>
        <v/>
      </c>
      <c r="BC953" t="str">
        <f t="shared" si="355"/>
        <v/>
      </c>
      <c r="BD953" t="str">
        <f t="shared" si="356"/>
        <v/>
      </c>
      <c r="BE953" t="str">
        <f t="shared" si="357"/>
        <v/>
      </c>
      <c r="BF953" t="str">
        <f t="shared" si="358"/>
        <v/>
      </c>
      <c r="BG953" t="str">
        <f t="shared" si="359"/>
        <v/>
      </c>
      <c r="BH953" t="str">
        <f t="shared" si="360"/>
        <v/>
      </c>
      <c r="BI953" t="str">
        <f t="shared" si="361"/>
        <v/>
      </c>
      <c r="BJ953" t="str">
        <f t="shared" si="362"/>
        <v/>
      </c>
      <c r="BK953" t="str">
        <f t="shared" si="363"/>
        <v/>
      </c>
      <c r="BL953" t="str">
        <f t="shared" si="364"/>
        <v/>
      </c>
      <c r="BM953" t="str">
        <f t="shared" si="365"/>
        <v/>
      </c>
      <c r="BN953" t="str">
        <f t="shared" si="366"/>
        <v/>
      </c>
      <c r="BO953" t="str">
        <f t="shared" si="367"/>
        <v/>
      </c>
      <c r="BP953" t="str">
        <f t="shared" si="368"/>
        <v/>
      </c>
      <c r="BQ953" t="str">
        <f t="shared" si="369"/>
        <v/>
      </c>
      <c r="BR953" t="str">
        <f t="shared" si="370"/>
        <v/>
      </c>
      <c r="BS953" t="str">
        <f t="shared" si="371"/>
        <v/>
      </c>
      <c r="BT953" t="str">
        <f t="shared" si="372"/>
        <v/>
      </c>
      <c r="BU953" t="str">
        <f t="shared" si="373"/>
        <v/>
      </c>
    </row>
    <row r="954" spans="1:73">
      <c r="A954" s="22">
        <v>109568</v>
      </c>
      <c r="B954" t="str">
        <f>VLOOKUP($A954,[1]Table!$A$2:$N1727,B$1,FALSE)</f>
        <v>L04AX03</v>
      </c>
      <c r="C954" t="str">
        <f>VLOOKUP($A954,[1]Table!$A$2:$N1727,C$1,FALSE)</f>
        <v>IMMUNOSUPPRESSIVA</v>
      </c>
      <c r="D954" t="str">
        <f>VLOOKUP($A954,[1]Table!$A$2:$N1727,D$1,FALSE)</f>
        <v>IMMUNOSUPPRESSIVA</v>
      </c>
      <c r="E954" t="str">
        <f>VLOOKUP($A954,[1]Table!$A$2:$N1727,E$1,FALSE)</f>
        <v>METHOTREXAAT</v>
      </c>
      <c r="F954" t="str">
        <f>VLOOKUP($A954,[1]Table!$A$2:$N1727,F$1,FALSE)</f>
        <v>EMTHEXATE PF 1000 MG = 40 ML FLACON</v>
      </c>
      <c r="G954" t="str">
        <f>VLOOKUP($A954,[1]Table!$A$2:$N1727,G$1,FALSE)</f>
        <v>METHOTREXAAT 25MG/ML INJVLS</v>
      </c>
      <c r="H954" t="str">
        <f>VLOOKUP($A954,[1]Table!$A$2:$N1727,H$1,FALSE)</f>
        <v>injectievloeistof</v>
      </c>
      <c r="I954" t="str">
        <f>VLOOKUP($A954,[1]Table!$A$2:$N1727,I$1,FALSE)</f>
        <v>sc</v>
      </c>
      <c r="J954">
        <f>VLOOKUP($A954,[1]Table!$A$2:$N1727,J$1,FALSE)</f>
        <v>25</v>
      </c>
      <c r="K954" t="str">
        <f>VLOOKUP($A954,[1]Table!$A$2:$N1727,K$1,FALSE)</f>
        <v>mg/ml</v>
      </c>
      <c r="L954">
        <f>VLOOKUP($A954,[1]Table!$A$2:$N1727,L$1,FALSE)</f>
        <v>25</v>
      </c>
      <c r="M954" t="str">
        <f>VLOOKUP($A954,[1]Table!$A$2:$N1727,M$1,FALSE)</f>
        <v>mg</v>
      </c>
      <c r="N954" t="str">
        <f>VLOOKUP($A954,[1]Table!$A$2:$N1727,N$1,FALSE)</f>
        <v>Juveniele Idiopathische Arthritis (J.I.A.)||Oncologische aandoeningen||Ziekte van Crohn||Juveniele dermatomyositis</v>
      </c>
      <c r="AZ954" t="str">
        <f t="shared" si="352"/>
        <v/>
      </c>
      <c r="BA954" t="str">
        <f t="shared" si="353"/>
        <v/>
      </c>
      <c r="BB954" t="str">
        <f t="shared" si="354"/>
        <v/>
      </c>
      <c r="BC954" t="str">
        <f t="shared" si="355"/>
        <v/>
      </c>
      <c r="BD954" t="str">
        <f t="shared" si="356"/>
        <v/>
      </c>
      <c r="BE954" t="str">
        <f t="shared" si="357"/>
        <v/>
      </c>
      <c r="BF954" t="str">
        <f t="shared" si="358"/>
        <v/>
      </c>
      <c r="BG954" t="str">
        <f t="shared" si="359"/>
        <v/>
      </c>
      <c r="BH954" t="str">
        <f t="shared" si="360"/>
        <v/>
      </c>
      <c r="BI954" t="str">
        <f t="shared" si="361"/>
        <v/>
      </c>
      <c r="BJ954" t="str">
        <f t="shared" si="362"/>
        <v/>
      </c>
      <c r="BK954" t="str">
        <f t="shared" si="363"/>
        <v/>
      </c>
      <c r="BL954" t="str">
        <f t="shared" si="364"/>
        <v/>
      </c>
      <c r="BM954" t="str">
        <f t="shared" si="365"/>
        <v/>
      </c>
      <c r="BN954" t="str">
        <f t="shared" si="366"/>
        <v/>
      </c>
      <c r="BO954" t="str">
        <f t="shared" si="367"/>
        <v/>
      </c>
      <c r="BP954" t="str">
        <f t="shared" si="368"/>
        <v/>
      </c>
      <c r="BQ954" t="str">
        <f t="shared" si="369"/>
        <v/>
      </c>
      <c r="BR954" t="str">
        <f t="shared" si="370"/>
        <v/>
      </c>
      <c r="BS954" t="str">
        <f t="shared" si="371"/>
        <v/>
      </c>
      <c r="BT954" t="str">
        <f t="shared" si="372"/>
        <v/>
      </c>
      <c r="BU954" t="str">
        <f t="shared" si="373"/>
        <v/>
      </c>
    </row>
    <row r="955" spans="1:73">
      <c r="A955" s="22">
        <v>168505</v>
      </c>
      <c r="B955" t="str">
        <f>VLOOKUP($A955,[1]Table!$A$2:$N1728,B$1,FALSE)</f>
        <v>L04AX03</v>
      </c>
      <c r="C955" t="str">
        <f>VLOOKUP($A955,[1]Table!$A$2:$N1728,C$1,FALSE)</f>
        <v>IMMUNOSUPPRESSIVA</v>
      </c>
      <c r="D955" t="str">
        <f>VLOOKUP($A955,[1]Table!$A$2:$N1728,D$1,FALSE)</f>
        <v>IMMUNOSUPPRESSIVA</v>
      </c>
      <c r="E955" t="str">
        <f>VLOOKUP($A955,[1]Table!$A$2:$N1728,E$1,FALSE)</f>
        <v>METHOTREXAAT</v>
      </c>
      <c r="F955" t="str">
        <f>VLOOKUP($A955,[1]Table!$A$2:$N1728,F$1,FALSE)</f>
        <v>METOJECT 10 MG WEGWERPSPUIT 0.2 ML</v>
      </c>
      <c r="G955" t="str">
        <f>VLOOKUP($A955,[1]Table!$A$2:$N1728,G$1,FALSE)</f>
        <v>METHOTREXAAT 50MG/ML INJVLS</v>
      </c>
      <c r="H955" t="str">
        <f>VLOOKUP($A955,[1]Table!$A$2:$N1728,H$1,FALSE)</f>
        <v>injectievloeistof</v>
      </c>
      <c r="I955" t="str">
        <f>VLOOKUP($A955,[1]Table!$A$2:$N1728,I$1,FALSE)</f>
        <v>sc</v>
      </c>
      <c r="J955">
        <f>VLOOKUP($A955,[1]Table!$A$2:$N1728,J$1,FALSE)</f>
        <v>50</v>
      </c>
      <c r="K955" t="str">
        <f>VLOOKUP($A955,[1]Table!$A$2:$N1728,K$1,FALSE)</f>
        <v>mg/ml</v>
      </c>
      <c r="L955">
        <f>VLOOKUP($A955,[1]Table!$A$2:$N1728,L$1,FALSE)</f>
        <v>10</v>
      </c>
      <c r="M955" t="str">
        <f>VLOOKUP($A955,[1]Table!$A$2:$N1728,M$1,FALSE)</f>
        <v>mg</v>
      </c>
      <c r="N955" t="str">
        <f>VLOOKUP($A955,[1]Table!$A$2:$N1728,N$1,FALSE)</f>
        <v>Juveniele Idiopathische Arthritis (J.I.A.)||Oncologische aandoeningen||Ziekte van Crohn||Juveniele dermatomyositis</v>
      </c>
      <c r="AZ955" t="str">
        <f t="shared" si="352"/>
        <v/>
      </c>
      <c r="BA955" t="str">
        <f t="shared" si="353"/>
        <v/>
      </c>
      <c r="BB955" t="str">
        <f t="shared" si="354"/>
        <v/>
      </c>
      <c r="BC955" t="str">
        <f t="shared" si="355"/>
        <v/>
      </c>
      <c r="BD955" t="str">
        <f t="shared" si="356"/>
        <v/>
      </c>
      <c r="BE955" t="str">
        <f t="shared" si="357"/>
        <v/>
      </c>
      <c r="BF955" t="str">
        <f t="shared" si="358"/>
        <v/>
      </c>
      <c r="BG955" t="str">
        <f t="shared" si="359"/>
        <v/>
      </c>
      <c r="BH955" t="str">
        <f t="shared" si="360"/>
        <v/>
      </c>
      <c r="BI955" t="str">
        <f t="shared" si="361"/>
        <v/>
      </c>
      <c r="BJ955" t="str">
        <f t="shared" si="362"/>
        <v/>
      </c>
      <c r="BK955" t="str">
        <f t="shared" si="363"/>
        <v/>
      </c>
      <c r="BL955" t="str">
        <f t="shared" si="364"/>
        <v/>
      </c>
      <c r="BM955" t="str">
        <f t="shared" si="365"/>
        <v/>
      </c>
      <c r="BN955" t="str">
        <f t="shared" si="366"/>
        <v/>
      </c>
      <c r="BO955" t="str">
        <f t="shared" si="367"/>
        <v/>
      </c>
      <c r="BP955" t="str">
        <f t="shared" si="368"/>
        <v/>
      </c>
      <c r="BQ955" t="str">
        <f t="shared" si="369"/>
        <v/>
      </c>
      <c r="BR955" t="str">
        <f t="shared" si="370"/>
        <v/>
      </c>
      <c r="BS955" t="str">
        <f t="shared" si="371"/>
        <v/>
      </c>
      <c r="BT955" t="str">
        <f t="shared" si="372"/>
        <v/>
      </c>
      <c r="BU955" t="str">
        <f t="shared" si="373"/>
        <v/>
      </c>
    </row>
    <row r="956" spans="1:73">
      <c r="A956" s="22">
        <v>16918</v>
      </c>
      <c r="B956" t="str">
        <f>VLOOKUP($A956,[1]Table!$A$2:$N1715,B$1,FALSE)</f>
        <v>L04AX03</v>
      </c>
      <c r="C956" t="str">
        <f>VLOOKUP($A956,[1]Table!$A$2:$N1715,C$1,FALSE)</f>
        <v>IMMUNOSUPPRESSIVA</v>
      </c>
      <c r="D956" t="str">
        <f>VLOOKUP($A956,[1]Table!$A$2:$N1715,D$1,FALSE)</f>
        <v>IMMUNOSUPPRESSIVA</v>
      </c>
      <c r="E956" t="str">
        <f>VLOOKUP($A956,[1]Table!$A$2:$N1715,E$1,FALSE)</f>
        <v>METHOTREXAAT</v>
      </c>
      <c r="F956" t="str">
        <f>VLOOKUP($A956,[1]Table!$A$2:$N1715,F$1,FALSE)</f>
        <v>METHOTREXAAT 2,5 MG TABLET</v>
      </c>
      <c r="G956" t="str">
        <f>VLOOKUP($A956,[1]Table!$A$2:$N1715,G$1,FALSE)</f>
        <v>METHOTREXAAT 2,5MG TABLET</v>
      </c>
      <c r="H956" t="str">
        <f>VLOOKUP($A956,[1]Table!$A$2:$N1715,H$1,FALSE)</f>
        <v>tablet</v>
      </c>
      <c r="I956" t="str">
        <f>VLOOKUP($A956,[1]Table!$A$2:$N1715,I$1,FALSE)</f>
        <v>or</v>
      </c>
      <c r="J956">
        <f>VLOOKUP($A956,[1]Table!$A$2:$N1715,J$1,FALSE)</f>
        <v>2.5</v>
      </c>
      <c r="K956" t="str">
        <f>VLOOKUP($A956,[1]Table!$A$2:$N1715,K$1,FALSE)</f>
        <v>mg/stuk</v>
      </c>
      <c r="L956">
        <f>VLOOKUP($A956,[1]Table!$A$2:$N1715,L$1,FALSE)</f>
        <v>2.5</v>
      </c>
      <c r="M956" t="str">
        <f>VLOOKUP($A956,[1]Table!$A$2:$N1715,M$1,FALSE)</f>
        <v>mg</v>
      </c>
      <c r="N956" t="str">
        <f>VLOOKUP($A956,[1]Table!$A$2:$N1715,N$1,FALSE)</f>
        <v>Juveniele Idiopathische Arthritis (J.I.A.)||Oncologische aandoeningen||Ziekte van Crohn||Juveniele dermatomyositis</v>
      </c>
      <c r="AZ956" t="str">
        <f t="shared" si="352"/>
        <v/>
      </c>
      <c r="BA956" t="str">
        <f t="shared" si="353"/>
        <v/>
      </c>
      <c r="BB956" t="str">
        <f t="shared" si="354"/>
        <v/>
      </c>
      <c r="BC956" t="str">
        <f t="shared" si="355"/>
        <v/>
      </c>
      <c r="BD956" t="str">
        <f t="shared" si="356"/>
        <v/>
      </c>
      <c r="BE956" t="str">
        <f t="shared" si="357"/>
        <v/>
      </c>
      <c r="BF956" t="str">
        <f t="shared" si="358"/>
        <v/>
      </c>
      <c r="BG956" t="str">
        <f t="shared" si="359"/>
        <v/>
      </c>
      <c r="BH956" t="str">
        <f t="shared" si="360"/>
        <v/>
      </c>
      <c r="BI956" t="str">
        <f t="shared" si="361"/>
        <v/>
      </c>
      <c r="BJ956" t="str">
        <f t="shared" si="362"/>
        <v/>
      </c>
      <c r="BK956" t="str">
        <f t="shared" si="363"/>
        <v/>
      </c>
      <c r="BL956" t="str">
        <f t="shared" si="364"/>
        <v/>
      </c>
      <c r="BM956" t="str">
        <f t="shared" si="365"/>
        <v/>
      </c>
      <c r="BN956" t="str">
        <f t="shared" si="366"/>
        <v/>
      </c>
      <c r="BO956" t="str">
        <f t="shared" si="367"/>
        <v/>
      </c>
      <c r="BP956" t="str">
        <f t="shared" si="368"/>
        <v/>
      </c>
      <c r="BQ956" t="str">
        <f t="shared" si="369"/>
        <v/>
      </c>
      <c r="BR956" t="str">
        <f t="shared" si="370"/>
        <v/>
      </c>
      <c r="BS956" t="str">
        <f t="shared" si="371"/>
        <v/>
      </c>
      <c r="BT956" t="str">
        <f t="shared" si="372"/>
        <v/>
      </c>
      <c r="BU956" t="str">
        <f t="shared" si="373"/>
        <v/>
      </c>
    </row>
    <row r="957" spans="1:73">
      <c r="A957" s="22">
        <v>168459</v>
      </c>
      <c r="B957" t="str">
        <f>VLOOKUP($A957,[1]Table!$A$2:$N1716,B$1,FALSE)</f>
        <v>L04AX03</v>
      </c>
      <c r="C957" t="str">
        <f>VLOOKUP($A957,[1]Table!$A$2:$N1716,C$1,FALSE)</f>
        <v>IMMUNOSUPPRESSIVA</v>
      </c>
      <c r="D957" t="str">
        <f>VLOOKUP($A957,[1]Table!$A$2:$N1716,D$1,FALSE)</f>
        <v>IMMUNOSUPPRESSIVA</v>
      </c>
      <c r="E957" t="str">
        <f>VLOOKUP($A957,[1]Table!$A$2:$N1716,E$1,FALSE)</f>
        <v>METHOTREXAAT</v>
      </c>
      <c r="F957" t="str">
        <f>VLOOKUP($A957,[1]Table!$A$2:$N1716,F$1,FALSE)</f>
        <v>METHOTREXAAT 10 MG TABLET</v>
      </c>
      <c r="G957" t="str">
        <f>VLOOKUP($A957,[1]Table!$A$2:$N1716,G$1,FALSE)</f>
        <v>METHOTREXAAT 10MG TABLET</v>
      </c>
      <c r="H957" t="str">
        <f>VLOOKUP($A957,[1]Table!$A$2:$N1716,H$1,FALSE)</f>
        <v>tablet</v>
      </c>
      <c r="I957" t="str">
        <f>VLOOKUP($A957,[1]Table!$A$2:$N1716,I$1,FALSE)</f>
        <v>or</v>
      </c>
      <c r="J957">
        <f>VLOOKUP($A957,[1]Table!$A$2:$N1716,J$1,FALSE)</f>
        <v>10</v>
      </c>
      <c r="K957" t="str">
        <f>VLOOKUP($A957,[1]Table!$A$2:$N1716,K$1,FALSE)</f>
        <v>mg/stuk</v>
      </c>
      <c r="L957">
        <f>VLOOKUP($A957,[1]Table!$A$2:$N1716,L$1,FALSE)</f>
        <v>5</v>
      </c>
      <c r="M957" t="str">
        <f>VLOOKUP($A957,[1]Table!$A$2:$N1716,M$1,FALSE)</f>
        <v>mg</v>
      </c>
      <c r="N957" t="str">
        <f>VLOOKUP($A957,[1]Table!$A$2:$N1716,N$1,FALSE)</f>
        <v>Juveniele Idiopathische Arthritis (J.I.A.)||Oncologische aandoeningen||Ziekte van Crohn||Juveniele dermatomyositis</v>
      </c>
      <c r="AZ957" t="str">
        <f t="shared" si="352"/>
        <v/>
      </c>
      <c r="BA957" t="str">
        <f t="shared" si="353"/>
        <v/>
      </c>
      <c r="BB957" t="str">
        <f t="shared" si="354"/>
        <v/>
      </c>
      <c r="BC957" t="str">
        <f t="shared" si="355"/>
        <v/>
      </c>
      <c r="BD957" t="str">
        <f t="shared" si="356"/>
        <v/>
      </c>
      <c r="BE957" t="str">
        <f t="shared" si="357"/>
        <v/>
      </c>
      <c r="BF957" t="str">
        <f t="shared" si="358"/>
        <v/>
      </c>
      <c r="BG957" t="str">
        <f t="shared" si="359"/>
        <v/>
      </c>
      <c r="BH957" t="str">
        <f t="shared" si="360"/>
        <v/>
      </c>
      <c r="BI957" t="str">
        <f t="shared" si="361"/>
        <v/>
      </c>
      <c r="BJ957" t="str">
        <f t="shared" si="362"/>
        <v/>
      </c>
      <c r="BK957" t="str">
        <f t="shared" si="363"/>
        <v/>
      </c>
      <c r="BL957" t="str">
        <f t="shared" si="364"/>
        <v/>
      </c>
      <c r="BM957" t="str">
        <f t="shared" si="365"/>
        <v/>
      </c>
      <c r="BN957" t="str">
        <f t="shared" si="366"/>
        <v/>
      </c>
      <c r="BO957" t="str">
        <f t="shared" si="367"/>
        <v/>
      </c>
      <c r="BP957" t="str">
        <f t="shared" si="368"/>
        <v/>
      </c>
      <c r="BQ957" t="str">
        <f t="shared" si="369"/>
        <v/>
      </c>
      <c r="BR957" t="str">
        <f t="shared" si="370"/>
        <v/>
      </c>
      <c r="BS957" t="str">
        <f t="shared" si="371"/>
        <v/>
      </c>
      <c r="BT957" t="str">
        <f t="shared" si="372"/>
        <v/>
      </c>
      <c r="BU957" t="str">
        <f t="shared" si="373"/>
        <v/>
      </c>
    </row>
    <row r="958" spans="1:73">
      <c r="A958" s="1">
        <v>83364</v>
      </c>
      <c r="B958" t="str">
        <f>VLOOKUP($A958,[1]Table!$A$2:$N1114,B$1,FALSE)</f>
        <v>S01XA20</v>
      </c>
      <c r="C958" t="str">
        <f>VLOOKUP($A958,[1]Table!$A$2:$N1114,C$1,FALSE)</f>
        <v>MIDDELEN VOOR OOGHEELKUNDIG GEBRUIK</v>
      </c>
      <c r="D958" t="str">
        <f>VLOOKUP($A958,[1]Table!$A$2:$N1114,D$1,FALSE)</f>
        <v>OVERIGE MIDDELEN VOOR OOGHEELKUNDIG GEBRUIK</v>
      </c>
      <c r="E958" t="str">
        <f>VLOOKUP($A958,[1]Table!$A$2:$N1114,E$1,FALSE)</f>
        <v>METHYLCELLULOSE</v>
      </c>
      <c r="F958" t="str">
        <f>VLOOKUP($A958,[1]Table!$A$2:$N1114,F$1,FALSE)</f>
        <v>METHYLCELLULOSE 0,5% OOGDR  FLACON 10 ML</v>
      </c>
      <c r="G958" t="str">
        <f>VLOOKUP($A958,[1]Table!$A$2:$N1114,G$1,FALSE)</f>
        <v>METHYLCELLULOSE 5MG/ML OOGD</v>
      </c>
      <c r="H958" t="str">
        <f>VLOOKUP($A958,[1]Table!$A$2:$N1114,H$1,FALSE)</f>
        <v>oogdruppels</v>
      </c>
      <c r="I958" t="str">
        <f>VLOOKUP($A958,[1]Table!$A$2:$N1114,I$1,FALSE)</f>
        <v>oog</v>
      </c>
      <c r="J958">
        <f>VLOOKUP($A958,[1]Table!$A$2:$N1114,J$1,FALSE)</f>
        <v>5</v>
      </c>
      <c r="K958" t="str">
        <f>VLOOKUP($A958,[1]Table!$A$2:$N1114,K$1,FALSE)</f>
        <v>mg/ml</v>
      </c>
      <c r="L958">
        <f>VLOOKUP($A958,[1]Table!$A$2:$N1114,L$1,FALSE)</f>
        <v>5</v>
      </c>
      <c r="M958" t="str">
        <f>VLOOKUP($A958,[1]Table!$A$2:$N1114,M$1,FALSE)</f>
        <v>mg</v>
      </c>
      <c r="N958" t="str">
        <f>VLOOKUP($A958,[1]Table!$A$2:$N1114,N$1,FALSE)</f>
        <v>Verminderde traansecretie/uitdroging</v>
      </c>
      <c r="O958" t="str">
        <f>ConcatenateRange(AZ958:BU958,"||")</f>
        <v/>
      </c>
      <c r="AZ958" t="str">
        <f t="shared" si="352"/>
        <v/>
      </c>
      <c r="BA958" t="str">
        <f t="shared" si="353"/>
        <v/>
      </c>
      <c r="BB958" t="str">
        <f t="shared" si="354"/>
        <v/>
      </c>
      <c r="BC958" t="str">
        <f t="shared" si="355"/>
        <v/>
      </c>
      <c r="BD958" t="str">
        <f t="shared" si="356"/>
        <v/>
      </c>
      <c r="BE958" t="str">
        <f t="shared" si="357"/>
        <v/>
      </c>
      <c r="BF958" t="str">
        <f t="shared" si="358"/>
        <v/>
      </c>
      <c r="BG958" t="str">
        <f t="shared" si="359"/>
        <v/>
      </c>
      <c r="BH958" t="str">
        <f t="shared" si="360"/>
        <v/>
      </c>
      <c r="BI958" t="str">
        <f t="shared" si="361"/>
        <v/>
      </c>
      <c r="BJ958" t="str">
        <f t="shared" si="362"/>
        <v/>
      </c>
      <c r="BK958" t="str">
        <f t="shared" si="363"/>
        <v/>
      </c>
      <c r="BL958" t="str">
        <f t="shared" si="364"/>
        <v/>
      </c>
      <c r="BM958" t="str">
        <f t="shared" si="365"/>
        <v/>
      </c>
      <c r="BN958" t="str">
        <f t="shared" si="366"/>
        <v/>
      </c>
      <c r="BO958" t="str">
        <f t="shared" si="367"/>
        <v/>
      </c>
      <c r="BP958" t="str">
        <f t="shared" si="368"/>
        <v/>
      </c>
      <c r="BQ958" t="str">
        <f t="shared" si="369"/>
        <v/>
      </c>
      <c r="BR958" t="str">
        <f t="shared" si="370"/>
        <v/>
      </c>
      <c r="BS958" t="str">
        <f t="shared" si="371"/>
        <v/>
      </c>
      <c r="BT958" t="str">
        <f t="shared" si="372"/>
        <v/>
      </c>
      <c r="BU958" t="str">
        <f t="shared" si="373"/>
        <v/>
      </c>
    </row>
    <row r="959" spans="1:73">
      <c r="A959" s="1">
        <v>130354</v>
      </c>
      <c r="B959" t="str">
        <f>VLOOKUP($A959,[1]Table!$A$2:$N1115,B$1,FALSE)</f>
        <v>N06BA04</v>
      </c>
      <c r="C959" t="str">
        <f>VLOOKUP($A959,[1]Table!$A$2:$N1115,C$1,FALSE)</f>
        <v>PSYCHOANALEPTICA</v>
      </c>
      <c r="D959" t="str">
        <f>VLOOKUP($A959,[1]Table!$A$2:$N1115,D$1,FALSE)</f>
        <v>PSYCHOSTIMULANTIA, MIDDELEN VOOR ADHD EN NOOTROPICA</v>
      </c>
      <c r="E959" t="str">
        <f>VLOOKUP($A959,[1]Table!$A$2:$N1115,E$1,FALSE)</f>
        <v>METHYLFENIDAAT</v>
      </c>
      <c r="F959" t="str">
        <f>VLOOKUP($A959,[1]Table!$A$2:$N1115,F$1,FALSE)</f>
        <v>MEDIKINET CR 5 MG CAPSULE</v>
      </c>
      <c r="G959" t="str">
        <f>VLOOKUP($A959,[1]Table!$A$2:$N1115,G$1,FALSE)</f>
        <v>METHYLFENIDAAT 5MG CAPS MGA</v>
      </c>
      <c r="H959" t="str">
        <f>VLOOKUP($A959,[1]Table!$A$2:$N1115,H$1,FALSE)</f>
        <v>capsule met gereguleerde afgifte</v>
      </c>
      <c r="I959" t="str">
        <f>VLOOKUP($A959,[1]Table!$A$2:$N1115,I$1,FALSE)</f>
        <v>or</v>
      </c>
      <c r="J959">
        <f>VLOOKUP($A959,[1]Table!$A$2:$N1115,J$1,FALSE)</f>
        <v>5</v>
      </c>
      <c r="K959" t="str">
        <f>VLOOKUP($A959,[1]Table!$A$2:$N1115,K$1,FALSE)</f>
        <v>mg/stuk</v>
      </c>
      <c r="L959">
        <f>VLOOKUP($A959,[1]Table!$A$2:$N1115,L$1,FALSE)</f>
        <v>5</v>
      </c>
      <c r="M959" t="str">
        <f>VLOOKUP($A959,[1]Table!$A$2:$N1115,M$1,FALSE)</f>
        <v>mg</v>
      </c>
      <c r="N959" t="str">
        <f>VLOOKUP($A959,[1]Table!$A$2:$N1115,N$1,FALSE)</f>
        <v>Attention Deficit Hyperactivity Disorder (ADHD)</v>
      </c>
      <c r="O959" t="str">
        <f>ConcatenateRange(AZ959:BU959,"||")</f>
        <v/>
      </c>
      <c r="AZ959" t="str">
        <f t="shared" si="352"/>
        <v/>
      </c>
      <c r="BA959" t="str">
        <f t="shared" si="353"/>
        <v/>
      </c>
      <c r="BB959" t="str">
        <f t="shared" si="354"/>
        <v/>
      </c>
      <c r="BC959" t="str">
        <f t="shared" si="355"/>
        <v/>
      </c>
      <c r="BD959" t="str">
        <f t="shared" si="356"/>
        <v/>
      </c>
      <c r="BE959" t="str">
        <f t="shared" si="357"/>
        <v/>
      </c>
      <c r="BF959" t="str">
        <f t="shared" si="358"/>
        <v/>
      </c>
      <c r="BG959" t="str">
        <f t="shared" si="359"/>
        <v/>
      </c>
      <c r="BH959" t="str">
        <f t="shared" si="360"/>
        <v/>
      </c>
      <c r="BI959" t="str">
        <f t="shared" si="361"/>
        <v/>
      </c>
      <c r="BJ959" t="str">
        <f t="shared" si="362"/>
        <v/>
      </c>
      <c r="BK959" t="str">
        <f t="shared" si="363"/>
        <v/>
      </c>
      <c r="BL959" t="str">
        <f t="shared" si="364"/>
        <v/>
      </c>
      <c r="BM959" t="str">
        <f t="shared" si="365"/>
        <v/>
      </c>
      <c r="BN959" t="str">
        <f t="shared" si="366"/>
        <v/>
      </c>
      <c r="BO959" t="str">
        <f t="shared" si="367"/>
        <v/>
      </c>
      <c r="BP959" t="str">
        <f t="shared" si="368"/>
        <v/>
      </c>
      <c r="BQ959" t="str">
        <f t="shared" si="369"/>
        <v/>
      </c>
      <c r="BR959" t="str">
        <f t="shared" si="370"/>
        <v/>
      </c>
      <c r="BS959" t="str">
        <f t="shared" si="371"/>
        <v/>
      </c>
      <c r="BT959" t="str">
        <f t="shared" si="372"/>
        <v/>
      </c>
      <c r="BU959" t="str">
        <f t="shared" si="373"/>
        <v/>
      </c>
    </row>
    <row r="960" spans="1:73">
      <c r="A960" s="1">
        <v>126489</v>
      </c>
      <c r="B960" t="str">
        <f>VLOOKUP($A960,[1]Table!$A$2:$N1116,B$1,FALSE)</f>
        <v>N06BA04</v>
      </c>
      <c r="C960" t="str">
        <f>VLOOKUP($A960,[1]Table!$A$2:$N1116,C$1,FALSE)</f>
        <v>PSYCHOANALEPTICA</v>
      </c>
      <c r="D960" t="str">
        <f>VLOOKUP($A960,[1]Table!$A$2:$N1116,D$1,FALSE)</f>
        <v>PSYCHOSTIMULANTIA, MIDDELEN VOOR ADHD EN NOOTROPICA</v>
      </c>
      <c r="E960" t="str">
        <f>VLOOKUP($A960,[1]Table!$A$2:$N1116,E$1,FALSE)</f>
        <v>METHYLFENIDAAT</v>
      </c>
      <c r="F960" t="str">
        <f>VLOOKUP($A960,[1]Table!$A$2:$N1116,F$1,FALSE)</f>
        <v>EQUASYM XL 10 MG CAPSULE MGA (RETARD)</v>
      </c>
      <c r="G960" t="str">
        <f>VLOOKUP($A960,[1]Table!$A$2:$N1116,G$1,FALSE)</f>
        <v>METHYLFENIDAAT 10MG CAP MGA</v>
      </c>
      <c r="H960" t="str">
        <f>VLOOKUP($A960,[1]Table!$A$2:$N1116,H$1,FALSE)</f>
        <v>capsule met gereguleerde afgifte</v>
      </c>
      <c r="I960" t="str">
        <f>VLOOKUP($A960,[1]Table!$A$2:$N1116,I$1,FALSE)</f>
        <v>or</v>
      </c>
      <c r="J960">
        <f>VLOOKUP($A960,[1]Table!$A$2:$N1116,J$1,FALSE)</f>
        <v>10</v>
      </c>
      <c r="K960" t="str">
        <f>VLOOKUP($A960,[1]Table!$A$2:$N1116,K$1,FALSE)</f>
        <v>mg/stuk</v>
      </c>
      <c r="L960">
        <f>VLOOKUP($A960,[1]Table!$A$2:$N1116,L$1,FALSE)</f>
        <v>10</v>
      </c>
      <c r="M960" t="str">
        <f>VLOOKUP($A960,[1]Table!$A$2:$N1116,M$1,FALSE)</f>
        <v>mg</v>
      </c>
      <c r="N960" t="str">
        <f>VLOOKUP($A960,[1]Table!$A$2:$N1116,N$1,FALSE)</f>
        <v>Attention Deficit Hyperactivity Disorder (ADHD)</v>
      </c>
      <c r="O960" t="str">
        <f>ConcatenateRange(AZ960:BU960,"||")</f>
        <v/>
      </c>
      <c r="AZ960" t="str">
        <f t="shared" si="352"/>
        <v/>
      </c>
      <c r="BA960" t="str">
        <f t="shared" si="353"/>
        <v/>
      </c>
      <c r="BB960" t="str">
        <f t="shared" si="354"/>
        <v/>
      </c>
      <c r="BC960" t="str">
        <f t="shared" si="355"/>
        <v/>
      </c>
      <c r="BD960" t="str">
        <f t="shared" si="356"/>
        <v/>
      </c>
      <c r="BE960" t="str">
        <f t="shared" si="357"/>
        <v/>
      </c>
      <c r="BF960" t="str">
        <f t="shared" si="358"/>
        <v/>
      </c>
      <c r="BG960" t="str">
        <f t="shared" si="359"/>
        <v/>
      </c>
      <c r="BH960" t="str">
        <f t="shared" si="360"/>
        <v/>
      </c>
      <c r="BI960" t="str">
        <f t="shared" si="361"/>
        <v/>
      </c>
      <c r="BJ960" t="str">
        <f t="shared" si="362"/>
        <v/>
      </c>
      <c r="BK960" t="str">
        <f t="shared" si="363"/>
        <v/>
      </c>
      <c r="BL960" t="str">
        <f t="shared" si="364"/>
        <v/>
      </c>
      <c r="BM960" t="str">
        <f t="shared" si="365"/>
        <v/>
      </c>
      <c r="BN960" t="str">
        <f t="shared" si="366"/>
        <v/>
      </c>
      <c r="BO960" t="str">
        <f t="shared" si="367"/>
        <v/>
      </c>
      <c r="BP960" t="str">
        <f t="shared" si="368"/>
        <v/>
      </c>
      <c r="BQ960" t="str">
        <f t="shared" si="369"/>
        <v/>
      </c>
      <c r="BR960" t="str">
        <f t="shared" si="370"/>
        <v/>
      </c>
      <c r="BS960" t="str">
        <f t="shared" si="371"/>
        <v/>
      </c>
      <c r="BT960" t="str">
        <f t="shared" si="372"/>
        <v/>
      </c>
      <c r="BU960" t="str">
        <f t="shared" si="373"/>
        <v/>
      </c>
    </row>
    <row r="961" spans="1:73">
      <c r="A961" s="1">
        <v>126497</v>
      </c>
      <c r="B961" t="str">
        <f>VLOOKUP($A961,[1]Table!$A$2:$N1117,B$1,FALSE)</f>
        <v>N06BA04</v>
      </c>
      <c r="C961" t="str">
        <f>VLOOKUP($A961,[1]Table!$A$2:$N1117,C$1,FALSE)</f>
        <v>PSYCHOANALEPTICA</v>
      </c>
      <c r="D961" t="str">
        <f>VLOOKUP($A961,[1]Table!$A$2:$N1117,D$1,FALSE)</f>
        <v>PSYCHOSTIMULANTIA, MIDDELEN VOOR ADHD EN NOOTROPICA</v>
      </c>
      <c r="E961" t="str">
        <f>VLOOKUP($A961,[1]Table!$A$2:$N1117,E$1,FALSE)</f>
        <v>METHYLFENIDAAT</v>
      </c>
      <c r="F961" t="str">
        <f>VLOOKUP($A961,[1]Table!$A$2:$N1117,F$1,FALSE)</f>
        <v>EQUASYM XL 20 MG CAPSULE MGA (RETARD)</v>
      </c>
      <c r="G961" t="str">
        <f>VLOOKUP($A961,[1]Table!$A$2:$N1117,G$1,FALSE)</f>
        <v>METHYLFENIDAAT 20MG CAP MGA</v>
      </c>
      <c r="H961" t="str">
        <f>VLOOKUP($A961,[1]Table!$A$2:$N1117,H$1,FALSE)</f>
        <v>capsule met gereguleerde afgifte</v>
      </c>
      <c r="I961" t="str">
        <f>VLOOKUP($A961,[1]Table!$A$2:$N1117,I$1,FALSE)</f>
        <v>or</v>
      </c>
      <c r="J961">
        <f>VLOOKUP($A961,[1]Table!$A$2:$N1117,J$1,FALSE)</f>
        <v>20</v>
      </c>
      <c r="K961" t="str">
        <f>VLOOKUP($A961,[1]Table!$A$2:$N1117,K$1,FALSE)</f>
        <v>mg/stuk</v>
      </c>
      <c r="L961">
        <f>VLOOKUP($A961,[1]Table!$A$2:$N1117,L$1,FALSE)</f>
        <v>20</v>
      </c>
      <c r="M961" t="str">
        <f>VLOOKUP($A961,[1]Table!$A$2:$N1117,M$1,FALSE)</f>
        <v>mg</v>
      </c>
      <c r="N961" t="str">
        <f>VLOOKUP($A961,[1]Table!$A$2:$N1117,N$1,FALSE)</f>
        <v>Attention Deficit Hyperactivity Disorder (ADHD)</v>
      </c>
      <c r="O961" t="str">
        <f>ConcatenateRange(AZ961:BU961,"||")</f>
        <v/>
      </c>
      <c r="AZ961" t="str">
        <f t="shared" si="352"/>
        <v/>
      </c>
      <c r="BA961" t="str">
        <f t="shared" si="353"/>
        <v/>
      </c>
      <c r="BB961" t="str">
        <f t="shared" si="354"/>
        <v/>
      </c>
      <c r="BC961" t="str">
        <f t="shared" si="355"/>
        <v/>
      </c>
      <c r="BD961" t="str">
        <f t="shared" si="356"/>
        <v/>
      </c>
      <c r="BE961" t="str">
        <f t="shared" si="357"/>
        <v/>
      </c>
      <c r="BF961" t="str">
        <f t="shared" si="358"/>
        <v/>
      </c>
      <c r="BG961" t="str">
        <f t="shared" si="359"/>
        <v/>
      </c>
      <c r="BH961" t="str">
        <f t="shared" si="360"/>
        <v/>
      </c>
      <c r="BI961" t="str">
        <f t="shared" si="361"/>
        <v/>
      </c>
      <c r="BJ961" t="str">
        <f t="shared" si="362"/>
        <v/>
      </c>
      <c r="BK961" t="str">
        <f t="shared" si="363"/>
        <v/>
      </c>
      <c r="BL961" t="str">
        <f t="shared" si="364"/>
        <v/>
      </c>
      <c r="BM961" t="str">
        <f t="shared" si="365"/>
        <v/>
      </c>
      <c r="BN961" t="str">
        <f t="shared" si="366"/>
        <v/>
      </c>
      <c r="BO961" t="str">
        <f t="shared" si="367"/>
        <v/>
      </c>
      <c r="BP961" t="str">
        <f t="shared" si="368"/>
        <v/>
      </c>
      <c r="BQ961" t="str">
        <f t="shared" si="369"/>
        <v/>
      </c>
      <c r="BR961" t="str">
        <f t="shared" si="370"/>
        <v/>
      </c>
      <c r="BS961" t="str">
        <f t="shared" si="371"/>
        <v/>
      </c>
      <c r="BT961" t="str">
        <f t="shared" si="372"/>
        <v/>
      </c>
      <c r="BU961" t="str">
        <f t="shared" si="373"/>
        <v/>
      </c>
    </row>
    <row r="962" spans="1:73">
      <c r="A962" s="1">
        <v>126500</v>
      </c>
      <c r="B962" t="str">
        <f>VLOOKUP($A962,[1]Table!$A$2:$N1118,B$1,FALSE)</f>
        <v>N06BA04</v>
      </c>
      <c r="C962" t="str">
        <f>VLOOKUP($A962,[1]Table!$A$2:$N1118,C$1,FALSE)</f>
        <v>PSYCHOANALEPTICA</v>
      </c>
      <c r="D962" t="str">
        <f>VLOOKUP($A962,[1]Table!$A$2:$N1118,D$1,FALSE)</f>
        <v>PSYCHOSTIMULANTIA, MIDDELEN VOOR ADHD EN NOOTROPICA</v>
      </c>
      <c r="E962" t="str">
        <f>VLOOKUP($A962,[1]Table!$A$2:$N1118,E$1,FALSE)</f>
        <v>METHYLFENIDAAT</v>
      </c>
      <c r="F962" t="str">
        <f>VLOOKUP($A962,[1]Table!$A$2:$N1118,F$1,FALSE)</f>
        <v>EQUASYM XL 30 MG CAPSULE MGA (RETARD)</v>
      </c>
      <c r="G962" t="str">
        <f>VLOOKUP($A962,[1]Table!$A$2:$N1118,G$1,FALSE)</f>
        <v>METHYLFENIDAAT 30MG CAP MGA</v>
      </c>
      <c r="H962" t="str">
        <f>VLOOKUP($A962,[1]Table!$A$2:$N1118,H$1,FALSE)</f>
        <v>capsule met gereguleerde afgifte</v>
      </c>
      <c r="I962" t="str">
        <f>VLOOKUP($A962,[1]Table!$A$2:$N1118,I$1,FALSE)</f>
        <v>or</v>
      </c>
      <c r="J962">
        <f>VLOOKUP($A962,[1]Table!$A$2:$N1118,J$1,FALSE)</f>
        <v>30</v>
      </c>
      <c r="K962" t="str">
        <f>VLOOKUP($A962,[1]Table!$A$2:$N1118,K$1,FALSE)</f>
        <v>mg/stuk</v>
      </c>
      <c r="L962">
        <f>VLOOKUP($A962,[1]Table!$A$2:$N1118,L$1,FALSE)</f>
        <v>30</v>
      </c>
      <c r="M962" t="str">
        <f>VLOOKUP($A962,[1]Table!$A$2:$N1118,M$1,FALSE)</f>
        <v>mg</v>
      </c>
      <c r="N962" t="str">
        <f>VLOOKUP($A962,[1]Table!$A$2:$N1118,N$1,FALSE)</f>
        <v>Attention Deficit Hyperactivity Disorder (ADHD)</v>
      </c>
      <c r="O962" t="str">
        <f>ConcatenateRange(AZ962:BU962,"||")</f>
        <v/>
      </c>
      <c r="AZ962" t="str">
        <f t="shared" si="352"/>
        <v/>
      </c>
      <c r="BA962" t="str">
        <f t="shared" si="353"/>
        <v/>
      </c>
      <c r="BB962" t="str">
        <f t="shared" si="354"/>
        <v/>
      </c>
      <c r="BC962" t="str">
        <f t="shared" si="355"/>
        <v/>
      </c>
      <c r="BD962" t="str">
        <f t="shared" si="356"/>
        <v/>
      </c>
      <c r="BE962" t="str">
        <f t="shared" si="357"/>
        <v/>
      </c>
      <c r="BF962" t="str">
        <f t="shared" si="358"/>
        <v/>
      </c>
      <c r="BG962" t="str">
        <f t="shared" si="359"/>
        <v/>
      </c>
      <c r="BH962" t="str">
        <f t="shared" si="360"/>
        <v/>
      </c>
      <c r="BI962" t="str">
        <f t="shared" si="361"/>
        <v/>
      </c>
      <c r="BJ962" t="str">
        <f t="shared" si="362"/>
        <v/>
      </c>
      <c r="BK962" t="str">
        <f t="shared" si="363"/>
        <v/>
      </c>
      <c r="BL962" t="str">
        <f t="shared" si="364"/>
        <v/>
      </c>
      <c r="BM962" t="str">
        <f t="shared" si="365"/>
        <v/>
      </c>
      <c r="BN962" t="str">
        <f t="shared" si="366"/>
        <v/>
      </c>
      <c r="BO962" t="str">
        <f t="shared" si="367"/>
        <v/>
      </c>
      <c r="BP962" t="str">
        <f t="shared" si="368"/>
        <v/>
      </c>
      <c r="BQ962" t="str">
        <f t="shared" si="369"/>
        <v/>
      </c>
      <c r="BR962" t="str">
        <f t="shared" si="370"/>
        <v/>
      </c>
      <c r="BS962" t="str">
        <f t="shared" si="371"/>
        <v/>
      </c>
      <c r="BT962" t="str">
        <f t="shared" si="372"/>
        <v/>
      </c>
      <c r="BU962" t="str">
        <f t="shared" si="373"/>
        <v/>
      </c>
    </row>
    <row r="963" spans="1:73">
      <c r="A963" s="1">
        <v>127086</v>
      </c>
      <c r="B963" t="str">
        <f>VLOOKUP($A963,[1]Table!$A$2:$N1119,B$1,FALSE)</f>
        <v>N06BA04</v>
      </c>
      <c r="C963" t="str">
        <f>VLOOKUP($A963,[1]Table!$A$2:$N1119,C$1,FALSE)</f>
        <v>PSYCHOANALEPTICA</v>
      </c>
      <c r="D963" t="str">
        <f>VLOOKUP($A963,[1]Table!$A$2:$N1119,D$1,FALSE)</f>
        <v>PSYCHOSTIMULANTIA, MIDDELEN VOOR ADHD EN NOOTROPICA</v>
      </c>
      <c r="E963" t="str">
        <f>VLOOKUP($A963,[1]Table!$A$2:$N1119,E$1,FALSE)</f>
        <v>METHYLFENIDAAT</v>
      </c>
      <c r="F963" t="str">
        <f>VLOOKUP($A963,[1]Table!$A$2:$N1119,F$1,FALSE)</f>
        <v>MEDIKINET CR 40 MG CAPSULE MGA (RETARD)</v>
      </c>
      <c r="G963" t="str">
        <f>VLOOKUP($A963,[1]Table!$A$2:$N1119,G$1,FALSE)</f>
        <v>METHYLFENIDAAT 40MG CAP MGA</v>
      </c>
      <c r="H963" t="str">
        <f>VLOOKUP($A963,[1]Table!$A$2:$N1119,H$1,FALSE)</f>
        <v>capsule met gereguleerde afgifte</v>
      </c>
      <c r="I963" t="str">
        <f>VLOOKUP($A963,[1]Table!$A$2:$N1119,I$1,FALSE)</f>
        <v>or</v>
      </c>
      <c r="J963">
        <f>VLOOKUP($A963,[1]Table!$A$2:$N1119,J$1,FALSE)</f>
        <v>40</v>
      </c>
      <c r="K963" t="str">
        <f>VLOOKUP($A963,[1]Table!$A$2:$N1119,K$1,FALSE)</f>
        <v>mg/stuk</v>
      </c>
      <c r="L963">
        <f>VLOOKUP($A963,[1]Table!$A$2:$N1119,L$1,FALSE)</f>
        <v>40</v>
      </c>
      <c r="M963" t="str">
        <f>VLOOKUP($A963,[1]Table!$A$2:$N1119,M$1,FALSE)</f>
        <v>mg</v>
      </c>
      <c r="N963" t="str">
        <f>VLOOKUP($A963,[1]Table!$A$2:$N1119,N$1,FALSE)</f>
        <v>Attention Deficit Hyperactivity Disorder (ADHD)</v>
      </c>
      <c r="O963" t="str">
        <f>ConcatenateRange(AZ963:BU963,"||")</f>
        <v/>
      </c>
      <c r="AZ963" t="str">
        <f t="shared" si="352"/>
        <v/>
      </c>
      <c r="BA963" t="str">
        <f t="shared" si="353"/>
        <v/>
      </c>
      <c r="BB963" t="str">
        <f t="shared" si="354"/>
        <v/>
      </c>
      <c r="BC963" t="str">
        <f t="shared" si="355"/>
        <v/>
      </c>
      <c r="BD963" t="str">
        <f t="shared" si="356"/>
        <v/>
      </c>
      <c r="BE963" t="str">
        <f t="shared" si="357"/>
        <v/>
      </c>
      <c r="BF963" t="str">
        <f t="shared" si="358"/>
        <v/>
      </c>
      <c r="BG963" t="str">
        <f t="shared" si="359"/>
        <v/>
      </c>
      <c r="BH963" t="str">
        <f t="shared" si="360"/>
        <v/>
      </c>
      <c r="BI963" t="str">
        <f t="shared" si="361"/>
        <v/>
      </c>
      <c r="BJ963" t="str">
        <f t="shared" si="362"/>
        <v/>
      </c>
      <c r="BK963" t="str">
        <f t="shared" si="363"/>
        <v/>
      </c>
      <c r="BL963" t="str">
        <f t="shared" si="364"/>
        <v/>
      </c>
      <c r="BM963" t="str">
        <f t="shared" si="365"/>
        <v/>
      </c>
      <c r="BN963" t="str">
        <f t="shared" si="366"/>
        <v/>
      </c>
      <c r="BO963" t="str">
        <f t="shared" si="367"/>
        <v/>
      </c>
      <c r="BP963" t="str">
        <f t="shared" si="368"/>
        <v/>
      </c>
      <c r="BQ963" t="str">
        <f t="shared" si="369"/>
        <v/>
      </c>
      <c r="BR963" t="str">
        <f t="shared" si="370"/>
        <v/>
      </c>
      <c r="BS963" t="str">
        <f t="shared" si="371"/>
        <v/>
      </c>
      <c r="BT963" t="str">
        <f t="shared" si="372"/>
        <v/>
      </c>
      <c r="BU963" t="str">
        <f t="shared" si="373"/>
        <v/>
      </c>
    </row>
    <row r="964" spans="1:73">
      <c r="A964" s="1">
        <v>123668</v>
      </c>
      <c r="B964" t="str">
        <f>VLOOKUP($A964,[1]Table!$A$2:$N1120,B$1,FALSE)</f>
        <v>N06BA04</v>
      </c>
      <c r="C964" t="str">
        <f>VLOOKUP($A964,[1]Table!$A$2:$N1120,C$1,FALSE)</f>
        <v>PSYCHOANALEPTICA</v>
      </c>
      <c r="D964" t="str">
        <f>VLOOKUP($A964,[1]Table!$A$2:$N1120,D$1,FALSE)</f>
        <v>PSYCHOSTIMULANTIA, MIDDELEN VOOR ADHD EN NOOTROPICA</v>
      </c>
      <c r="E964" t="str">
        <f>VLOOKUP($A964,[1]Table!$A$2:$N1120,E$1,FALSE)</f>
        <v>METHYLFENIDAAT</v>
      </c>
      <c r="F964" t="str">
        <f>VLOOKUP($A964,[1]Table!$A$2:$N1120,F$1,FALSE)</f>
        <v>METHYLFENIDAAT HCL 5 MG TABLET</v>
      </c>
      <c r="G964" t="str">
        <f>VLOOKUP($A964,[1]Table!$A$2:$N1120,G$1,FALSE)</f>
        <v>METHYLFENIDAAT 5MG TABLET</v>
      </c>
      <c r="H964" t="str">
        <f>VLOOKUP($A964,[1]Table!$A$2:$N1120,H$1,FALSE)</f>
        <v>tablet</v>
      </c>
      <c r="I964" t="str">
        <f>VLOOKUP($A964,[1]Table!$A$2:$N1120,I$1,FALSE)</f>
        <v>or</v>
      </c>
      <c r="J964">
        <f>VLOOKUP($A964,[1]Table!$A$2:$N1120,J$1,FALSE)</f>
        <v>5</v>
      </c>
      <c r="K964" t="str">
        <f>VLOOKUP($A964,[1]Table!$A$2:$N1120,K$1,FALSE)</f>
        <v>mg/stuk</v>
      </c>
      <c r="L964">
        <f>VLOOKUP($A964,[1]Table!$A$2:$N1120,L$1,FALSE)</f>
        <v>5</v>
      </c>
      <c r="M964" t="str">
        <f>VLOOKUP($A964,[1]Table!$A$2:$N1120,M$1,FALSE)</f>
        <v>mg</v>
      </c>
      <c r="N964" t="str">
        <f>VLOOKUP($A964,[1]Table!$A$2:$N1120,N$1,FALSE)</f>
        <v>Attention Deficit Hyperactivity Disorder (ADHD)</v>
      </c>
      <c r="O964" t="str">
        <f>ConcatenateRange(AZ964:BU964,"||")</f>
        <v/>
      </c>
      <c r="AZ964" t="str">
        <f t="shared" si="352"/>
        <v/>
      </c>
      <c r="BA964" t="str">
        <f t="shared" si="353"/>
        <v/>
      </c>
      <c r="BB964" t="str">
        <f t="shared" si="354"/>
        <v/>
      </c>
      <c r="BC964" t="str">
        <f t="shared" si="355"/>
        <v/>
      </c>
      <c r="BD964" t="str">
        <f t="shared" si="356"/>
        <v/>
      </c>
      <c r="BE964" t="str">
        <f t="shared" si="357"/>
        <v/>
      </c>
      <c r="BF964" t="str">
        <f t="shared" si="358"/>
        <v/>
      </c>
      <c r="BG964" t="str">
        <f t="shared" si="359"/>
        <v/>
      </c>
      <c r="BH964" t="str">
        <f t="shared" si="360"/>
        <v/>
      </c>
      <c r="BI964" t="str">
        <f t="shared" si="361"/>
        <v/>
      </c>
      <c r="BJ964" t="str">
        <f t="shared" si="362"/>
        <v/>
      </c>
      <c r="BK964" t="str">
        <f t="shared" si="363"/>
        <v/>
      </c>
      <c r="BL964" t="str">
        <f t="shared" si="364"/>
        <v/>
      </c>
      <c r="BM964" t="str">
        <f t="shared" si="365"/>
        <v/>
      </c>
      <c r="BN964" t="str">
        <f t="shared" si="366"/>
        <v/>
      </c>
      <c r="BO964" t="str">
        <f t="shared" si="367"/>
        <v/>
      </c>
      <c r="BP964" t="str">
        <f t="shared" si="368"/>
        <v/>
      </c>
      <c r="BQ964" t="str">
        <f t="shared" si="369"/>
        <v/>
      </c>
      <c r="BR964" t="str">
        <f t="shared" si="370"/>
        <v/>
      </c>
      <c r="BS964" t="str">
        <f t="shared" si="371"/>
        <v/>
      </c>
      <c r="BT964" t="str">
        <f t="shared" si="372"/>
        <v/>
      </c>
      <c r="BU964" t="str">
        <f t="shared" si="373"/>
        <v/>
      </c>
    </row>
    <row r="965" spans="1:73">
      <c r="A965" s="1">
        <v>8354</v>
      </c>
      <c r="B965" t="str">
        <f>VLOOKUP($A965,[1]Table!$A$2:$N1121,B$1,FALSE)</f>
        <v>N06BA04</v>
      </c>
      <c r="C965" t="str">
        <f>VLOOKUP($A965,[1]Table!$A$2:$N1121,C$1,FALSE)</f>
        <v>PSYCHOANALEPTICA</v>
      </c>
      <c r="D965" t="str">
        <f>VLOOKUP($A965,[1]Table!$A$2:$N1121,D$1,FALSE)</f>
        <v>PSYCHOSTIMULANTIA, MIDDELEN VOOR ADHD EN NOOTROPICA</v>
      </c>
      <c r="E965" t="str">
        <f>VLOOKUP($A965,[1]Table!$A$2:$N1121,E$1,FALSE)</f>
        <v>METHYLFENIDAAT</v>
      </c>
      <c r="F965" t="str">
        <f>VLOOKUP($A965,[1]Table!$A$2:$N1121,F$1,FALSE)</f>
        <v>METHYLFENIDAAT 10 MG TABLET</v>
      </c>
      <c r="G965" t="str">
        <f>VLOOKUP($A965,[1]Table!$A$2:$N1121,G$1,FALSE)</f>
        <v>METHYLFENIDAAT 10MG TABLET</v>
      </c>
      <c r="H965" t="str">
        <f>VLOOKUP($A965,[1]Table!$A$2:$N1121,H$1,FALSE)</f>
        <v>tablet</v>
      </c>
      <c r="I965" t="str">
        <f>VLOOKUP($A965,[1]Table!$A$2:$N1121,I$1,FALSE)</f>
        <v>or</v>
      </c>
      <c r="J965">
        <f>VLOOKUP($A965,[1]Table!$A$2:$N1121,J$1,FALSE)</f>
        <v>10</v>
      </c>
      <c r="K965" t="str">
        <f>VLOOKUP($A965,[1]Table!$A$2:$N1121,K$1,FALSE)</f>
        <v>mg/stuk</v>
      </c>
      <c r="L965">
        <f>VLOOKUP($A965,[1]Table!$A$2:$N1121,L$1,FALSE)</f>
        <v>10</v>
      </c>
      <c r="M965" t="str">
        <f>VLOOKUP($A965,[1]Table!$A$2:$N1121,M$1,FALSE)</f>
        <v>mg</v>
      </c>
      <c r="N965" t="str">
        <f>VLOOKUP($A965,[1]Table!$A$2:$N1121,N$1,FALSE)</f>
        <v>Attention Deficit Hyperactivity Disorder (ADHD)</v>
      </c>
      <c r="O965" t="str">
        <f>ConcatenateRange(AZ965:BU965,"||")</f>
        <v/>
      </c>
      <c r="AZ965" t="str">
        <f t="shared" si="352"/>
        <v/>
      </c>
      <c r="BA965" t="str">
        <f t="shared" si="353"/>
        <v/>
      </c>
      <c r="BB965" t="str">
        <f t="shared" si="354"/>
        <v/>
      </c>
      <c r="BC965" t="str">
        <f t="shared" si="355"/>
        <v/>
      </c>
      <c r="BD965" t="str">
        <f t="shared" si="356"/>
        <v/>
      </c>
      <c r="BE965" t="str">
        <f t="shared" si="357"/>
        <v/>
      </c>
      <c r="BF965" t="str">
        <f t="shared" si="358"/>
        <v/>
      </c>
      <c r="BG965" t="str">
        <f t="shared" si="359"/>
        <v/>
      </c>
      <c r="BH965" t="str">
        <f t="shared" si="360"/>
        <v/>
      </c>
      <c r="BI965" t="str">
        <f t="shared" si="361"/>
        <v/>
      </c>
      <c r="BJ965" t="str">
        <f t="shared" si="362"/>
        <v/>
      </c>
      <c r="BK965" t="str">
        <f t="shared" si="363"/>
        <v/>
      </c>
      <c r="BL965" t="str">
        <f t="shared" si="364"/>
        <v/>
      </c>
      <c r="BM965" t="str">
        <f t="shared" si="365"/>
        <v/>
      </c>
      <c r="BN965" t="str">
        <f t="shared" si="366"/>
        <v/>
      </c>
      <c r="BO965" t="str">
        <f t="shared" si="367"/>
        <v/>
      </c>
      <c r="BP965" t="str">
        <f t="shared" si="368"/>
        <v/>
      </c>
      <c r="BQ965" t="str">
        <f t="shared" si="369"/>
        <v/>
      </c>
      <c r="BR965" t="str">
        <f t="shared" si="370"/>
        <v/>
      </c>
      <c r="BS965" t="str">
        <f t="shared" si="371"/>
        <v/>
      </c>
      <c r="BT965" t="str">
        <f t="shared" si="372"/>
        <v/>
      </c>
      <c r="BU965" t="str">
        <f t="shared" si="373"/>
        <v/>
      </c>
    </row>
    <row r="966" spans="1:73">
      <c r="A966" s="1">
        <v>116734</v>
      </c>
      <c r="B966" t="str">
        <f>VLOOKUP($A966,[1]Table!$A$2:$N1122,B$1,FALSE)</f>
        <v>N06BA04</v>
      </c>
      <c r="C966" t="str">
        <f>VLOOKUP($A966,[1]Table!$A$2:$N1122,C$1,FALSE)</f>
        <v>PSYCHOANALEPTICA</v>
      </c>
      <c r="D966" t="str">
        <f>VLOOKUP($A966,[1]Table!$A$2:$N1122,D$1,FALSE)</f>
        <v>PSYCHOSTIMULANTIA, MIDDELEN VOOR ADHD EN NOOTROPICA</v>
      </c>
      <c r="E966" t="s">
        <v>113</v>
      </c>
      <c r="F966" t="str">
        <f>VLOOKUP($A966,[1]Table!$A$2:$N1122,F$1,FALSE)</f>
        <v>CONCERTA 18 MG TABLET MGA (RETARD)</v>
      </c>
      <c r="G966" t="str">
        <f>VLOOKUP($A966,[1]Table!$A$2:$N1122,G$1,FALSE)</f>
        <v>METHYLFENIDAAT 18MG TAB MGA</v>
      </c>
      <c r="H966" t="str">
        <f>VLOOKUP($A966,[1]Table!$A$2:$N1122,H$1,FALSE)</f>
        <v>tablet met gereguleerde afgifte</v>
      </c>
      <c r="I966" t="str">
        <f>VLOOKUP($A966,[1]Table!$A$2:$N1122,I$1,FALSE)</f>
        <v>or</v>
      </c>
      <c r="J966">
        <f>VLOOKUP($A966,[1]Table!$A$2:$N1122,J$1,FALSE)</f>
        <v>18</v>
      </c>
      <c r="K966" t="str">
        <f>VLOOKUP($A966,[1]Table!$A$2:$N1122,K$1,FALSE)</f>
        <v>mg/stuk</v>
      </c>
      <c r="L966">
        <f>VLOOKUP($A966,[1]Table!$A$2:$N1122,L$1,FALSE)</f>
        <v>18</v>
      </c>
      <c r="M966" t="str">
        <f>VLOOKUP($A966,[1]Table!$A$2:$N1122,M$1,FALSE)</f>
        <v>mg</v>
      </c>
      <c r="N966" t="str">
        <f>VLOOKUP($A966,[1]Table!$A$2:$N1122,N$1,FALSE)</f>
        <v>Attention Deficit Hyperactivity Disorder (ADHD)</v>
      </c>
      <c r="O966" t="str">
        <f>ConcatenateRange(AZ966:BU966,"||")</f>
        <v/>
      </c>
      <c r="AZ966" t="str">
        <f t="shared" si="352"/>
        <v/>
      </c>
      <c r="BA966" t="str">
        <f t="shared" si="353"/>
        <v/>
      </c>
      <c r="BB966" t="str">
        <f t="shared" si="354"/>
        <v/>
      </c>
      <c r="BC966" t="str">
        <f t="shared" si="355"/>
        <v/>
      </c>
      <c r="BD966" t="str">
        <f t="shared" si="356"/>
        <v/>
      </c>
      <c r="BE966" t="str">
        <f t="shared" si="357"/>
        <v/>
      </c>
      <c r="BF966" t="str">
        <f t="shared" si="358"/>
        <v/>
      </c>
      <c r="BG966" t="str">
        <f t="shared" si="359"/>
        <v/>
      </c>
      <c r="BH966" t="str">
        <f t="shared" si="360"/>
        <v/>
      </c>
      <c r="BI966" t="str">
        <f t="shared" si="361"/>
        <v/>
      </c>
      <c r="BJ966" t="str">
        <f t="shared" si="362"/>
        <v/>
      </c>
      <c r="BK966" t="str">
        <f t="shared" si="363"/>
        <v/>
      </c>
      <c r="BL966" t="str">
        <f t="shared" si="364"/>
        <v/>
      </c>
      <c r="BM966" t="str">
        <f t="shared" si="365"/>
        <v/>
      </c>
      <c r="BN966" t="str">
        <f t="shared" si="366"/>
        <v/>
      </c>
      <c r="BO966" t="str">
        <f t="shared" si="367"/>
        <v/>
      </c>
      <c r="BP966" t="str">
        <f t="shared" si="368"/>
        <v/>
      </c>
      <c r="BQ966" t="str">
        <f t="shared" si="369"/>
        <v/>
      </c>
      <c r="BR966" t="str">
        <f t="shared" si="370"/>
        <v/>
      </c>
      <c r="BS966" t="str">
        <f t="shared" si="371"/>
        <v/>
      </c>
      <c r="BT966" t="str">
        <f t="shared" si="372"/>
        <v/>
      </c>
      <c r="BU966" t="str">
        <f t="shared" si="373"/>
        <v/>
      </c>
    </row>
    <row r="967" spans="1:73">
      <c r="A967" s="1">
        <v>129798</v>
      </c>
      <c r="B967" t="str">
        <f>VLOOKUP($A967,[1]Table!$A$2:$N1123,B$1,FALSE)</f>
        <v>N06BA04</v>
      </c>
      <c r="C967" t="str">
        <f>VLOOKUP($A967,[1]Table!$A$2:$N1123,C$1,FALSE)</f>
        <v>PSYCHOANALEPTICA</v>
      </c>
      <c r="D967" t="str">
        <f>VLOOKUP($A967,[1]Table!$A$2:$N1123,D$1,FALSE)</f>
        <v>PSYCHOSTIMULANTIA, MIDDELEN VOOR ADHD EN NOOTROPICA</v>
      </c>
      <c r="E967" t="s">
        <v>113</v>
      </c>
      <c r="F967" t="str">
        <f>VLOOKUP($A967,[1]Table!$A$2:$N1123,F$1,FALSE)</f>
        <v>CONCERTA 27 MG TABLET MGA (RETARD)</v>
      </c>
      <c r="G967" t="str">
        <f>VLOOKUP($A967,[1]Table!$A$2:$N1123,G$1,FALSE)</f>
        <v>METHYLFENIDAAT 27MG TABLET</v>
      </c>
      <c r="H967" t="str">
        <f>VLOOKUP($A967,[1]Table!$A$2:$N1123,H$1,FALSE)</f>
        <v>tablet met gereguleerde afgifte</v>
      </c>
      <c r="I967" t="str">
        <f>VLOOKUP($A967,[1]Table!$A$2:$N1123,I$1,FALSE)</f>
        <v>or</v>
      </c>
      <c r="J967">
        <f>VLOOKUP($A967,[1]Table!$A$2:$N1123,J$1,FALSE)</f>
        <v>27</v>
      </c>
      <c r="K967" t="str">
        <f>VLOOKUP($A967,[1]Table!$A$2:$N1123,K$1,FALSE)</f>
        <v>mg/stuk</v>
      </c>
      <c r="L967">
        <f>VLOOKUP($A967,[1]Table!$A$2:$N1123,L$1,FALSE)</f>
        <v>27</v>
      </c>
      <c r="M967" t="str">
        <f>VLOOKUP($A967,[1]Table!$A$2:$N1123,M$1,FALSE)</f>
        <v>mg</v>
      </c>
      <c r="N967" t="str">
        <f>VLOOKUP($A967,[1]Table!$A$2:$N1123,N$1,FALSE)</f>
        <v>Attention Deficit Hyperactivity Disorder (ADHD)</v>
      </c>
      <c r="O967" t="str">
        <f>ConcatenateRange(AZ967:BU967,"||")</f>
        <v/>
      </c>
      <c r="AZ967" t="str">
        <f t="shared" si="352"/>
        <v/>
      </c>
      <c r="BA967" t="str">
        <f t="shared" si="353"/>
        <v/>
      </c>
      <c r="BB967" t="str">
        <f t="shared" si="354"/>
        <v/>
      </c>
      <c r="BC967" t="str">
        <f t="shared" si="355"/>
        <v/>
      </c>
      <c r="BD967" t="str">
        <f t="shared" si="356"/>
        <v/>
      </c>
      <c r="BE967" t="str">
        <f t="shared" si="357"/>
        <v/>
      </c>
      <c r="BF967" t="str">
        <f t="shared" si="358"/>
        <v/>
      </c>
      <c r="BG967" t="str">
        <f t="shared" si="359"/>
        <v/>
      </c>
      <c r="BH967" t="str">
        <f t="shared" si="360"/>
        <v/>
      </c>
      <c r="BI967" t="str">
        <f t="shared" si="361"/>
        <v/>
      </c>
      <c r="BJ967" t="str">
        <f t="shared" si="362"/>
        <v/>
      </c>
      <c r="BK967" t="str">
        <f t="shared" si="363"/>
        <v/>
      </c>
      <c r="BL967" t="str">
        <f t="shared" si="364"/>
        <v/>
      </c>
      <c r="BM967" t="str">
        <f t="shared" si="365"/>
        <v/>
      </c>
      <c r="BN967" t="str">
        <f t="shared" si="366"/>
        <v/>
      </c>
      <c r="BO967" t="str">
        <f t="shared" si="367"/>
        <v/>
      </c>
      <c r="BP967" t="str">
        <f t="shared" si="368"/>
        <v/>
      </c>
      <c r="BQ967" t="str">
        <f t="shared" si="369"/>
        <v/>
      </c>
      <c r="BR967" t="str">
        <f t="shared" si="370"/>
        <v/>
      </c>
      <c r="BS967" t="str">
        <f t="shared" si="371"/>
        <v/>
      </c>
      <c r="BT967" t="str">
        <f t="shared" si="372"/>
        <v/>
      </c>
      <c r="BU967" t="str">
        <f t="shared" si="373"/>
        <v/>
      </c>
    </row>
    <row r="968" spans="1:73">
      <c r="A968" s="1">
        <v>116742</v>
      </c>
      <c r="B968" t="str">
        <f>VLOOKUP($A968,[1]Table!$A$2:$N1124,B$1,FALSE)</f>
        <v>N06BA04</v>
      </c>
      <c r="C968" t="str">
        <f>VLOOKUP($A968,[1]Table!$A$2:$N1124,C$1,FALSE)</f>
        <v>PSYCHOANALEPTICA</v>
      </c>
      <c r="D968" t="str">
        <f>VLOOKUP($A968,[1]Table!$A$2:$N1124,D$1,FALSE)</f>
        <v>PSYCHOSTIMULANTIA, MIDDELEN VOOR ADHD EN NOOTROPICA</v>
      </c>
      <c r="E968" t="s">
        <v>113</v>
      </c>
      <c r="F968" t="str">
        <f>VLOOKUP($A968,[1]Table!$A$2:$N1124,F$1,FALSE)</f>
        <v>CONCERTA 36 MG TABLET MGA (RETARD)</v>
      </c>
      <c r="G968" t="str">
        <f>VLOOKUP($A968,[1]Table!$A$2:$N1124,G$1,FALSE)</f>
        <v>METHYLFENIDAAT 36MG TAB MGA</v>
      </c>
      <c r="H968" t="str">
        <f>VLOOKUP($A968,[1]Table!$A$2:$N1124,H$1,FALSE)</f>
        <v>tablet met gereguleerde afgifte</v>
      </c>
      <c r="I968" t="str">
        <f>VLOOKUP($A968,[1]Table!$A$2:$N1124,I$1,FALSE)</f>
        <v>or</v>
      </c>
      <c r="J968">
        <f>VLOOKUP($A968,[1]Table!$A$2:$N1124,J$1,FALSE)</f>
        <v>36</v>
      </c>
      <c r="K968" t="str">
        <f>VLOOKUP($A968,[1]Table!$A$2:$N1124,K$1,FALSE)</f>
        <v>mg/stuk</v>
      </c>
      <c r="L968">
        <f>VLOOKUP($A968,[1]Table!$A$2:$N1124,L$1,FALSE)</f>
        <v>36</v>
      </c>
      <c r="M968" t="str">
        <f>VLOOKUP($A968,[1]Table!$A$2:$N1124,M$1,FALSE)</f>
        <v>mg</v>
      </c>
      <c r="N968" t="str">
        <f>VLOOKUP($A968,[1]Table!$A$2:$N1124,N$1,FALSE)</f>
        <v>Attention Deficit Hyperactivity Disorder (ADHD)</v>
      </c>
      <c r="O968" t="str">
        <f>ConcatenateRange(AZ968:BU968,"||")</f>
        <v/>
      </c>
      <c r="AZ968" t="str">
        <f t="shared" si="352"/>
        <v/>
      </c>
      <c r="BA968" t="str">
        <f t="shared" si="353"/>
        <v/>
      </c>
      <c r="BB968" t="str">
        <f t="shared" si="354"/>
        <v/>
      </c>
      <c r="BC968" t="str">
        <f t="shared" si="355"/>
        <v/>
      </c>
      <c r="BD968" t="str">
        <f t="shared" si="356"/>
        <v/>
      </c>
      <c r="BE968" t="str">
        <f t="shared" si="357"/>
        <v/>
      </c>
      <c r="BF968" t="str">
        <f t="shared" si="358"/>
        <v/>
      </c>
      <c r="BG968" t="str">
        <f t="shared" si="359"/>
        <v/>
      </c>
      <c r="BH968" t="str">
        <f t="shared" si="360"/>
        <v/>
      </c>
      <c r="BI968" t="str">
        <f t="shared" si="361"/>
        <v/>
      </c>
      <c r="BJ968" t="str">
        <f t="shared" si="362"/>
        <v/>
      </c>
      <c r="BK968" t="str">
        <f t="shared" si="363"/>
        <v/>
      </c>
      <c r="BL968" t="str">
        <f t="shared" si="364"/>
        <v/>
      </c>
      <c r="BM968" t="str">
        <f t="shared" si="365"/>
        <v/>
      </c>
      <c r="BN968" t="str">
        <f t="shared" si="366"/>
        <v/>
      </c>
      <c r="BO968" t="str">
        <f t="shared" si="367"/>
        <v/>
      </c>
      <c r="BP968" t="str">
        <f t="shared" si="368"/>
        <v/>
      </c>
      <c r="BQ968" t="str">
        <f t="shared" si="369"/>
        <v/>
      </c>
      <c r="BR968" t="str">
        <f t="shared" si="370"/>
        <v/>
      </c>
      <c r="BS968" t="str">
        <f t="shared" si="371"/>
        <v/>
      </c>
      <c r="BT968" t="str">
        <f t="shared" si="372"/>
        <v/>
      </c>
      <c r="BU968" t="str">
        <f t="shared" si="373"/>
        <v/>
      </c>
    </row>
    <row r="969" spans="1:73">
      <c r="A969" s="1">
        <v>117560</v>
      </c>
      <c r="B969" t="str">
        <f>VLOOKUP($A969,[1]Table!$A$2:$N1125,B$1,FALSE)</f>
        <v>N06BA04</v>
      </c>
      <c r="C969" t="str">
        <f>VLOOKUP($A969,[1]Table!$A$2:$N1125,C$1,FALSE)</f>
        <v>PSYCHOANALEPTICA</v>
      </c>
      <c r="D969" t="str">
        <f>VLOOKUP($A969,[1]Table!$A$2:$N1125,D$1,FALSE)</f>
        <v>PSYCHOSTIMULANTIA, MIDDELEN VOOR ADHD EN NOOTROPICA</v>
      </c>
      <c r="E969" t="s">
        <v>113</v>
      </c>
      <c r="F969" t="str">
        <f>VLOOKUP($A969,[1]Table!$A$2:$N1125,F$1,FALSE)</f>
        <v>CONCERTA 54 MG TABLET MGA (RETARD)</v>
      </c>
      <c r="G969" t="str">
        <f>VLOOKUP($A969,[1]Table!$A$2:$N1125,G$1,FALSE)</f>
        <v>METHYLFENIDAAT 54MG TAB MGA</v>
      </c>
      <c r="H969" t="str">
        <f>VLOOKUP($A969,[1]Table!$A$2:$N1125,H$1,FALSE)</f>
        <v>tablet met gereguleerde afgifte</v>
      </c>
      <c r="I969" t="str">
        <f>VLOOKUP($A969,[1]Table!$A$2:$N1125,I$1,FALSE)</f>
        <v>or</v>
      </c>
      <c r="J969">
        <f>VLOOKUP($A969,[1]Table!$A$2:$N1125,J$1,FALSE)</f>
        <v>54</v>
      </c>
      <c r="K969" t="str">
        <f>VLOOKUP($A969,[1]Table!$A$2:$N1125,K$1,FALSE)</f>
        <v>mg/stuk</v>
      </c>
      <c r="L969">
        <f>VLOOKUP($A969,[1]Table!$A$2:$N1125,L$1,FALSE)</f>
        <v>54</v>
      </c>
      <c r="M969" t="str">
        <f>VLOOKUP($A969,[1]Table!$A$2:$N1125,M$1,FALSE)</f>
        <v>mg</v>
      </c>
      <c r="N969" t="str">
        <f>VLOOKUP($A969,[1]Table!$A$2:$N1125,N$1,FALSE)</f>
        <v>Attention Deficit Hyperactivity Disorder (ADHD)</v>
      </c>
      <c r="O969" t="str">
        <f>ConcatenateRange(AZ969:BU969,"||")</f>
        <v/>
      </c>
      <c r="AZ969" t="str">
        <f t="shared" si="352"/>
        <v/>
      </c>
      <c r="BA969" t="str">
        <f t="shared" si="353"/>
        <v/>
      </c>
      <c r="BB969" t="str">
        <f t="shared" si="354"/>
        <v/>
      </c>
      <c r="BC969" t="str">
        <f t="shared" si="355"/>
        <v/>
      </c>
      <c r="BD969" t="str">
        <f t="shared" si="356"/>
        <v/>
      </c>
      <c r="BE969" t="str">
        <f t="shared" si="357"/>
        <v/>
      </c>
      <c r="BF969" t="str">
        <f t="shared" si="358"/>
        <v/>
      </c>
      <c r="BG969" t="str">
        <f t="shared" si="359"/>
        <v/>
      </c>
      <c r="BH969" t="str">
        <f t="shared" si="360"/>
        <v/>
      </c>
      <c r="BI969" t="str">
        <f t="shared" si="361"/>
        <v/>
      </c>
      <c r="BJ969" t="str">
        <f t="shared" si="362"/>
        <v/>
      </c>
      <c r="BK969" t="str">
        <f t="shared" si="363"/>
        <v/>
      </c>
      <c r="BL969" t="str">
        <f t="shared" si="364"/>
        <v/>
      </c>
      <c r="BM969" t="str">
        <f t="shared" si="365"/>
        <v/>
      </c>
      <c r="BN969" t="str">
        <f t="shared" si="366"/>
        <v/>
      </c>
      <c r="BO969" t="str">
        <f t="shared" si="367"/>
        <v/>
      </c>
      <c r="BP969" t="str">
        <f t="shared" si="368"/>
        <v/>
      </c>
      <c r="BQ969" t="str">
        <f t="shared" si="369"/>
        <v/>
      </c>
      <c r="BR969" t="str">
        <f t="shared" si="370"/>
        <v/>
      </c>
      <c r="BS969" t="str">
        <f t="shared" si="371"/>
        <v/>
      </c>
      <c r="BT969" t="str">
        <f t="shared" si="372"/>
        <v/>
      </c>
      <c r="BU969" t="str">
        <f t="shared" si="373"/>
        <v/>
      </c>
    </row>
    <row r="970" spans="1:73">
      <c r="A970" s="1">
        <v>8567</v>
      </c>
      <c r="B970" t="str">
        <f>VLOOKUP($A970,[1]Table!$A$2:$N1126,B$1,FALSE)</f>
        <v>H02AB04</v>
      </c>
      <c r="C970" t="str">
        <f>VLOOKUP($A970,[1]Table!$A$2:$N1126,C$1,FALSE)</f>
        <v>CORTICOSTEROIDEN VOOR SYSTEMISCH GEBRUIK</v>
      </c>
      <c r="D970" t="str">
        <f>VLOOKUP($A970,[1]Table!$A$2:$N1126,D$1,FALSE)</f>
        <v>CORTICOSTEROIDEN VOOR SYSTEMISCH GEBRUIK</v>
      </c>
      <c r="E970" t="str">
        <f>VLOOKUP($A970,[1]Table!$A$2:$N1126,E$1,FALSE)</f>
        <v>METHYLPREDNISOLON</v>
      </c>
      <c r="F970" t="str">
        <f>VLOOKUP($A970,[1]Table!$A$2:$N1126,F$1,FALSE)</f>
        <v>DEPO MEDROL 40 MG/ML FLACON 1ML</v>
      </c>
      <c r="G970" t="str">
        <f>VLOOKUP($A970,[1]Table!$A$2:$N1126,G$1,FALSE)</f>
        <v>METHYLPREDNISOL 40MG/ML INJ</v>
      </c>
      <c r="H970" t="str">
        <f>VLOOKUP($A970,[1]Table!$A$2:$N1126,H$1,FALSE)</f>
        <v>injectievloeistof</v>
      </c>
      <c r="I970" t="str">
        <f>VLOOKUP($A970,[1]Table!$A$2:$N1126,I$1,FALSE)</f>
        <v>im||intraartic||lesion||intraburs||periartic</v>
      </c>
      <c r="J970">
        <f>VLOOKUP($A970,[1]Table!$A$2:$N1126,J$1,FALSE)</f>
        <v>40</v>
      </c>
      <c r="K970" t="str">
        <f>VLOOKUP($A970,[1]Table!$A$2:$N1126,K$1,FALSE)</f>
        <v>mg/ml</v>
      </c>
      <c r="L970">
        <f>VLOOKUP($A970,[1]Table!$A$2:$N1126,L$1,FALSE)</f>
        <v>40</v>
      </c>
      <c r="M970" t="str">
        <f>VLOOKUP($A970,[1]Table!$A$2:$N1126,M$1,FALSE)</f>
        <v>mg</v>
      </c>
      <c r="N970" t="str">
        <f>VLOOKUP($A970,[1]Table!$A$2:$N1126,N$1,FALSE)</f>
        <v>Pulse-therapie na rejectie donororganen of therapie resistente SLE||Alloreactieve longproblemen||High-dose schema (nektrauma) ||Hemolytische autoimmuun anemie||Juveniele dermatomyositis</v>
      </c>
      <c r="O970" t="str">
        <f>ConcatenateRange(AZ970:BU970,"||")</f>
        <v/>
      </c>
      <c r="AZ970" t="str">
        <f t="shared" si="352"/>
        <v/>
      </c>
      <c r="BA970" t="str">
        <f t="shared" si="353"/>
        <v/>
      </c>
      <c r="BB970" t="str">
        <f t="shared" si="354"/>
        <v/>
      </c>
      <c r="BC970" t="str">
        <f t="shared" si="355"/>
        <v/>
      </c>
      <c r="BD970" t="str">
        <f t="shared" si="356"/>
        <v/>
      </c>
      <c r="BE970" t="str">
        <f t="shared" si="357"/>
        <v/>
      </c>
      <c r="BF970" t="str">
        <f t="shared" si="358"/>
        <v/>
      </c>
      <c r="BG970" t="str">
        <f t="shared" si="359"/>
        <v/>
      </c>
      <c r="BH970" t="str">
        <f t="shared" si="360"/>
        <v/>
      </c>
      <c r="BI970" t="str">
        <f t="shared" si="361"/>
        <v/>
      </c>
      <c r="BJ970" t="str">
        <f t="shared" si="362"/>
        <v/>
      </c>
      <c r="BK970" t="str">
        <f t="shared" si="363"/>
        <v/>
      </c>
      <c r="BL970" t="str">
        <f t="shared" si="364"/>
        <v/>
      </c>
      <c r="BM970" t="str">
        <f t="shared" si="365"/>
        <v/>
      </c>
      <c r="BN970" t="str">
        <f t="shared" si="366"/>
        <v/>
      </c>
      <c r="BO970" t="str">
        <f t="shared" si="367"/>
        <v/>
      </c>
      <c r="BP970" t="str">
        <f t="shared" si="368"/>
        <v/>
      </c>
      <c r="BQ970" t="str">
        <f t="shared" si="369"/>
        <v/>
      </c>
      <c r="BR970" t="str">
        <f t="shared" si="370"/>
        <v/>
      </c>
      <c r="BS970" t="str">
        <f t="shared" si="371"/>
        <v/>
      </c>
      <c r="BT970" t="str">
        <f t="shared" si="372"/>
        <v/>
      </c>
      <c r="BU970" t="str">
        <f t="shared" si="373"/>
        <v/>
      </c>
    </row>
    <row r="971" spans="1:73">
      <c r="A971" s="1">
        <v>70777</v>
      </c>
      <c r="B971" t="str">
        <f>VLOOKUP($A971,[1]Table!$A$2:$N1128,B$1,FALSE)</f>
        <v>H02AB04</v>
      </c>
      <c r="C971" t="str">
        <f>VLOOKUP($A971,[1]Table!$A$2:$N1128,C$1,FALSE)</f>
        <v>CORTICOSTEROIDEN VOOR SYSTEMISCH GEBRUIK</v>
      </c>
      <c r="D971" t="str">
        <f>VLOOKUP($A971,[1]Table!$A$2:$N1128,D$1,FALSE)</f>
        <v>CORTICOSTEROIDEN VOOR SYSTEMISCH GEBRUIK</v>
      </c>
      <c r="E971" t="str">
        <f>VLOOKUP($A971,[1]Table!$A$2:$N1128,E$1,FALSE)</f>
        <v>METHYLPREDNISOLON</v>
      </c>
      <c r="F971" t="str">
        <f>VLOOKUP($A971,[1]Table!$A$2:$N1128,F$1,FALSE)</f>
        <v>SOLU MEDROL 125 MG POEDER VOOR INFUUS</v>
      </c>
      <c r="G971" t="str">
        <f>VLOOKUP($A971,[1]Table!$A$2:$N1128,G$1,FALSE)</f>
        <v>METHYLPREDNISOL 125MG INFPD</v>
      </c>
      <c r="H971" t="str">
        <f>VLOOKUP($A971,[1]Table!$A$2:$N1128,H$1,FALSE)</f>
        <v>poeder voor oplossing voor infusie</v>
      </c>
      <c r="I971" t="str">
        <f>VLOOKUP($A971,[1]Table!$A$2:$N1128,I$1,FALSE)</f>
        <v>im||iv</v>
      </c>
      <c r="J971">
        <f>VLOOKUP($A971,[1]Table!$A$2:$N1128,J$1,FALSE)</f>
        <v>125</v>
      </c>
      <c r="K971" t="str">
        <f>VLOOKUP($A971,[1]Table!$A$2:$N1128,K$1,FALSE)</f>
        <v>mg/stuk</v>
      </c>
      <c r="L971">
        <f>VLOOKUP($A971,[1]Table!$A$2:$N1128,L$1,FALSE)</f>
        <v>125</v>
      </c>
      <c r="M971" t="str">
        <f>VLOOKUP($A971,[1]Table!$A$2:$N1128,M$1,FALSE)</f>
        <v>mg</v>
      </c>
      <c r="N971" t="str">
        <f>VLOOKUP($A971,[1]Table!$A$2:$N1128,N$1,FALSE)</f>
        <v>Pulse-therapie na rejectie donororganen of therapie resistente SLE||Alloreactieve longproblemen||High-dose schema (nektrauma) ||Hemolytische autoimmuun anemie||Juveniele dermatomyositis</v>
      </c>
      <c r="O971" t="str">
        <f>ConcatenateRange(AZ971:BU971,"||")</f>
        <v/>
      </c>
      <c r="T971" s="11"/>
      <c r="U971" s="11"/>
      <c r="AZ971" t="str">
        <f t="shared" si="352"/>
        <v/>
      </c>
      <c r="BA971" t="str">
        <f t="shared" si="353"/>
        <v/>
      </c>
      <c r="BB971" t="str">
        <f t="shared" si="354"/>
        <v/>
      </c>
      <c r="BC971" t="str">
        <f t="shared" si="355"/>
        <v/>
      </c>
      <c r="BD971" t="str">
        <f t="shared" si="356"/>
        <v/>
      </c>
      <c r="BE971" t="str">
        <f t="shared" si="357"/>
        <v/>
      </c>
      <c r="BF971" t="str">
        <f t="shared" si="358"/>
        <v/>
      </c>
      <c r="BG971" t="str">
        <f t="shared" si="359"/>
        <v/>
      </c>
      <c r="BH971" t="str">
        <f t="shared" si="360"/>
        <v/>
      </c>
      <c r="BI971" t="str">
        <f t="shared" si="361"/>
        <v/>
      </c>
      <c r="BJ971" t="str">
        <f t="shared" si="362"/>
        <v/>
      </c>
      <c r="BK971" t="str">
        <f t="shared" si="363"/>
        <v/>
      </c>
      <c r="BL971" t="str">
        <f t="shared" si="364"/>
        <v/>
      </c>
      <c r="BM971" t="str">
        <f t="shared" si="365"/>
        <v/>
      </c>
      <c r="BN971" t="str">
        <f t="shared" si="366"/>
        <v/>
      </c>
      <c r="BO971" t="str">
        <f t="shared" si="367"/>
        <v/>
      </c>
      <c r="BP971" t="str">
        <f t="shared" si="368"/>
        <v/>
      </c>
      <c r="BQ971" t="str">
        <f t="shared" si="369"/>
        <v/>
      </c>
      <c r="BR971" t="str">
        <f t="shared" si="370"/>
        <v/>
      </c>
      <c r="BS971" t="str">
        <f t="shared" si="371"/>
        <v/>
      </c>
      <c r="BT971" t="str">
        <f t="shared" si="372"/>
        <v/>
      </c>
      <c r="BU971" t="str">
        <f t="shared" si="373"/>
        <v/>
      </c>
    </row>
    <row r="972" spans="1:73">
      <c r="A972" s="1">
        <v>70785</v>
      </c>
      <c r="B972" t="str">
        <f>VLOOKUP($A972,[1]Table!$A$2:$N1129,B$1,FALSE)</f>
        <v>H02AB04</v>
      </c>
      <c r="C972" t="str">
        <f>VLOOKUP($A972,[1]Table!$A$2:$N1129,C$1,FALSE)</f>
        <v>CORTICOSTEROIDEN VOOR SYSTEMISCH GEBRUIK</v>
      </c>
      <c r="D972" t="str">
        <f>VLOOKUP($A972,[1]Table!$A$2:$N1129,D$1,FALSE)</f>
        <v>CORTICOSTEROIDEN VOOR SYSTEMISCH GEBRUIK</v>
      </c>
      <c r="E972" t="str">
        <f>VLOOKUP($A972,[1]Table!$A$2:$N1129,E$1,FALSE)</f>
        <v>METHYLPREDNISOLON</v>
      </c>
      <c r="F972" t="str">
        <f>VLOOKUP($A972,[1]Table!$A$2:$N1129,F$1,FALSE)</f>
        <v>SOLU MEDROL 500MG POEDER VOOR INFUUS</v>
      </c>
      <c r="G972" t="str">
        <f>VLOOKUP($A972,[1]Table!$A$2:$N1129,G$1,FALSE)</f>
        <v>METHYLPREDNISOL 500MG INFPD</v>
      </c>
      <c r="H972" t="str">
        <f>VLOOKUP($A972,[1]Table!$A$2:$N1129,H$1,FALSE)</f>
        <v>poeder voor oplossing voor infusie</v>
      </c>
      <c r="I972" t="str">
        <f>VLOOKUP($A972,[1]Table!$A$2:$N1129,I$1,FALSE)</f>
        <v>iv</v>
      </c>
      <c r="J972">
        <f>VLOOKUP($A972,[1]Table!$A$2:$N1129,J$1,FALSE)</f>
        <v>500</v>
      </c>
      <c r="K972" t="str">
        <f>VLOOKUP($A972,[1]Table!$A$2:$N1129,K$1,FALSE)</f>
        <v>mg/stuk</v>
      </c>
      <c r="L972">
        <f>VLOOKUP($A972,[1]Table!$A$2:$N1129,L$1,FALSE)</f>
        <v>500</v>
      </c>
      <c r="M972" t="str">
        <f>VLOOKUP($A972,[1]Table!$A$2:$N1129,M$1,FALSE)</f>
        <v>mg</v>
      </c>
      <c r="N972" t="str">
        <f>VLOOKUP($A972,[1]Table!$A$2:$N1129,N$1,FALSE)</f>
        <v>Pulse-therapie na rejectie donororganen of therapie resistente SLE||Alloreactieve longproblemen||High-dose schema (nektrauma) ||Hemolytische autoimmuun anemie||Juveniele dermatomyositis</v>
      </c>
      <c r="O972" t="str">
        <f>ConcatenateRange(AZ972:BU972,"||")</f>
        <v/>
      </c>
      <c r="T972" s="11"/>
      <c r="U972" s="11"/>
      <c r="AZ972" t="str">
        <f t="shared" si="352"/>
        <v/>
      </c>
      <c r="BA972" t="str">
        <f t="shared" si="353"/>
        <v/>
      </c>
      <c r="BB972" t="str">
        <f t="shared" si="354"/>
        <v/>
      </c>
      <c r="BC972" t="str">
        <f t="shared" si="355"/>
        <v/>
      </c>
      <c r="BD972" t="str">
        <f t="shared" si="356"/>
        <v/>
      </c>
      <c r="BE972" t="str">
        <f t="shared" si="357"/>
        <v/>
      </c>
      <c r="BF972" t="str">
        <f t="shared" si="358"/>
        <v/>
      </c>
      <c r="BG972" t="str">
        <f t="shared" si="359"/>
        <v/>
      </c>
      <c r="BH972" t="str">
        <f t="shared" si="360"/>
        <v/>
      </c>
      <c r="BI972" t="str">
        <f t="shared" si="361"/>
        <v/>
      </c>
      <c r="BJ972" t="str">
        <f t="shared" si="362"/>
        <v/>
      </c>
      <c r="BK972" t="str">
        <f t="shared" si="363"/>
        <v/>
      </c>
      <c r="BL972" t="str">
        <f t="shared" si="364"/>
        <v/>
      </c>
      <c r="BM972" t="str">
        <f t="shared" si="365"/>
        <v/>
      </c>
      <c r="BN972" t="str">
        <f t="shared" si="366"/>
        <v/>
      </c>
      <c r="BO972" t="str">
        <f t="shared" si="367"/>
        <v/>
      </c>
      <c r="BP972" t="str">
        <f t="shared" si="368"/>
        <v/>
      </c>
      <c r="BQ972" t="str">
        <f t="shared" si="369"/>
        <v/>
      </c>
      <c r="BR972" t="str">
        <f t="shared" si="370"/>
        <v/>
      </c>
      <c r="BS972" t="str">
        <f t="shared" si="371"/>
        <v/>
      </c>
      <c r="BT972" t="str">
        <f t="shared" si="372"/>
        <v/>
      </c>
      <c r="BU972" t="str">
        <f t="shared" si="373"/>
        <v/>
      </c>
    </row>
    <row r="973" spans="1:73">
      <c r="A973" s="1">
        <v>142018</v>
      </c>
      <c r="B973" t="str">
        <f>VLOOKUP($A973,[1]Table!$A$2:$N1130,B$1,FALSE)</f>
        <v>V03AB17</v>
      </c>
      <c r="C973" t="str">
        <f>VLOOKUP($A973,[1]Table!$A$2:$N1130,C$1,FALSE)</f>
        <v>ALLE OVERIGE THERAPEUTISCHE MIDDELEN</v>
      </c>
      <c r="D973" t="str">
        <f>VLOOKUP($A973,[1]Table!$A$2:$N1130,D$1,FALSE)</f>
        <v>ALLE OVERIGE THERAPEUTISCHE MIDDELEN</v>
      </c>
      <c r="E973" t="str">
        <f>VLOOKUP($A973,[1]Table!$A$2:$N1130,E$1,FALSE)</f>
        <v>METHYLTHIONINE</v>
      </c>
      <c r="F973" t="str">
        <f>VLOOKUP($A973,[1]Table!$A$2:$N1130,F$1,FALSE)</f>
        <v>METHYLTHIONINE 5 MG/ML AMPUL 10 ML</v>
      </c>
      <c r="G973" t="str">
        <f>VLOOKUP($A973,[1]Table!$A$2:$N1130,G$1,FALSE)</f>
        <v>METHYLTHIONINE 5MG/ML INJVL</v>
      </c>
      <c r="H973" t="str">
        <f>VLOOKUP($A973,[1]Table!$A$2:$N1130,H$1,FALSE)</f>
        <v>injectievloeistof</v>
      </c>
      <c r="I973" t="str">
        <f>VLOOKUP($A973,[1]Table!$A$2:$N1130,I$1,FALSE)</f>
        <v>iv</v>
      </c>
      <c r="J973">
        <f>VLOOKUP($A973,[1]Table!$A$2:$N1130,J$1,FALSE)</f>
        <v>5</v>
      </c>
      <c r="K973" t="str">
        <f>VLOOKUP($A973,[1]Table!$A$2:$N1130,K$1,FALSE)</f>
        <v>mg/ml</v>
      </c>
      <c r="L973">
        <f>VLOOKUP($A973,[1]Table!$A$2:$N1130,L$1,FALSE)</f>
        <v>5</v>
      </c>
      <c r="M973" t="str">
        <f>VLOOKUP($A973,[1]Table!$A$2:$N1130,M$1,FALSE)</f>
        <v>mg</v>
      </c>
      <c r="N973" t="str">
        <f>VLOOKUP($A973,[1]Table!$A$2:$N1130,N$1,FALSE)</f>
        <v>Methemoglobinemie||Aniline of dapsone geïnduceerde methemoglobinemie</v>
      </c>
      <c r="O973" t="str">
        <f>ConcatenateRange(AZ973:BU973,"||")</f>
        <v/>
      </c>
      <c r="T973" s="13"/>
      <c r="U973" s="13"/>
      <c r="AZ973" t="str">
        <f t="shared" si="352"/>
        <v/>
      </c>
      <c r="BA973" t="str">
        <f t="shared" si="353"/>
        <v/>
      </c>
      <c r="BB973" t="str">
        <f t="shared" si="354"/>
        <v/>
      </c>
      <c r="BC973" t="str">
        <f t="shared" si="355"/>
        <v/>
      </c>
      <c r="BD973" t="str">
        <f t="shared" si="356"/>
        <v/>
      </c>
      <c r="BE973" t="str">
        <f t="shared" si="357"/>
        <v/>
      </c>
      <c r="BF973" t="str">
        <f t="shared" si="358"/>
        <v/>
      </c>
      <c r="BG973" t="str">
        <f t="shared" si="359"/>
        <v/>
      </c>
      <c r="BH973" t="str">
        <f t="shared" si="360"/>
        <v/>
      </c>
      <c r="BI973" t="str">
        <f t="shared" si="361"/>
        <v/>
      </c>
      <c r="BJ973" t="str">
        <f t="shared" si="362"/>
        <v/>
      </c>
      <c r="BK973" t="str">
        <f t="shared" si="363"/>
        <v/>
      </c>
      <c r="BL973" t="str">
        <f t="shared" si="364"/>
        <v/>
      </c>
      <c r="BM973" t="str">
        <f t="shared" si="365"/>
        <v/>
      </c>
      <c r="BN973" t="str">
        <f t="shared" si="366"/>
        <v/>
      </c>
      <c r="BO973" t="str">
        <f t="shared" si="367"/>
        <v/>
      </c>
      <c r="BP973" t="str">
        <f t="shared" si="368"/>
        <v/>
      </c>
      <c r="BQ973" t="str">
        <f t="shared" si="369"/>
        <v/>
      </c>
      <c r="BR973" t="str">
        <f t="shared" si="370"/>
        <v/>
      </c>
      <c r="BS973" t="str">
        <f t="shared" si="371"/>
        <v/>
      </c>
      <c r="BT973" t="str">
        <f t="shared" si="372"/>
        <v/>
      </c>
      <c r="BU973" t="str">
        <f t="shared" si="373"/>
        <v/>
      </c>
    </row>
    <row r="974" spans="1:73">
      <c r="A974" s="1">
        <v>19399</v>
      </c>
      <c r="B974" t="str">
        <f>VLOOKUP($A974,[1]Table!$A$2:$N1131,B$1,FALSE)</f>
        <v>A03FA01</v>
      </c>
      <c r="C974" t="str">
        <f>VLOOKUP($A974,[1]Table!$A$2:$N1131,C$1,FALSE)</f>
        <v>MIDDELEN BIJ FUNCTIONELE MAAGDARMSTOORNISSEN</v>
      </c>
      <c r="D974" t="str">
        <f>VLOOKUP($A974,[1]Table!$A$2:$N1131,D$1,FALSE)</f>
        <v>MOTILITEITSBEVORDERENDE MIDDELEN</v>
      </c>
      <c r="E974" t="str">
        <f>VLOOKUP($A974,[1]Table!$A$2:$N1131,E$1,FALSE)</f>
        <v>METOCLOPRAMIDE</v>
      </c>
      <c r="F974" t="str">
        <f>VLOOKUP($A974,[1]Table!$A$2:$N1131,F$1,FALSE)</f>
        <v>PRIMPERAN 1 MG/ML DRANK 200ML</v>
      </c>
      <c r="G974" t="str">
        <f>VLOOKUP($A974,[1]Table!$A$2:$N1131,G$1,FALSE)</f>
        <v>METOCLOPRAMIDE 1MG/ML DRANK</v>
      </c>
      <c r="H974" t="str">
        <f>VLOOKUP($A974,[1]Table!$A$2:$N1131,H$1,FALSE)</f>
        <v>drank</v>
      </c>
      <c r="I974" t="str">
        <f>VLOOKUP($A974,[1]Table!$A$2:$N1131,I$1,FALSE)</f>
        <v>or</v>
      </c>
      <c r="J974">
        <f>VLOOKUP($A974,[1]Table!$A$2:$N1131,J$1,FALSE)</f>
        <v>1</v>
      </c>
      <c r="K974" t="str">
        <f>VLOOKUP($A974,[1]Table!$A$2:$N1131,K$1,FALSE)</f>
        <v>mg/ml</v>
      </c>
      <c r="L974">
        <f>VLOOKUP($A974,[1]Table!$A$2:$N1131,L$1,FALSE)</f>
        <v>1</v>
      </c>
      <c r="M974" t="str">
        <f>VLOOKUP($A974,[1]Table!$A$2:$N1131,M$1,FALSE)</f>
        <v>mg</v>
      </c>
      <c r="N974" t="str">
        <f>VLOOKUP($A974,[1]Table!$A$2:$N1131,N$1,FALSE)</f>
        <v>Ernstige misselijkheid en braken waarvan de oorzaak bekend is en indien behandeling met andere middelen onvoldoende effectief is gebleken</v>
      </c>
      <c r="O974" t="str">
        <f>ConcatenateRange(AZ974:BU974,"||")</f>
        <v/>
      </c>
      <c r="AZ974" t="str">
        <f t="shared" si="352"/>
        <v/>
      </c>
      <c r="BA974" t="str">
        <f t="shared" si="353"/>
        <v/>
      </c>
      <c r="BB974" t="str">
        <f t="shared" si="354"/>
        <v/>
      </c>
      <c r="BC974" t="str">
        <f t="shared" si="355"/>
        <v/>
      </c>
      <c r="BD974" t="str">
        <f t="shared" si="356"/>
        <v/>
      </c>
      <c r="BE974" t="str">
        <f t="shared" si="357"/>
        <v/>
      </c>
      <c r="BF974" t="str">
        <f t="shared" si="358"/>
        <v/>
      </c>
      <c r="BG974" t="str">
        <f t="shared" si="359"/>
        <v/>
      </c>
      <c r="BH974" t="str">
        <f t="shared" si="360"/>
        <v/>
      </c>
      <c r="BI974" t="str">
        <f t="shared" si="361"/>
        <v/>
      </c>
      <c r="BJ974" t="str">
        <f t="shared" si="362"/>
        <v/>
      </c>
      <c r="BK974" t="str">
        <f t="shared" si="363"/>
        <v/>
      </c>
      <c r="BL974" t="str">
        <f t="shared" si="364"/>
        <v/>
      </c>
      <c r="BM974" t="str">
        <f t="shared" si="365"/>
        <v/>
      </c>
      <c r="BN974" t="str">
        <f t="shared" si="366"/>
        <v/>
      </c>
      <c r="BO974" t="str">
        <f t="shared" si="367"/>
        <v/>
      </c>
      <c r="BP974" t="str">
        <f t="shared" si="368"/>
        <v/>
      </c>
      <c r="BQ974" t="str">
        <f t="shared" si="369"/>
        <v/>
      </c>
      <c r="BR974" t="str">
        <f t="shared" si="370"/>
        <v/>
      </c>
      <c r="BS974" t="str">
        <f t="shared" si="371"/>
        <v/>
      </c>
      <c r="BT974" t="str">
        <f t="shared" si="372"/>
        <v/>
      </c>
      <c r="BU974" t="str">
        <f t="shared" si="373"/>
        <v/>
      </c>
    </row>
    <row r="975" spans="1:73">
      <c r="A975" s="1">
        <v>71706</v>
      </c>
      <c r="B975" t="str">
        <f>VLOOKUP($A975,[1]Table!$A$2:$N1132,B$1,FALSE)</f>
        <v>A03FA01</v>
      </c>
      <c r="C975" t="str">
        <f>VLOOKUP($A975,[1]Table!$A$2:$N1132,C$1,FALSE)</f>
        <v>MIDDELEN BIJ FUNCTIONELE MAAGDARMSTOORNISSEN</v>
      </c>
      <c r="D975" t="str">
        <f>VLOOKUP($A975,[1]Table!$A$2:$N1132,D$1,FALSE)</f>
        <v>MOTILITEITSBEVORDERENDE MIDDELEN</v>
      </c>
      <c r="E975" t="str">
        <f>VLOOKUP($A975,[1]Table!$A$2:$N1132,E$1,FALSE)</f>
        <v>METOCLOPRAMIDE</v>
      </c>
      <c r="F975" t="str">
        <f>VLOOKUP($A975,[1]Table!$A$2:$N1132,F$1,FALSE)</f>
        <v>PRIMPERAN 5MG/ML INJVLST 2ML</v>
      </c>
      <c r="G975" t="str">
        <f>VLOOKUP($A975,[1]Table!$A$2:$N1132,G$1,FALSE)</f>
        <v>METOCLOPRA 5MG/ML INJ HCL</v>
      </c>
      <c r="H975" t="str">
        <f>VLOOKUP($A975,[1]Table!$A$2:$N1132,H$1,FALSE)</f>
        <v>injectievloeistof</v>
      </c>
      <c r="I975" t="str">
        <f>VLOOKUP($A975,[1]Table!$A$2:$N1132,I$1,FALSE)</f>
        <v>im||iv</v>
      </c>
      <c r="J975">
        <f>VLOOKUP($A975,[1]Table!$A$2:$N1132,J$1,FALSE)</f>
        <v>5</v>
      </c>
      <c r="K975" t="str">
        <f>VLOOKUP($A975,[1]Table!$A$2:$N1132,K$1,FALSE)</f>
        <v>mg/ml</v>
      </c>
      <c r="L975">
        <f>VLOOKUP($A975,[1]Table!$A$2:$N1132,L$1,FALSE)</f>
        <v>5</v>
      </c>
      <c r="M975" t="str">
        <f>VLOOKUP($A975,[1]Table!$A$2:$N1132,M$1,FALSE)</f>
        <v>mg</v>
      </c>
      <c r="N975" t="str">
        <f>VLOOKUP($A975,[1]Table!$A$2:$N1132,N$1,FALSE)</f>
        <v>Ernstige misselijkheid en braken waarvan de oorzaak bekend is en indien behandeling met andere middelen onvoldoende effectief is gebleken</v>
      </c>
      <c r="O975" t="str">
        <f>ConcatenateRange(AZ975:BU975,"||")</f>
        <v/>
      </c>
      <c r="T975" s="13"/>
      <c r="U975" s="13"/>
      <c r="AZ975" t="str">
        <f t="shared" si="352"/>
        <v/>
      </c>
      <c r="BA975" t="str">
        <f t="shared" si="353"/>
        <v/>
      </c>
      <c r="BB975" t="str">
        <f t="shared" si="354"/>
        <v/>
      </c>
      <c r="BC975" t="str">
        <f t="shared" si="355"/>
        <v/>
      </c>
      <c r="BD975" t="str">
        <f t="shared" si="356"/>
        <v/>
      </c>
      <c r="BE975" t="str">
        <f t="shared" si="357"/>
        <v/>
      </c>
      <c r="BF975" t="str">
        <f t="shared" si="358"/>
        <v/>
      </c>
      <c r="BG975" t="str">
        <f t="shared" si="359"/>
        <v/>
      </c>
      <c r="BH975" t="str">
        <f t="shared" si="360"/>
        <v/>
      </c>
      <c r="BI975" t="str">
        <f t="shared" si="361"/>
        <v/>
      </c>
      <c r="BJ975" t="str">
        <f t="shared" si="362"/>
        <v/>
      </c>
      <c r="BK975" t="str">
        <f t="shared" si="363"/>
        <v/>
      </c>
      <c r="BL975" t="str">
        <f t="shared" si="364"/>
        <v/>
      </c>
      <c r="BM975" t="str">
        <f t="shared" si="365"/>
        <v/>
      </c>
      <c r="BN975" t="str">
        <f t="shared" si="366"/>
        <v/>
      </c>
      <c r="BO975" t="str">
        <f t="shared" si="367"/>
        <v/>
      </c>
      <c r="BP975" t="str">
        <f t="shared" si="368"/>
        <v/>
      </c>
      <c r="BQ975" t="str">
        <f t="shared" si="369"/>
        <v/>
      </c>
      <c r="BR975" t="str">
        <f t="shared" si="370"/>
        <v/>
      </c>
      <c r="BS975" t="str">
        <f t="shared" si="371"/>
        <v/>
      </c>
      <c r="BT975" t="str">
        <f t="shared" si="372"/>
        <v/>
      </c>
      <c r="BU975" t="str">
        <f t="shared" si="373"/>
        <v/>
      </c>
    </row>
    <row r="976" spans="1:73">
      <c r="A976" s="1">
        <v>19429</v>
      </c>
      <c r="B976" t="str">
        <f>VLOOKUP($A976,[1]Table!$A$2:$N1133,B$1,FALSE)</f>
        <v>A03FA01</v>
      </c>
      <c r="C976" t="str">
        <f>VLOOKUP($A976,[1]Table!$A$2:$N1133,C$1,FALSE)</f>
        <v>MIDDELEN BIJ FUNCTIONELE MAAGDARMSTOORNISSEN</v>
      </c>
      <c r="D976" t="str">
        <f>VLOOKUP($A976,[1]Table!$A$2:$N1133,D$1,FALSE)</f>
        <v>MOTILITEITSBEVORDERENDE MIDDELEN</v>
      </c>
      <c r="E976" t="str">
        <f>VLOOKUP($A976,[1]Table!$A$2:$N1133,E$1,FALSE)</f>
        <v>METOCLOPRAMIDE</v>
      </c>
      <c r="F976" t="str">
        <f>VLOOKUP($A976,[1]Table!$A$2:$N1133,F$1,FALSE)</f>
        <v>METOCLOPRAMIDE 10 MG TABLET</v>
      </c>
      <c r="G976" t="str">
        <f>VLOOKUP($A976,[1]Table!$A$2:$N1133,G$1,FALSE)</f>
        <v>METOCLOPRAMIDE 10MG TABLET</v>
      </c>
      <c r="H976" t="str">
        <f>VLOOKUP($A976,[1]Table!$A$2:$N1133,H$1,FALSE)</f>
        <v>tablet</v>
      </c>
      <c r="I976" t="str">
        <f>VLOOKUP($A976,[1]Table!$A$2:$N1133,I$1,FALSE)</f>
        <v>or</v>
      </c>
      <c r="J976">
        <f>VLOOKUP($A976,[1]Table!$A$2:$N1133,J$1,FALSE)</f>
        <v>10</v>
      </c>
      <c r="K976" t="str">
        <f>VLOOKUP($A976,[1]Table!$A$2:$N1133,K$1,FALSE)</f>
        <v>mg/stuk</v>
      </c>
      <c r="L976">
        <f>VLOOKUP($A976,[1]Table!$A$2:$N1133,L$1,FALSE)</f>
        <v>5</v>
      </c>
      <c r="M976" t="str">
        <f>VLOOKUP($A976,[1]Table!$A$2:$N1133,M$1,FALSE)</f>
        <v>mg</v>
      </c>
      <c r="N976" t="str">
        <f>VLOOKUP($A976,[1]Table!$A$2:$N1133,N$1,FALSE)</f>
        <v>Ernstige misselijkheid en braken waarvan de oorzaak bekend is en indien behandeling met andere middelen onvoldoende effectief is gebleken</v>
      </c>
      <c r="O976" t="str">
        <f>ConcatenateRange(AZ976:BU976,"||")</f>
        <v/>
      </c>
      <c r="T976" s="13"/>
      <c r="U976" s="13"/>
      <c r="AZ976" t="str">
        <f t="shared" si="352"/>
        <v/>
      </c>
      <c r="BA976" t="str">
        <f t="shared" si="353"/>
        <v/>
      </c>
      <c r="BB976" t="str">
        <f t="shared" si="354"/>
        <v/>
      </c>
      <c r="BC976" t="str">
        <f t="shared" si="355"/>
        <v/>
      </c>
      <c r="BD976" t="str">
        <f t="shared" si="356"/>
        <v/>
      </c>
      <c r="BE976" t="str">
        <f t="shared" si="357"/>
        <v/>
      </c>
      <c r="BF976" t="str">
        <f t="shared" si="358"/>
        <v/>
      </c>
      <c r="BG976" t="str">
        <f t="shared" si="359"/>
        <v/>
      </c>
      <c r="BH976" t="str">
        <f t="shared" si="360"/>
        <v/>
      </c>
      <c r="BI976" t="str">
        <f t="shared" si="361"/>
        <v/>
      </c>
      <c r="BJ976" t="str">
        <f t="shared" si="362"/>
        <v/>
      </c>
      <c r="BK976" t="str">
        <f t="shared" si="363"/>
        <v/>
      </c>
      <c r="BL976" t="str">
        <f t="shared" si="364"/>
        <v/>
      </c>
      <c r="BM976" t="str">
        <f t="shared" si="365"/>
        <v/>
      </c>
      <c r="BN976" t="str">
        <f t="shared" si="366"/>
        <v/>
      </c>
      <c r="BO976" t="str">
        <f t="shared" si="367"/>
        <v/>
      </c>
      <c r="BP976" t="str">
        <f t="shared" si="368"/>
        <v/>
      </c>
      <c r="BQ976" t="str">
        <f t="shared" si="369"/>
        <v/>
      </c>
      <c r="BR976" t="str">
        <f t="shared" si="370"/>
        <v/>
      </c>
      <c r="BS976" t="str">
        <f t="shared" si="371"/>
        <v/>
      </c>
      <c r="BT976" t="str">
        <f t="shared" si="372"/>
        <v/>
      </c>
      <c r="BU976" t="str">
        <f t="shared" si="373"/>
        <v/>
      </c>
    </row>
    <row r="977" spans="1:73">
      <c r="A977" s="1">
        <v>63622</v>
      </c>
      <c r="B977" t="str">
        <f>VLOOKUP($A977,[1]Table!$A$2:$N1134,B$1,FALSE)</f>
        <v>A03FA01</v>
      </c>
      <c r="C977" t="str">
        <f>VLOOKUP($A977,[1]Table!$A$2:$N1134,C$1,FALSE)</f>
        <v>MIDDELEN BIJ FUNCTIONELE MAAGDARMSTOORNISSEN</v>
      </c>
      <c r="D977" t="str">
        <f>VLOOKUP($A977,[1]Table!$A$2:$N1134,D$1,FALSE)</f>
        <v>MOTILITEITSBEVORDERENDE MIDDELEN</v>
      </c>
      <c r="E977" t="str">
        <f>VLOOKUP($A977,[1]Table!$A$2:$N1134,E$1,FALSE)</f>
        <v>METOCLOPRAMIDE</v>
      </c>
      <c r="F977" t="str">
        <f>VLOOKUP($A977,[1]Table!$A$2:$N1134,F$1,FALSE)</f>
        <v>PRIMPERAN 10 MG ZETPIL</v>
      </c>
      <c r="G977" t="str">
        <f>VLOOKUP($A977,[1]Table!$A$2:$N1134,G$1,FALSE)</f>
        <v>METOCLOPRAMIDE 10MG ZETPIL</v>
      </c>
      <c r="H977" t="str">
        <f>VLOOKUP($A977,[1]Table!$A$2:$N1134,H$1,FALSE)</f>
        <v>zetpil</v>
      </c>
      <c r="I977" t="str">
        <f>VLOOKUP($A977,[1]Table!$A$2:$N1134,I$1,FALSE)</f>
        <v>rect</v>
      </c>
      <c r="J977">
        <f>VLOOKUP($A977,[1]Table!$A$2:$N1134,J$1,FALSE)</f>
        <v>10</v>
      </c>
      <c r="K977" t="str">
        <f>VLOOKUP($A977,[1]Table!$A$2:$N1134,K$1,FALSE)</f>
        <v>mg/stuk</v>
      </c>
      <c r="L977">
        <f>VLOOKUP($A977,[1]Table!$A$2:$N1134,L$1,FALSE)</f>
        <v>10</v>
      </c>
      <c r="M977" t="str">
        <f>VLOOKUP($A977,[1]Table!$A$2:$N1134,M$1,FALSE)</f>
        <v>mg</v>
      </c>
      <c r="N977" t="str">
        <f>VLOOKUP($A977,[1]Table!$A$2:$N1134,N$1,FALSE)</f>
        <v>Ernstige misselijkheid en braken waarvan de oorzaak bekend is en indien behandeling met andere middelen onvoldoende effectief is gebleken</v>
      </c>
      <c r="O977" t="str">
        <f>ConcatenateRange(AZ977:BU977,"||")</f>
        <v/>
      </c>
      <c r="T977" s="13"/>
      <c r="U977" s="13"/>
      <c r="AZ977" t="str">
        <f t="shared" si="352"/>
        <v/>
      </c>
      <c r="BA977" t="str">
        <f t="shared" si="353"/>
        <v/>
      </c>
      <c r="BB977" t="str">
        <f t="shared" si="354"/>
        <v/>
      </c>
      <c r="BC977" t="str">
        <f t="shared" si="355"/>
        <v/>
      </c>
      <c r="BD977" t="str">
        <f t="shared" si="356"/>
        <v/>
      </c>
      <c r="BE977" t="str">
        <f t="shared" si="357"/>
        <v/>
      </c>
      <c r="BF977" t="str">
        <f t="shared" si="358"/>
        <v/>
      </c>
      <c r="BG977" t="str">
        <f t="shared" si="359"/>
        <v/>
      </c>
      <c r="BH977" t="str">
        <f t="shared" si="360"/>
        <v/>
      </c>
      <c r="BI977" t="str">
        <f t="shared" si="361"/>
        <v/>
      </c>
      <c r="BJ977" t="str">
        <f t="shared" si="362"/>
        <v/>
      </c>
      <c r="BK977" t="str">
        <f t="shared" si="363"/>
        <v/>
      </c>
      <c r="BL977" t="str">
        <f t="shared" si="364"/>
        <v/>
      </c>
      <c r="BM977" t="str">
        <f t="shared" si="365"/>
        <v/>
      </c>
      <c r="BN977" t="str">
        <f t="shared" si="366"/>
        <v/>
      </c>
      <c r="BO977" t="str">
        <f t="shared" si="367"/>
        <v/>
      </c>
      <c r="BP977" t="str">
        <f t="shared" si="368"/>
        <v/>
      </c>
      <c r="BQ977" t="str">
        <f t="shared" si="369"/>
        <v/>
      </c>
      <c r="BR977" t="str">
        <f t="shared" si="370"/>
        <v/>
      </c>
      <c r="BS977" t="str">
        <f t="shared" si="371"/>
        <v/>
      </c>
      <c r="BT977" t="str">
        <f t="shared" si="372"/>
        <v/>
      </c>
      <c r="BU977" t="str">
        <f t="shared" si="373"/>
        <v/>
      </c>
    </row>
    <row r="978" spans="1:73">
      <c r="A978" s="1">
        <v>38067</v>
      </c>
      <c r="B978" t="str">
        <f>VLOOKUP($A978,[1]Table!$A$2:$N1135,B$1,FALSE)</f>
        <v>C07AB02</v>
      </c>
      <c r="C978" t="str">
        <f>VLOOKUP($A978,[1]Table!$A$2:$N1135,C$1,FALSE)</f>
        <v>BETA-BLOKKERS</v>
      </c>
      <c r="D978" t="str">
        <f>VLOOKUP($A978,[1]Table!$A$2:$N1135,D$1,FALSE)</f>
        <v>BETA-BLOKKERS</v>
      </c>
      <c r="E978" t="str">
        <f>VLOOKUP($A978,[1]Table!$A$2:$N1135,E$1,FALSE)</f>
        <v>METOPROLOL</v>
      </c>
      <c r="F978" t="str">
        <f>VLOOKUP($A978,[1]Table!$A$2:$N1135,F$1,FALSE)</f>
        <v>SELOKEEN 1 MG/ML AMPUL 5ML</v>
      </c>
      <c r="G978" t="str">
        <f>VLOOKUP($A978,[1]Table!$A$2:$N1135,G$1,FALSE)</f>
        <v>METOPROLOL 1MG/ML INJVLST</v>
      </c>
      <c r="H978" t="str">
        <f>VLOOKUP($A978,[1]Table!$A$2:$N1135,H$1,FALSE)</f>
        <v>injectievloeistof</v>
      </c>
      <c r="I978" t="str">
        <f>VLOOKUP($A978,[1]Table!$A$2:$N1135,I$1,FALSE)</f>
        <v>iv</v>
      </c>
      <c r="J978">
        <f>VLOOKUP($A978,[1]Table!$A$2:$N1135,J$1,FALSE)</f>
        <v>1</v>
      </c>
      <c r="K978" t="str">
        <f>VLOOKUP($A978,[1]Table!$A$2:$N1135,K$1,FALSE)</f>
        <v>mg/ml</v>
      </c>
      <c r="L978">
        <f>VLOOKUP($A978,[1]Table!$A$2:$N1135,L$1,FALSE)</f>
        <v>1</v>
      </c>
      <c r="M978" t="str">
        <f>VLOOKUP($A978,[1]Table!$A$2:$N1135,M$1,FALSE)</f>
        <v>mg</v>
      </c>
      <c r="N978" t="str">
        <f>VLOOKUP($A978,[1]Table!$A$2:$N1135,N$1,FALSE)</f>
        <v>Hypertensie||Gedilateerde cardiomyopathie met hartfalen</v>
      </c>
      <c r="O978" t="str">
        <f>ConcatenateRange(AZ978:BU978,"||")</f>
        <v/>
      </c>
      <c r="AZ978" t="str">
        <f t="shared" si="352"/>
        <v/>
      </c>
      <c r="BA978" t="str">
        <f t="shared" si="353"/>
        <v/>
      </c>
      <c r="BB978" t="str">
        <f t="shared" si="354"/>
        <v/>
      </c>
      <c r="BC978" t="str">
        <f t="shared" si="355"/>
        <v/>
      </c>
      <c r="BD978" t="str">
        <f t="shared" si="356"/>
        <v/>
      </c>
      <c r="BE978" t="str">
        <f t="shared" si="357"/>
        <v/>
      </c>
      <c r="BF978" t="str">
        <f t="shared" si="358"/>
        <v/>
      </c>
      <c r="BG978" t="str">
        <f t="shared" si="359"/>
        <v/>
      </c>
      <c r="BH978" t="str">
        <f t="shared" si="360"/>
        <v/>
      </c>
      <c r="BI978" t="str">
        <f t="shared" si="361"/>
        <v/>
      </c>
      <c r="BJ978" t="str">
        <f t="shared" si="362"/>
        <v/>
      </c>
      <c r="BK978" t="str">
        <f t="shared" si="363"/>
        <v/>
      </c>
      <c r="BL978" t="str">
        <f t="shared" si="364"/>
        <v/>
      </c>
      <c r="BM978" t="str">
        <f t="shared" si="365"/>
        <v/>
      </c>
      <c r="BN978" t="str">
        <f t="shared" si="366"/>
        <v/>
      </c>
      <c r="BO978" t="str">
        <f t="shared" si="367"/>
        <v/>
      </c>
      <c r="BP978" t="str">
        <f t="shared" si="368"/>
        <v/>
      </c>
      <c r="BQ978" t="str">
        <f t="shared" si="369"/>
        <v/>
      </c>
      <c r="BR978" t="str">
        <f t="shared" si="370"/>
        <v/>
      </c>
      <c r="BS978" t="str">
        <f t="shared" si="371"/>
        <v/>
      </c>
      <c r="BT978" t="str">
        <f t="shared" si="372"/>
        <v/>
      </c>
      <c r="BU978" t="str">
        <f t="shared" si="373"/>
        <v/>
      </c>
    </row>
    <row r="979" spans="1:73">
      <c r="A979" s="20">
        <v>170089</v>
      </c>
      <c r="B979" t="s">
        <v>78</v>
      </c>
      <c r="C979" t="s">
        <v>79</v>
      </c>
      <c r="D979" t="s">
        <v>79</v>
      </c>
      <c r="E979" t="s">
        <v>80</v>
      </c>
      <c r="F979" t="s">
        <v>81</v>
      </c>
      <c r="G979" t="s">
        <v>81</v>
      </c>
      <c r="H979" t="s">
        <v>82</v>
      </c>
      <c r="I979" t="s">
        <v>83</v>
      </c>
      <c r="J979">
        <v>10</v>
      </c>
      <c r="K979" t="s">
        <v>84</v>
      </c>
      <c r="L979">
        <v>1</v>
      </c>
      <c r="M979" t="s">
        <v>85</v>
      </c>
      <c r="N979" t="s">
        <v>86</v>
      </c>
      <c r="T979" s="20"/>
      <c r="U979" s="20"/>
      <c r="AZ979" t="str">
        <f t="shared" si="352"/>
        <v/>
      </c>
      <c r="BA979" t="str">
        <f t="shared" si="353"/>
        <v/>
      </c>
      <c r="BB979" t="str">
        <f t="shared" si="354"/>
        <v/>
      </c>
      <c r="BC979" t="str">
        <f t="shared" si="355"/>
        <v/>
      </c>
      <c r="BD979" t="str">
        <f t="shared" si="356"/>
        <v/>
      </c>
      <c r="BE979" t="str">
        <f t="shared" si="357"/>
        <v/>
      </c>
      <c r="BF979" t="str">
        <f t="shared" si="358"/>
        <v/>
      </c>
      <c r="BG979" t="str">
        <f t="shared" si="359"/>
        <v/>
      </c>
      <c r="BH979" t="str">
        <f t="shared" si="360"/>
        <v/>
      </c>
      <c r="BI979" t="str">
        <f t="shared" si="361"/>
        <v/>
      </c>
      <c r="BJ979" t="str">
        <f t="shared" si="362"/>
        <v/>
      </c>
      <c r="BK979" t="str">
        <f t="shared" si="363"/>
        <v/>
      </c>
      <c r="BL979" t="str">
        <f t="shared" si="364"/>
        <v/>
      </c>
      <c r="BM979" t="str">
        <f t="shared" si="365"/>
        <v/>
      </c>
      <c r="BN979" t="str">
        <f t="shared" si="366"/>
        <v/>
      </c>
      <c r="BO979" t="str">
        <f t="shared" si="367"/>
        <v/>
      </c>
      <c r="BP979" t="str">
        <f t="shared" si="368"/>
        <v/>
      </c>
      <c r="BQ979" t="str">
        <f t="shared" si="369"/>
        <v/>
      </c>
      <c r="BR979" t="str">
        <f t="shared" si="370"/>
        <v/>
      </c>
      <c r="BS979" t="str">
        <f t="shared" si="371"/>
        <v/>
      </c>
      <c r="BT979" t="str">
        <f t="shared" si="372"/>
        <v/>
      </c>
      <c r="BU979" t="str">
        <f t="shared" si="373"/>
        <v/>
      </c>
    </row>
    <row r="980" spans="1:73">
      <c r="A980" s="1">
        <v>10642</v>
      </c>
      <c r="B980" t="str">
        <f>VLOOKUP($A980,[1]Table!$A$2:$N1136,B$1,FALSE)</f>
        <v>C07AB02</v>
      </c>
      <c r="C980" t="str">
        <f>VLOOKUP($A980,[1]Table!$A$2:$N1136,C$1,FALSE)</f>
        <v>BETA-BLOKKERS</v>
      </c>
      <c r="D980" t="str">
        <f>VLOOKUP($A980,[1]Table!$A$2:$N1136,D$1,FALSE)</f>
        <v>BETA-BLOKKERS</v>
      </c>
      <c r="E980" t="str">
        <f>VLOOKUP($A980,[1]Table!$A$2:$N1136,E$1,FALSE)</f>
        <v>METOPROLOL</v>
      </c>
      <c r="F980" t="str">
        <f>VLOOKUP($A980,[1]Table!$A$2:$N1136,F$1,FALSE)</f>
        <v>METOPROLOLTARTRAAT 50 MG TABLET</v>
      </c>
      <c r="G980" t="str">
        <f>VLOOKUP($A980,[1]Table!$A$2:$N1136,G$1,FALSE)</f>
        <v>METOPROLOL 50MG TABLET</v>
      </c>
      <c r="H980" t="str">
        <f>VLOOKUP($A980,[1]Table!$A$2:$N1136,H$1,FALSE)</f>
        <v>tablet</v>
      </c>
      <c r="I980" t="str">
        <f>VLOOKUP($A980,[1]Table!$A$2:$N1136,I$1,FALSE)</f>
        <v>or</v>
      </c>
      <c r="J980">
        <f>VLOOKUP($A980,[1]Table!$A$2:$N1136,J$1,FALSE)</f>
        <v>50</v>
      </c>
      <c r="K980" t="str">
        <f>VLOOKUP($A980,[1]Table!$A$2:$N1136,K$1,FALSE)</f>
        <v>mg/stuk</v>
      </c>
      <c r="L980">
        <f>VLOOKUP($A980,[1]Table!$A$2:$N1136,L$1,FALSE)</f>
        <v>25</v>
      </c>
      <c r="M980" t="str">
        <f>VLOOKUP($A980,[1]Table!$A$2:$N1136,M$1,FALSE)</f>
        <v>mg</v>
      </c>
      <c r="N980" t="str">
        <f>VLOOKUP($A980,[1]Table!$A$2:$N1136,N$1,FALSE)</f>
        <v>Hypertensie||Gedilateerde cardiomyopathie met hartfalen</v>
      </c>
      <c r="O980" t="str">
        <f>ConcatenateRange(AZ980:BU980,"||")</f>
        <v/>
      </c>
      <c r="AZ980" t="str">
        <f t="shared" ref="AZ980:AZ1043" si="374">IF(AA980&lt;&gt;0,AA$2,"")</f>
        <v/>
      </c>
      <c r="BA980" t="str">
        <f t="shared" ref="BA980:BA1043" si="375">IF(AB980&lt;&gt;0,AB$2,"")</f>
        <v/>
      </c>
      <c r="BB980" t="str">
        <f t="shared" ref="BB980:BB1043" si="376">IF(AC980&lt;&gt;0,AC$2,"")</f>
        <v/>
      </c>
      <c r="BC980" t="str">
        <f t="shared" ref="BC980:BC1043" si="377">IF(AD980&lt;&gt;0,AD$2,"")</f>
        <v/>
      </c>
      <c r="BD980" t="str">
        <f t="shared" ref="BD980:BD1043" si="378">IF(AE980&lt;&gt;0,AE$2,"")</f>
        <v/>
      </c>
      <c r="BE980" t="str">
        <f t="shared" ref="BE980:BE1043" si="379">IF(AF980&lt;&gt;0,AF$2,"")</f>
        <v/>
      </c>
      <c r="BF980" t="str">
        <f t="shared" ref="BF980:BF1043" si="380">IF(AG980&lt;&gt;0,AG$2,"")</f>
        <v/>
      </c>
      <c r="BG980" t="str">
        <f t="shared" ref="BG980:BG1043" si="381">IF(AH980&lt;&gt;0,AH$2,"")</f>
        <v/>
      </c>
      <c r="BH980" t="str">
        <f t="shared" ref="BH980:BH1043" si="382">IF(AI980&lt;&gt;0,AI$2,"")</f>
        <v/>
      </c>
      <c r="BI980" t="str">
        <f t="shared" ref="BI980:BI1043" si="383">IF(AJ980&lt;&gt;0,AJ$2,"")</f>
        <v/>
      </c>
      <c r="BJ980" t="str">
        <f t="shared" ref="BJ980:BJ1043" si="384">IF(AK980&lt;&gt;0,AK$2,"")</f>
        <v/>
      </c>
      <c r="BK980" t="str">
        <f t="shared" ref="BK980:BK1043" si="385">IF(AL980&lt;&gt;0,AL$2,"")</f>
        <v/>
      </c>
      <c r="BL980" t="str">
        <f t="shared" ref="BL980:BL1043" si="386">IF(AM980&lt;&gt;0,AM$2,"")</f>
        <v/>
      </c>
      <c r="BM980" t="str">
        <f t="shared" ref="BM980:BM1043" si="387">IF(AN980&lt;&gt;0,AN$2,"")</f>
        <v/>
      </c>
      <c r="BN980" t="str">
        <f t="shared" ref="BN980:BN1043" si="388">IF(AO980&lt;&gt;0,AO$2,"")</f>
        <v/>
      </c>
      <c r="BO980" t="str">
        <f t="shared" ref="BO980:BO1043" si="389">IF(AP980&lt;&gt;0,AP$2,"")</f>
        <v/>
      </c>
      <c r="BP980" t="str">
        <f t="shared" ref="BP980:BP1043" si="390">IF(AQ980&lt;&gt;0,AQ$2,"")</f>
        <v/>
      </c>
      <c r="BQ980" t="str">
        <f t="shared" ref="BQ980:BQ1043" si="391">IF(AR980&lt;&gt;0,AR$2,"")</f>
        <v/>
      </c>
      <c r="BR980" t="str">
        <f t="shared" ref="BR980:BR1043" si="392">IF(AS980&lt;&gt;0,AS$2,"")</f>
        <v/>
      </c>
      <c r="BS980" t="str">
        <f t="shared" ref="BS980:BS1043" si="393">IF(AT980&lt;&gt;0,AT$2,"")</f>
        <v/>
      </c>
      <c r="BT980" t="str">
        <f t="shared" ref="BT980:BT1043" si="394">IF(AU980&lt;&gt;0,AU$2,"")</f>
        <v/>
      </c>
      <c r="BU980" t="str">
        <f t="shared" ref="BU980:BU1043" si="395">IF(AV980&lt;&gt;0,AV$2,"")</f>
        <v/>
      </c>
    </row>
    <row r="981" spans="1:73">
      <c r="A981" s="1">
        <v>17175</v>
      </c>
      <c r="B981" t="str">
        <f>VLOOKUP($A981,[1]Table!$A$2:$N1137,B$1,FALSE)</f>
        <v>C07AB02</v>
      </c>
      <c r="C981" t="str">
        <f>VLOOKUP($A981,[1]Table!$A$2:$N1137,C$1,FALSE)</f>
        <v>BETA-BLOKKERS</v>
      </c>
      <c r="D981" t="str">
        <f>VLOOKUP($A981,[1]Table!$A$2:$N1137,D$1,FALSE)</f>
        <v>BETA-BLOKKERS</v>
      </c>
      <c r="E981" t="str">
        <f>VLOOKUP($A981,[1]Table!$A$2:$N1137,E$1,FALSE)</f>
        <v>METOPROLOL</v>
      </c>
      <c r="F981" t="str">
        <f>VLOOKUP($A981,[1]Table!$A$2:$N1137,F$1,FALSE)</f>
        <v>METOPROLOL TARTRAAT 100 MG TABLET</v>
      </c>
      <c r="G981" t="str">
        <f>VLOOKUP($A981,[1]Table!$A$2:$N1137,G$1,FALSE)</f>
        <v>METOPROLOL 100MG TABLET</v>
      </c>
      <c r="H981" t="str">
        <f>VLOOKUP($A981,[1]Table!$A$2:$N1137,H$1,FALSE)</f>
        <v>tablet</v>
      </c>
      <c r="I981" t="str">
        <f>VLOOKUP($A981,[1]Table!$A$2:$N1137,I$1,FALSE)</f>
        <v>or</v>
      </c>
      <c r="J981">
        <f>VLOOKUP($A981,[1]Table!$A$2:$N1137,J$1,FALSE)</f>
        <v>100</v>
      </c>
      <c r="K981" t="str">
        <f>VLOOKUP($A981,[1]Table!$A$2:$N1137,K$1,FALSE)</f>
        <v>mg/stuk</v>
      </c>
      <c r="L981">
        <f>VLOOKUP($A981,[1]Table!$A$2:$N1137,L$1,FALSE)</f>
        <v>50</v>
      </c>
      <c r="M981" t="str">
        <f>VLOOKUP($A981,[1]Table!$A$2:$N1137,M$1,FALSE)</f>
        <v>mg</v>
      </c>
      <c r="N981" t="str">
        <f>VLOOKUP($A981,[1]Table!$A$2:$N1137,N$1,FALSE)</f>
        <v>Hypertensie||Gedilateerde cardiomyopathie met hartfalen</v>
      </c>
      <c r="O981" t="str">
        <f>ConcatenateRange(AZ981:BU981,"||")</f>
        <v/>
      </c>
      <c r="AZ981" t="str">
        <f t="shared" si="374"/>
        <v/>
      </c>
      <c r="BA981" t="str">
        <f t="shared" si="375"/>
        <v/>
      </c>
      <c r="BB981" t="str">
        <f t="shared" si="376"/>
        <v/>
      </c>
      <c r="BC981" t="str">
        <f t="shared" si="377"/>
        <v/>
      </c>
      <c r="BD981" t="str">
        <f t="shared" si="378"/>
        <v/>
      </c>
      <c r="BE981" t="str">
        <f t="shared" si="379"/>
        <v/>
      </c>
      <c r="BF981" t="str">
        <f t="shared" si="380"/>
        <v/>
      </c>
      <c r="BG981" t="str">
        <f t="shared" si="381"/>
        <v/>
      </c>
      <c r="BH981" t="str">
        <f t="shared" si="382"/>
        <v/>
      </c>
      <c r="BI981" t="str">
        <f t="shared" si="383"/>
        <v/>
      </c>
      <c r="BJ981" t="str">
        <f t="shared" si="384"/>
        <v/>
      </c>
      <c r="BK981" t="str">
        <f t="shared" si="385"/>
        <v/>
      </c>
      <c r="BL981" t="str">
        <f t="shared" si="386"/>
        <v/>
      </c>
      <c r="BM981" t="str">
        <f t="shared" si="387"/>
        <v/>
      </c>
      <c r="BN981" t="str">
        <f t="shared" si="388"/>
        <v/>
      </c>
      <c r="BO981" t="str">
        <f t="shared" si="389"/>
        <v/>
      </c>
      <c r="BP981" t="str">
        <f t="shared" si="390"/>
        <v/>
      </c>
      <c r="BQ981" t="str">
        <f t="shared" si="391"/>
        <v/>
      </c>
      <c r="BR981" t="str">
        <f t="shared" si="392"/>
        <v/>
      </c>
      <c r="BS981" t="str">
        <f t="shared" si="393"/>
        <v/>
      </c>
      <c r="BT981" t="str">
        <f t="shared" si="394"/>
        <v/>
      </c>
      <c r="BU981" t="str">
        <f t="shared" si="395"/>
        <v/>
      </c>
    </row>
    <row r="982" spans="1:73">
      <c r="A982" s="1">
        <v>125598</v>
      </c>
      <c r="B982" t="str">
        <f>VLOOKUP($A982,[1]Table!$A$2:$N1138,B$1,FALSE)</f>
        <v>C07AB02</v>
      </c>
      <c r="C982" t="str">
        <f>VLOOKUP($A982,[1]Table!$A$2:$N1138,C$1,FALSE)</f>
        <v>BETA-BLOKKERS</v>
      </c>
      <c r="D982" t="str">
        <f>VLOOKUP($A982,[1]Table!$A$2:$N1138,D$1,FALSE)</f>
        <v>BETA-BLOKKERS</v>
      </c>
      <c r="E982" t="s">
        <v>80</v>
      </c>
      <c r="F982" t="str">
        <f>VLOOKUP($A982,[1]Table!$A$2:$N1138,F$1,FALSE)</f>
        <v>SELOKEEN ZOC 25 MG TABLET MGA (RETARD)</v>
      </c>
      <c r="G982" t="str">
        <f>VLOOKUP($A982,[1]Table!$A$2:$N1138,G$1,FALSE)</f>
        <v>METOPROLOL 25MG TAB MGA SUC</v>
      </c>
      <c r="H982" t="str">
        <f>VLOOKUP($A982,[1]Table!$A$2:$N1138,H$1,FALSE)</f>
        <v>tablet met gereguleerde afgifte</v>
      </c>
      <c r="I982" t="str">
        <f>VLOOKUP($A982,[1]Table!$A$2:$N1138,I$1,FALSE)</f>
        <v>or</v>
      </c>
      <c r="J982">
        <f>VLOOKUP($A982,[1]Table!$A$2:$N1138,J$1,FALSE)</f>
        <v>23.75</v>
      </c>
      <c r="K982" t="str">
        <f>VLOOKUP($A982,[1]Table!$A$2:$N1138,K$1,FALSE)</f>
        <v>mg/stuk</v>
      </c>
      <c r="L982">
        <f>VLOOKUP($A982,[1]Table!$A$2:$N1138,L$1,FALSE)</f>
        <v>11.875</v>
      </c>
      <c r="M982" t="str">
        <f>VLOOKUP($A982,[1]Table!$A$2:$N1138,M$1,FALSE)</f>
        <v>mg</v>
      </c>
      <c r="N982" t="str">
        <f>VLOOKUP($A982,[1]Table!$A$2:$N1138,N$1,FALSE)</f>
        <v>Hypertensie||Gedilateerde cardiomyopathie met hartfalen</v>
      </c>
      <c r="O982" t="str">
        <f>ConcatenateRange(AZ982:BU982,"||")</f>
        <v/>
      </c>
      <c r="AZ982" t="str">
        <f t="shared" si="374"/>
        <v/>
      </c>
      <c r="BA982" t="str">
        <f t="shared" si="375"/>
        <v/>
      </c>
      <c r="BB982" t="str">
        <f t="shared" si="376"/>
        <v/>
      </c>
      <c r="BC982" t="str">
        <f t="shared" si="377"/>
        <v/>
      </c>
      <c r="BD982" t="str">
        <f t="shared" si="378"/>
        <v/>
      </c>
      <c r="BE982" t="str">
        <f t="shared" si="379"/>
        <v/>
      </c>
      <c r="BF982" t="str">
        <f t="shared" si="380"/>
        <v/>
      </c>
      <c r="BG982" t="str">
        <f t="shared" si="381"/>
        <v/>
      </c>
      <c r="BH982" t="str">
        <f t="shared" si="382"/>
        <v/>
      </c>
      <c r="BI982" t="str">
        <f t="shared" si="383"/>
        <v/>
      </c>
      <c r="BJ982" t="str">
        <f t="shared" si="384"/>
        <v/>
      </c>
      <c r="BK982" t="str">
        <f t="shared" si="385"/>
        <v/>
      </c>
      <c r="BL982" t="str">
        <f t="shared" si="386"/>
        <v/>
      </c>
      <c r="BM982" t="str">
        <f t="shared" si="387"/>
        <v/>
      </c>
      <c r="BN982" t="str">
        <f t="shared" si="388"/>
        <v/>
      </c>
      <c r="BO982" t="str">
        <f t="shared" si="389"/>
        <v/>
      </c>
      <c r="BP982" t="str">
        <f t="shared" si="390"/>
        <v/>
      </c>
      <c r="BQ982" t="str">
        <f t="shared" si="391"/>
        <v/>
      </c>
      <c r="BR982" t="str">
        <f t="shared" si="392"/>
        <v/>
      </c>
      <c r="BS982" t="str">
        <f t="shared" si="393"/>
        <v/>
      </c>
      <c r="BT982" t="str">
        <f t="shared" si="394"/>
        <v/>
      </c>
      <c r="BU982" t="str">
        <f t="shared" si="395"/>
        <v/>
      </c>
    </row>
    <row r="983" spans="1:73">
      <c r="A983" s="1">
        <v>71005</v>
      </c>
      <c r="B983" t="str">
        <f>VLOOKUP($A983,[1]Table!$A$2:$N1139,B$1,FALSE)</f>
        <v>C07AB02</v>
      </c>
      <c r="C983" t="str">
        <f>VLOOKUP($A983,[1]Table!$A$2:$N1139,C$1,FALSE)</f>
        <v>BETA-BLOKKERS</v>
      </c>
      <c r="D983" t="str">
        <f>VLOOKUP($A983,[1]Table!$A$2:$N1139,D$1,FALSE)</f>
        <v>BETA-BLOKKERS</v>
      </c>
      <c r="E983" t="s">
        <v>80</v>
      </c>
      <c r="F983" t="str">
        <f>VLOOKUP($A983,[1]Table!$A$2:$N1139,F$1,FALSE)</f>
        <v>METOPROLOLSUCCINAAT 50 MG TABLET MGA (RETARD)</v>
      </c>
      <c r="G983" t="str">
        <f>VLOOKUP($A983,[1]Table!$A$2:$N1139,G$1,FALSE)</f>
        <v>METOPROLOL 50MG TAB MGA SUC</v>
      </c>
      <c r="H983" t="str">
        <f>VLOOKUP($A983,[1]Table!$A$2:$N1139,H$1,FALSE)</f>
        <v>tablet met gereguleerde afgifte</v>
      </c>
      <c r="I983" t="str">
        <f>VLOOKUP($A983,[1]Table!$A$2:$N1139,I$1,FALSE)</f>
        <v>or</v>
      </c>
      <c r="J983">
        <f>VLOOKUP($A983,[1]Table!$A$2:$N1139,J$1,FALSE)</f>
        <v>47.5</v>
      </c>
      <c r="K983" t="str">
        <f>VLOOKUP($A983,[1]Table!$A$2:$N1139,K$1,FALSE)</f>
        <v>mg/stuk</v>
      </c>
      <c r="L983">
        <f>VLOOKUP($A983,[1]Table!$A$2:$N1139,L$1,FALSE)</f>
        <v>23.75</v>
      </c>
      <c r="M983" t="str">
        <f>VLOOKUP($A983,[1]Table!$A$2:$N1139,M$1,FALSE)</f>
        <v>mg</v>
      </c>
      <c r="N983" t="str">
        <f>VLOOKUP($A983,[1]Table!$A$2:$N1139,N$1,FALSE)</f>
        <v>Hypertensie||Gedilateerde cardiomyopathie met hartfalen</v>
      </c>
      <c r="O983" t="str">
        <f>ConcatenateRange(AZ983:BU983,"||")</f>
        <v/>
      </c>
      <c r="AZ983" t="str">
        <f t="shared" si="374"/>
        <v/>
      </c>
      <c r="BA983" t="str">
        <f t="shared" si="375"/>
        <v/>
      </c>
      <c r="BB983" t="str">
        <f t="shared" si="376"/>
        <v/>
      </c>
      <c r="BC983" t="str">
        <f t="shared" si="377"/>
        <v/>
      </c>
      <c r="BD983" t="str">
        <f t="shared" si="378"/>
        <v/>
      </c>
      <c r="BE983" t="str">
        <f t="shared" si="379"/>
        <v/>
      </c>
      <c r="BF983" t="str">
        <f t="shared" si="380"/>
        <v/>
      </c>
      <c r="BG983" t="str">
        <f t="shared" si="381"/>
        <v/>
      </c>
      <c r="BH983" t="str">
        <f t="shared" si="382"/>
        <v/>
      </c>
      <c r="BI983" t="str">
        <f t="shared" si="383"/>
        <v/>
      </c>
      <c r="BJ983" t="str">
        <f t="shared" si="384"/>
        <v/>
      </c>
      <c r="BK983" t="str">
        <f t="shared" si="385"/>
        <v/>
      </c>
      <c r="BL983" t="str">
        <f t="shared" si="386"/>
        <v/>
      </c>
      <c r="BM983" t="str">
        <f t="shared" si="387"/>
        <v/>
      </c>
      <c r="BN983" t="str">
        <f t="shared" si="388"/>
        <v/>
      </c>
      <c r="BO983" t="str">
        <f t="shared" si="389"/>
        <v/>
      </c>
      <c r="BP983" t="str">
        <f t="shared" si="390"/>
        <v/>
      </c>
      <c r="BQ983" t="str">
        <f t="shared" si="391"/>
        <v/>
      </c>
      <c r="BR983" t="str">
        <f t="shared" si="392"/>
        <v/>
      </c>
      <c r="BS983" t="str">
        <f t="shared" si="393"/>
        <v/>
      </c>
      <c r="BT983" t="str">
        <f t="shared" si="394"/>
        <v/>
      </c>
      <c r="BU983" t="str">
        <f t="shared" si="395"/>
        <v/>
      </c>
    </row>
    <row r="984" spans="1:73">
      <c r="A984" s="1">
        <v>71013</v>
      </c>
      <c r="B984" t="str">
        <f>VLOOKUP($A984,[1]Table!$A$2:$N1140,B$1,FALSE)</f>
        <v>C07AB02</v>
      </c>
      <c r="C984" t="str">
        <f>VLOOKUP($A984,[1]Table!$A$2:$N1140,C$1,FALSE)</f>
        <v>BETA-BLOKKERS</v>
      </c>
      <c r="D984" t="str">
        <f>VLOOKUP($A984,[1]Table!$A$2:$N1140,D$1,FALSE)</f>
        <v>BETA-BLOKKERS</v>
      </c>
      <c r="E984" t="s">
        <v>80</v>
      </c>
      <c r="F984" t="str">
        <f>VLOOKUP($A984,[1]Table!$A$2:$N1140,F$1,FALSE)</f>
        <v>METOPROLOL SUCCINAAT 100 MG TABLET MGA (RETARD)</v>
      </c>
      <c r="G984" t="str">
        <f>VLOOKUP($A984,[1]Table!$A$2:$N1140,G$1,FALSE)</f>
        <v>METOPROLOL 100MG TB MGA SUC</v>
      </c>
      <c r="H984" t="str">
        <f>VLOOKUP($A984,[1]Table!$A$2:$N1140,H$1,FALSE)</f>
        <v>tablet met gereguleerde afgifte</v>
      </c>
      <c r="I984" t="str">
        <f>VLOOKUP($A984,[1]Table!$A$2:$N1140,I$1,FALSE)</f>
        <v>or</v>
      </c>
      <c r="J984">
        <f>VLOOKUP($A984,[1]Table!$A$2:$N1140,J$1,FALSE)</f>
        <v>95</v>
      </c>
      <c r="K984" t="str">
        <f>VLOOKUP($A984,[1]Table!$A$2:$N1140,K$1,FALSE)</f>
        <v>mg/stuk</v>
      </c>
      <c r="L984">
        <f>VLOOKUP($A984,[1]Table!$A$2:$N1140,L$1,FALSE)</f>
        <v>47.5</v>
      </c>
      <c r="M984" t="str">
        <f>VLOOKUP($A984,[1]Table!$A$2:$N1140,M$1,FALSE)</f>
        <v>mg</v>
      </c>
      <c r="N984" t="str">
        <f>VLOOKUP($A984,[1]Table!$A$2:$N1140,N$1,FALSE)</f>
        <v>Hypertensie||Gedilateerde cardiomyopathie met hartfalen</v>
      </c>
      <c r="O984" t="str">
        <f>ConcatenateRange(AZ984:BU984,"||")</f>
        <v/>
      </c>
      <c r="T984" s="20"/>
      <c r="U984" s="20"/>
      <c r="AZ984" t="str">
        <f t="shared" si="374"/>
        <v/>
      </c>
      <c r="BA984" t="str">
        <f t="shared" si="375"/>
        <v/>
      </c>
      <c r="BB984" t="str">
        <f t="shared" si="376"/>
        <v/>
      </c>
      <c r="BC984" t="str">
        <f t="shared" si="377"/>
        <v/>
      </c>
      <c r="BD984" t="str">
        <f t="shared" si="378"/>
        <v/>
      </c>
      <c r="BE984" t="str">
        <f t="shared" si="379"/>
        <v/>
      </c>
      <c r="BF984" t="str">
        <f t="shared" si="380"/>
        <v/>
      </c>
      <c r="BG984" t="str">
        <f t="shared" si="381"/>
        <v/>
      </c>
      <c r="BH984" t="str">
        <f t="shared" si="382"/>
        <v/>
      </c>
      <c r="BI984" t="str">
        <f t="shared" si="383"/>
        <v/>
      </c>
      <c r="BJ984" t="str">
        <f t="shared" si="384"/>
        <v/>
      </c>
      <c r="BK984" t="str">
        <f t="shared" si="385"/>
        <v/>
      </c>
      <c r="BL984" t="str">
        <f t="shared" si="386"/>
        <v/>
      </c>
      <c r="BM984" t="str">
        <f t="shared" si="387"/>
        <v/>
      </c>
      <c r="BN984" t="str">
        <f t="shared" si="388"/>
        <v/>
      </c>
      <c r="BO984" t="str">
        <f t="shared" si="389"/>
        <v/>
      </c>
      <c r="BP984" t="str">
        <f t="shared" si="390"/>
        <v/>
      </c>
      <c r="BQ984" t="str">
        <f t="shared" si="391"/>
        <v/>
      </c>
      <c r="BR984" t="str">
        <f t="shared" si="392"/>
        <v/>
      </c>
      <c r="BS984" t="str">
        <f t="shared" si="393"/>
        <v/>
      </c>
      <c r="BT984" t="str">
        <f t="shared" si="394"/>
        <v/>
      </c>
      <c r="BU984" t="str">
        <f t="shared" si="395"/>
        <v/>
      </c>
    </row>
    <row r="985" spans="1:73">
      <c r="A985" s="1">
        <v>71021</v>
      </c>
      <c r="B985" t="str">
        <f>VLOOKUP($A985,[1]Table!$A$2:$N1141,B$1,FALSE)</f>
        <v>C07AB02</v>
      </c>
      <c r="C985" t="str">
        <f>VLOOKUP($A985,[1]Table!$A$2:$N1141,C$1,FALSE)</f>
        <v>BETA-BLOKKERS</v>
      </c>
      <c r="D985" t="str">
        <f>VLOOKUP($A985,[1]Table!$A$2:$N1141,D$1,FALSE)</f>
        <v>BETA-BLOKKERS</v>
      </c>
      <c r="E985" t="s">
        <v>80</v>
      </c>
      <c r="F985" t="str">
        <f>VLOOKUP($A985,[1]Table!$A$2:$N1141,F$1,FALSE)</f>
        <v>METOPROLOL SUCCINAAT 200 MG TABLET MGA (RETARD)</v>
      </c>
      <c r="G985" t="str">
        <f>VLOOKUP($A985,[1]Table!$A$2:$N1141,G$1,FALSE)</f>
        <v>METOPROLOL 200MG TB MGA SUC</v>
      </c>
      <c r="H985" t="str">
        <f>VLOOKUP($A985,[1]Table!$A$2:$N1141,H$1,FALSE)</f>
        <v>tablet met gereguleerde afgifte</v>
      </c>
      <c r="I985" t="str">
        <f>VLOOKUP($A985,[1]Table!$A$2:$N1141,I$1,FALSE)</f>
        <v>or</v>
      </c>
      <c r="J985">
        <f>VLOOKUP($A985,[1]Table!$A$2:$N1141,J$1,FALSE)</f>
        <v>190</v>
      </c>
      <c r="K985" t="str">
        <f>VLOOKUP($A985,[1]Table!$A$2:$N1141,K$1,FALSE)</f>
        <v>mg/stuk</v>
      </c>
      <c r="L985">
        <f>VLOOKUP($A985,[1]Table!$A$2:$N1141,L$1,FALSE)</f>
        <v>190</v>
      </c>
      <c r="M985" t="str">
        <f>VLOOKUP($A985,[1]Table!$A$2:$N1141,M$1,FALSE)</f>
        <v>mg</v>
      </c>
      <c r="N985" t="str">
        <f>VLOOKUP($A985,[1]Table!$A$2:$N1141,N$1,FALSE)</f>
        <v>Hypertensie||Gedilateerde cardiomyopathie met hartfalen</v>
      </c>
      <c r="O985" t="str">
        <f>ConcatenateRange(AZ985:BU985,"||")</f>
        <v/>
      </c>
      <c r="T985" s="20"/>
      <c r="U985" s="20"/>
      <c r="AZ985" t="str">
        <f t="shared" si="374"/>
        <v/>
      </c>
      <c r="BA985" t="str">
        <f t="shared" si="375"/>
        <v/>
      </c>
      <c r="BB985" t="str">
        <f t="shared" si="376"/>
        <v/>
      </c>
      <c r="BC985" t="str">
        <f t="shared" si="377"/>
        <v/>
      </c>
      <c r="BD985" t="str">
        <f t="shared" si="378"/>
        <v/>
      </c>
      <c r="BE985" t="str">
        <f t="shared" si="379"/>
        <v/>
      </c>
      <c r="BF985" t="str">
        <f t="shared" si="380"/>
        <v/>
      </c>
      <c r="BG985" t="str">
        <f t="shared" si="381"/>
        <v/>
      </c>
      <c r="BH985" t="str">
        <f t="shared" si="382"/>
        <v/>
      </c>
      <c r="BI985" t="str">
        <f t="shared" si="383"/>
        <v/>
      </c>
      <c r="BJ985" t="str">
        <f t="shared" si="384"/>
        <v/>
      </c>
      <c r="BK985" t="str">
        <f t="shared" si="385"/>
        <v/>
      </c>
      <c r="BL985" t="str">
        <f t="shared" si="386"/>
        <v/>
      </c>
      <c r="BM985" t="str">
        <f t="shared" si="387"/>
        <v/>
      </c>
      <c r="BN985" t="str">
        <f t="shared" si="388"/>
        <v/>
      </c>
      <c r="BO985" t="str">
        <f t="shared" si="389"/>
        <v/>
      </c>
      <c r="BP985" t="str">
        <f t="shared" si="390"/>
        <v/>
      </c>
      <c r="BQ985" t="str">
        <f t="shared" si="391"/>
        <v/>
      </c>
      <c r="BR985" t="str">
        <f t="shared" si="392"/>
        <v/>
      </c>
      <c r="BS985" t="str">
        <f t="shared" si="393"/>
        <v/>
      </c>
      <c r="BT985" t="str">
        <f t="shared" si="394"/>
        <v/>
      </c>
      <c r="BU985" t="str">
        <f t="shared" si="395"/>
        <v/>
      </c>
    </row>
    <row r="986" spans="1:73">
      <c r="A986" s="21">
        <v>3492</v>
      </c>
      <c r="B986" t="str">
        <f>VLOOKUP($A986,[1]Table!$A$2:$N1703,B$1,FALSE)</f>
        <v>J01XD01</v>
      </c>
      <c r="C986" t="str">
        <f>VLOOKUP($A986,[1]Table!$A$2:$N1703,C$1,FALSE)</f>
        <v>ANTIPROTOZOICA</v>
      </c>
      <c r="D986" t="str">
        <f>VLOOKUP($A986,[1]Table!$A$2:$N1703,D$1,FALSE)</f>
        <v>AMOEBIASISMIDDELEN EN ANDERE ANTIPROTOZOICA</v>
      </c>
      <c r="E986" t="str">
        <f>VLOOKUP($A986,[1]Table!$A$2:$N1703,E$1,FALSE)</f>
        <v>METRONIDAZOL</v>
      </c>
      <c r="F986" t="str">
        <f>VLOOKUP($A986,[1]Table!$A$2:$N1703,F$1,FALSE)</f>
        <v>METRONIDAZOL 5MG/ML 100 ML INFVLST</v>
      </c>
      <c r="G986" t="str">
        <f>VLOOKUP($A986,[1]Table!$A$2:$N1703,G$1,FALSE)</f>
        <v>METRONIDAZOL 5MG/ML INFVLST</v>
      </c>
      <c r="H986" t="str">
        <f>VLOOKUP($A986,[1]Table!$A$2:$N1703,H$1,FALSE)</f>
        <v>infusievloeistof</v>
      </c>
      <c r="I986" t="str">
        <f>VLOOKUP($A986,[1]Table!$A$2:$N1703,I$1,FALSE)</f>
        <v>iv</v>
      </c>
      <c r="J986">
        <f>VLOOKUP($A986,[1]Table!$A$2:$N1703,J$1,FALSE)</f>
        <v>5</v>
      </c>
      <c r="K986" t="str">
        <f>VLOOKUP($A986,[1]Table!$A$2:$N1703,K$1,FALSE)</f>
        <v>mg/ml</v>
      </c>
      <c r="L986">
        <f>VLOOKUP($A986,[1]Table!$A$2:$N1703,L$1,FALSE)</f>
        <v>0.5</v>
      </c>
      <c r="M986" t="str">
        <f>VLOOKUP($A986,[1]Table!$A$2:$N1703,M$1,FALSE)</f>
        <v>mg</v>
      </c>
      <c r="N986" t="str">
        <f>VLOOKUP($A986,[1]Table!$A$2:$N1703,N$1,FALSE)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986">
        <v>30</v>
      </c>
      <c r="T986" s="4">
        <v>7.5</v>
      </c>
      <c r="U986" s="4">
        <v>20</v>
      </c>
      <c r="V986">
        <v>4000</v>
      </c>
      <c r="W986">
        <v>5</v>
      </c>
      <c r="Y986">
        <v>30</v>
      </c>
      <c r="AA986" t="s">
        <v>49</v>
      </c>
      <c r="AB986" t="s">
        <v>49</v>
      </c>
      <c r="AC986" t="s">
        <v>49</v>
      </c>
      <c r="AZ986" t="str">
        <f t="shared" si="374"/>
        <v>1 x / dag</v>
      </c>
      <c r="BA986" t="str">
        <f t="shared" si="375"/>
        <v>2 x / dag</v>
      </c>
      <c r="BB986" t="str">
        <f t="shared" si="376"/>
        <v>3 x / dag</v>
      </c>
      <c r="BC986" t="str">
        <f t="shared" si="377"/>
        <v/>
      </c>
      <c r="BD986" t="str">
        <f t="shared" si="378"/>
        <v/>
      </c>
      <c r="BE986" t="str">
        <f t="shared" si="379"/>
        <v/>
      </c>
      <c r="BF986" t="str">
        <f t="shared" si="380"/>
        <v/>
      </c>
      <c r="BG986" t="str">
        <f t="shared" si="381"/>
        <v/>
      </c>
      <c r="BH986" t="str">
        <f t="shared" si="382"/>
        <v/>
      </c>
      <c r="BI986" t="str">
        <f t="shared" si="383"/>
        <v/>
      </c>
      <c r="BJ986" t="str">
        <f t="shared" si="384"/>
        <v/>
      </c>
      <c r="BK986" t="str">
        <f t="shared" si="385"/>
        <v/>
      </c>
      <c r="BL986" t="str">
        <f t="shared" si="386"/>
        <v/>
      </c>
      <c r="BM986" t="str">
        <f t="shared" si="387"/>
        <v/>
      </c>
      <c r="BN986" t="str">
        <f t="shared" si="388"/>
        <v/>
      </c>
      <c r="BO986" t="str">
        <f t="shared" si="389"/>
        <v/>
      </c>
      <c r="BP986" t="str">
        <f t="shared" si="390"/>
        <v/>
      </c>
      <c r="BQ986" t="str">
        <f t="shared" si="391"/>
        <v/>
      </c>
      <c r="BR986" t="str">
        <f t="shared" si="392"/>
        <v/>
      </c>
      <c r="BS986" t="str">
        <f t="shared" si="393"/>
        <v/>
      </c>
      <c r="BT986" t="str">
        <f t="shared" si="394"/>
        <v/>
      </c>
      <c r="BU986" t="str">
        <f t="shared" si="395"/>
        <v/>
      </c>
    </row>
    <row r="987" spans="1:73">
      <c r="A987" s="1">
        <v>54259</v>
      </c>
      <c r="B987" t="str">
        <f>VLOOKUP($A987,[1]Table!$A$2:$N1142,B$1,FALSE)</f>
        <v>P01AB01</v>
      </c>
      <c r="C987" t="str">
        <f>VLOOKUP($A987,[1]Table!$A$2:$N1142,C$1,FALSE)</f>
        <v>ANTIPROTOZOICA</v>
      </c>
      <c r="D987" t="str">
        <f>VLOOKUP($A987,[1]Table!$A$2:$N1142,D$1,FALSE)</f>
        <v>AMOEBIASISMIDDELEN EN ANDERE ANTIPROTOZOICA</v>
      </c>
      <c r="E987" t="str">
        <f>VLOOKUP($A987,[1]Table!$A$2:$N1142,E$1,FALSE)</f>
        <v>METRONIDAZOL</v>
      </c>
      <c r="F987" t="str">
        <f>VLOOKUP($A987,[1]Table!$A$2:$N1142,F$1,FALSE)</f>
        <v>FLAGYL 40 MG/ML SUSPENSIE</v>
      </c>
      <c r="G987" t="str">
        <f>VLOOKUP($A987,[1]Table!$A$2:$N1142,G$1,FALSE)</f>
        <v>METRONIDAZOL 40MG/ML SUSPEN</v>
      </c>
      <c r="H987" t="str">
        <f>VLOOKUP($A987,[1]Table!$A$2:$N1142,H$1,FALSE)</f>
        <v>suspensie voor oraal gebruik</v>
      </c>
      <c r="I987" t="str">
        <f>VLOOKUP($A987,[1]Table!$A$2:$N1142,I$1,FALSE)</f>
        <v>or</v>
      </c>
      <c r="J987">
        <f>VLOOKUP($A987,[1]Table!$A$2:$N1142,J$1,FALSE)</f>
        <v>40</v>
      </c>
      <c r="K987" t="str">
        <f>VLOOKUP($A987,[1]Table!$A$2:$N1142,K$1,FALSE)</f>
        <v>mg/ml</v>
      </c>
      <c r="L987">
        <f>VLOOKUP($A987,[1]Table!$A$2:$N1142,L$1,FALSE)</f>
        <v>40</v>
      </c>
      <c r="M987" t="str">
        <f>VLOOKUP($A987,[1]Table!$A$2:$N1142,M$1,FALSE)</f>
        <v>mg</v>
      </c>
      <c r="N987" t="str">
        <f>VLOOKUP($A987,[1]Table!$A$2:$N1142,N$1,FALSE)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987" t="str">
        <f>ConcatenateRange(AZ987:BU987,"||")</f>
        <v/>
      </c>
      <c r="AZ987" t="str">
        <f t="shared" si="374"/>
        <v/>
      </c>
      <c r="BA987" t="str">
        <f t="shared" si="375"/>
        <v/>
      </c>
      <c r="BB987" t="str">
        <f t="shared" si="376"/>
        <v/>
      </c>
      <c r="BC987" t="str">
        <f t="shared" si="377"/>
        <v/>
      </c>
      <c r="BD987" t="str">
        <f t="shared" si="378"/>
        <v/>
      </c>
      <c r="BE987" t="str">
        <f t="shared" si="379"/>
        <v/>
      </c>
      <c r="BF987" t="str">
        <f t="shared" si="380"/>
        <v/>
      </c>
      <c r="BG987" t="str">
        <f t="shared" si="381"/>
        <v/>
      </c>
      <c r="BH987" t="str">
        <f t="shared" si="382"/>
        <v/>
      </c>
      <c r="BI987" t="str">
        <f t="shared" si="383"/>
        <v/>
      </c>
      <c r="BJ987" t="str">
        <f t="shared" si="384"/>
        <v/>
      </c>
      <c r="BK987" t="str">
        <f t="shared" si="385"/>
        <v/>
      </c>
      <c r="BL987" t="str">
        <f t="shared" si="386"/>
        <v/>
      </c>
      <c r="BM987" t="str">
        <f t="shared" si="387"/>
        <v/>
      </c>
      <c r="BN987" t="str">
        <f t="shared" si="388"/>
        <v/>
      </c>
      <c r="BO987" t="str">
        <f t="shared" si="389"/>
        <v/>
      </c>
      <c r="BP987" t="str">
        <f t="shared" si="390"/>
        <v/>
      </c>
      <c r="BQ987" t="str">
        <f t="shared" si="391"/>
        <v/>
      </c>
      <c r="BR987" t="str">
        <f t="shared" si="392"/>
        <v/>
      </c>
      <c r="BS987" t="str">
        <f t="shared" si="393"/>
        <v/>
      </c>
      <c r="BT987" t="str">
        <f t="shared" si="394"/>
        <v/>
      </c>
      <c r="BU987" t="str">
        <f t="shared" si="395"/>
        <v/>
      </c>
    </row>
    <row r="988" spans="1:73">
      <c r="A988" s="1">
        <v>15393</v>
      </c>
      <c r="B988" t="str">
        <f>VLOOKUP($A988,[1]Table!$A$2:$N1143,B$1,FALSE)</f>
        <v>P01AB01</v>
      </c>
      <c r="C988" t="str">
        <f>VLOOKUP($A988,[1]Table!$A$2:$N1143,C$1,FALSE)</f>
        <v>ANTIPROTOZOICA</v>
      </c>
      <c r="D988" t="str">
        <f>VLOOKUP($A988,[1]Table!$A$2:$N1143,D$1,FALSE)</f>
        <v>AMOEBIASISMIDDELEN EN ANDERE ANTIPROTOZOICA</v>
      </c>
      <c r="E988" t="str">
        <f>VLOOKUP($A988,[1]Table!$A$2:$N1143,E$1,FALSE)</f>
        <v>METRONIDAZOL</v>
      </c>
      <c r="F988" t="str">
        <f>VLOOKUP($A988,[1]Table!$A$2:$N1143,F$1,FALSE)</f>
        <v>METRONIDAZOL 250 MG TABLET</v>
      </c>
      <c r="G988" t="str">
        <f>VLOOKUP($A988,[1]Table!$A$2:$N1143,G$1,FALSE)</f>
        <v>METRONIDAZOL 250MG TABLET</v>
      </c>
      <c r="H988" t="str">
        <f>VLOOKUP($A988,[1]Table!$A$2:$N1143,H$1,FALSE)</f>
        <v>tablet</v>
      </c>
      <c r="I988" t="str">
        <f>VLOOKUP($A988,[1]Table!$A$2:$N1143,I$1,FALSE)</f>
        <v>or</v>
      </c>
      <c r="J988">
        <f>VLOOKUP($A988,[1]Table!$A$2:$N1143,J$1,FALSE)</f>
        <v>250</v>
      </c>
      <c r="K988" t="str">
        <f>VLOOKUP($A988,[1]Table!$A$2:$N1143,K$1,FALSE)</f>
        <v>mg/stuk</v>
      </c>
      <c r="L988">
        <f>VLOOKUP($A988,[1]Table!$A$2:$N1143,L$1,FALSE)</f>
        <v>125</v>
      </c>
      <c r="M988" t="str">
        <f>VLOOKUP($A988,[1]Table!$A$2:$N1143,M$1,FALSE)</f>
        <v>mg</v>
      </c>
      <c r="N988" t="str">
        <f>VLOOKUP($A988,[1]Table!$A$2:$N1143,N$1,FALSE)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88" t="str">
        <f>ConcatenateRange(AZ988:BU988,"||")</f>
        <v/>
      </c>
      <c r="AZ988" t="str">
        <f t="shared" si="374"/>
        <v/>
      </c>
      <c r="BA988" t="str">
        <f t="shared" si="375"/>
        <v/>
      </c>
      <c r="BB988" t="str">
        <f t="shared" si="376"/>
        <v/>
      </c>
      <c r="BC988" t="str">
        <f t="shared" si="377"/>
        <v/>
      </c>
      <c r="BD988" t="str">
        <f t="shared" si="378"/>
        <v/>
      </c>
      <c r="BE988" t="str">
        <f t="shared" si="379"/>
        <v/>
      </c>
      <c r="BF988" t="str">
        <f t="shared" si="380"/>
        <v/>
      </c>
      <c r="BG988" t="str">
        <f t="shared" si="381"/>
        <v/>
      </c>
      <c r="BH988" t="str">
        <f t="shared" si="382"/>
        <v/>
      </c>
      <c r="BI988" t="str">
        <f t="shared" si="383"/>
        <v/>
      </c>
      <c r="BJ988" t="str">
        <f t="shared" si="384"/>
        <v/>
      </c>
      <c r="BK988" t="str">
        <f t="shared" si="385"/>
        <v/>
      </c>
      <c r="BL988" t="str">
        <f t="shared" si="386"/>
        <v/>
      </c>
      <c r="BM988" t="str">
        <f t="shared" si="387"/>
        <v/>
      </c>
      <c r="BN988" t="str">
        <f t="shared" si="388"/>
        <v/>
      </c>
      <c r="BO988" t="str">
        <f t="shared" si="389"/>
        <v/>
      </c>
      <c r="BP988" t="str">
        <f t="shared" si="390"/>
        <v/>
      </c>
      <c r="BQ988" t="str">
        <f t="shared" si="391"/>
        <v/>
      </c>
      <c r="BR988" t="str">
        <f t="shared" si="392"/>
        <v/>
      </c>
      <c r="BS988" t="str">
        <f t="shared" si="393"/>
        <v/>
      </c>
      <c r="BT988" t="str">
        <f t="shared" si="394"/>
        <v/>
      </c>
      <c r="BU988" t="str">
        <f t="shared" si="395"/>
        <v/>
      </c>
    </row>
    <row r="989" spans="1:73">
      <c r="A989" s="1">
        <v>40487</v>
      </c>
      <c r="B989" t="str">
        <f>VLOOKUP($A989,[1]Table!$A$2:$N1144,B$1,FALSE)</f>
        <v>P01AB01</v>
      </c>
      <c r="C989" t="str">
        <f>VLOOKUP($A989,[1]Table!$A$2:$N1144,C$1,FALSE)</f>
        <v>ANTIPROTOZOICA</v>
      </c>
      <c r="D989" t="str">
        <f>VLOOKUP($A989,[1]Table!$A$2:$N1144,D$1,FALSE)</f>
        <v>AMOEBIASISMIDDELEN EN ANDERE ANTIPROTOZOICA</v>
      </c>
      <c r="E989" t="str">
        <f>VLOOKUP($A989,[1]Table!$A$2:$N1144,E$1,FALSE)</f>
        <v>METRONIDAZOL</v>
      </c>
      <c r="F989" t="str">
        <f>VLOOKUP($A989,[1]Table!$A$2:$N1144,F$1,FALSE)</f>
        <v>METRONIDAZOL 500 MG TABLET</v>
      </c>
      <c r="G989" t="str">
        <f>VLOOKUP($A989,[1]Table!$A$2:$N1144,G$1,FALSE)</f>
        <v>METRONIDAZOL 500MG TABLET</v>
      </c>
      <c r="H989" t="str">
        <f>VLOOKUP($A989,[1]Table!$A$2:$N1144,H$1,FALSE)</f>
        <v>tablet</v>
      </c>
      <c r="I989" t="str">
        <f>VLOOKUP($A989,[1]Table!$A$2:$N1144,I$1,FALSE)</f>
        <v>or</v>
      </c>
      <c r="J989">
        <f>VLOOKUP($A989,[1]Table!$A$2:$N1144,J$1,FALSE)</f>
        <v>500</v>
      </c>
      <c r="K989" t="str">
        <f>VLOOKUP($A989,[1]Table!$A$2:$N1144,K$1,FALSE)</f>
        <v>mg/stuk</v>
      </c>
      <c r="L989">
        <f>VLOOKUP($A989,[1]Table!$A$2:$N1144,L$1,FALSE)</f>
        <v>250</v>
      </c>
      <c r="M989" t="str">
        <f>VLOOKUP($A989,[1]Table!$A$2:$N1144,M$1,FALSE)</f>
        <v>mg</v>
      </c>
      <c r="N989" t="str">
        <f>VLOOKUP($A989,[1]Table!$A$2:$N1144,N$1,FALSE)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89" t="str">
        <f>ConcatenateRange(AZ989:BU989,"||")</f>
        <v/>
      </c>
      <c r="AZ989" t="str">
        <f t="shared" si="374"/>
        <v/>
      </c>
      <c r="BA989" t="str">
        <f t="shared" si="375"/>
        <v/>
      </c>
      <c r="BB989" t="str">
        <f t="shared" si="376"/>
        <v/>
      </c>
      <c r="BC989" t="str">
        <f t="shared" si="377"/>
        <v/>
      </c>
      <c r="BD989" t="str">
        <f t="shared" si="378"/>
        <v/>
      </c>
      <c r="BE989" t="str">
        <f t="shared" si="379"/>
        <v/>
      </c>
      <c r="BF989" t="str">
        <f t="shared" si="380"/>
        <v/>
      </c>
      <c r="BG989" t="str">
        <f t="shared" si="381"/>
        <v/>
      </c>
      <c r="BH989" t="str">
        <f t="shared" si="382"/>
        <v/>
      </c>
      <c r="BI989" t="str">
        <f t="shared" si="383"/>
        <v/>
      </c>
      <c r="BJ989" t="str">
        <f t="shared" si="384"/>
        <v/>
      </c>
      <c r="BK989" t="str">
        <f t="shared" si="385"/>
        <v/>
      </c>
      <c r="BL989" t="str">
        <f t="shared" si="386"/>
        <v/>
      </c>
      <c r="BM989" t="str">
        <f t="shared" si="387"/>
        <v/>
      </c>
      <c r="BN989" t="str">
        <f t="shared" si="388"/>
        <v/>
      </c>
      <c r="BO989" t="str">
        <f t="shared" si="389"/>
        <v/>
      </c>
      <c r="BP989" t="str">
        <f t="shared" si="390"/>
        <v/>
      </c>
      <c r="BQ989" t="str">
        <f t="shared" si="391"/>
        <v/>
      </c>
      <c r="BR989" t="str">
        <f t="shared" si="392"/>
        <v/>
      </c>
      <c r="BS989" t="str">
        <f t="shared" si="393"/>
        <v/>
      </c>
      <c r="BT989" t="str">
        <f t="shared" si="394"/>
        <v/>
      </c>
      <c r="BU989" t="str">
        <f t="shared" si="395"/>
        <v/>
      </c>
    </row>
    <row r="990" spans="1:73">
      <c r="A990" s="1">
        <v>132683</v>
      </c>
      <c r="B990" t="str">
        <f>VLOOKUP($A990,[1]Table!$A$2:$N1145,B$1,FALSE)</f>
        <v>J02AX05</v>
      </c>
      <c r="C990" t="str">
        <f>VLOOKUP($A990,[1]Table!$A$2:$N1145,C$1,FALSE)</f>
        <v>ANTIMYCOTICA VOOR SYSTEMISCH GEBRUIK</v>
      </c>
      <c r="D990" t="str">
        <f>VLOOKUP($A990,[1]Table!$A$2:$N1145,D$1,FALSE)</f>
        <v>ANTIMYCOTICA VOOR SYSTEMISCH GEBRUIK</v>
      </c>
      <c r="E990" t="str">
        <f>VLOOKUP($A990,[1]Table!$A$2:$N1145,E$1,FALSE)</f>
        <v>MICAFUNGINE</v>
      </c>
      <c r="F990" t="str">
        <f>VLOOKUP($A990,[1]Table!$A$2:$N1145,F$1,FALSE)</f>
        <v>MYCAMINE 50 MG POEDER VOOR INFUSIE</v>
      </c>
      <c r="G990" t="str">
        <f>VLOOKUP($A990,[1]Table!$A$2:$N1145,G$1,FALSE)</f>
        <v>MICAFUNGINE 50MG INFPDR</v>
      </c>
      <c r="H990" t="str">
        <f>VLOOKUP($A990,[1]Table!$A$2:$N1145,H$1,FALSE)</f>
        <v>poeder voor oplossing voor infusie</v>
      </c>
      <c r="I990" t="str">
        <f>VLOOKUP($A990,[1]Table!$A$2:$N1145,I$1,FALSE)</f>
        <v>iv</v>
      </c>
      <c r="J990">
        <f>VLOOKUP($A990,[1]Table!$A$2:$N1145,J$1,FALSE)</f>
        <v>50</v>
      </c>
      <c r="K990" t="str">
        <f>VLOOKUP($A990,[1]Table!$A$2:$N1145,K$1,FALSE)</f>
        <v>mg/stuk</v>
      </c>
      <c r="L990">
        <f>VLOOKUP($A990,[1]Table!$A$2:$N1145,L$1,FALSE)</f>
        <v>50</v>
      </c>
      <c r="M990" t="str">
        <f>VLOOKUP($A990,[1]Table!$A$2:$N1145,M$1,FALSE)</f>
        <v>mg</v>
      </c>
      <c r="N990" t="str">
        <f>VLOOKUP($A990,[1]Table!$A$2:$N1145,N$1,FALSE)</f>
        <v>Invasieve candidiasis||Profylaxe van Candida-infectie</v>
      </c>
      <c r="O990" t="str">
        <f>ConcatenateRange(AZ990:BU990,"||")</f>
        <v>1 x / dag</v>
      </c>
      <c r="Q990">
        <v>1</v>
      </c>
      <c r="R990">
        <v>4</v>
      </c>
      <c r="V990">
        <v>200</v>
      </c>
      <c r="W990">
        <v>1.59</v>
      </c>
      <c r="Y990">
        <v>120</v>
      </c>
      <c r="AA990" t="s">
        <v>49</v>
      </c>
      <c r="AZ990" t="str">
        <f t="shared" si="374"/>
        <v>1 x / dag</v>
      </c>
      <c r="BA990" t="str">
        <f t="shared" si="375"/>
        <v/>
      </c>
      <c r="BB990" t="str">
        <f t="shared" si="376"/>
        <v/>
      </c>
      <c r="BC990" t="str">
        <f t="shared" si="377"/>
        <v/>
      </c>
      <c r="BD990" t="str">
        <f t="shared" si="378"/>
        <v/>
      </c>
      <c r="BE990" t="str">
        <f t="shared" si="379"/>
        <v/>
      </c>
      <c r="BF990" t="str">
        <f t="shared" si="380"/>
        <v/>
      </c>
      <c r="BG990" t="str">
        <f t="shared" si="381"/>
        <v/>
      </c>
      <c r="BH990" t="str">
        <f t="shared" si="382"/>
        <v/>
      </c>
      <c r="BI990" t="str">
        <f t="shared" si="383"/>
        <v/>
      </c>
      <c r="BJ990" t="str">
        <f t="shared" si="384"/>
        <v/>
      </c>
      <c r="BK990" t="str">
        <f t="shared" si="385"/>
        <v/>
      </c>
      <c r="BL990" t="str">
        <f t="shared" si="386"/>
        <v/>
      </c>
      <c r="BM990" t="str">
        <f t="shared" si="387"/>
        <v/>
      </c>
      <c r="BN990" t="str">
        <f t="shared" si="388"/>
        <v/>
      </c>
      <c r="BO990" t="str">
        <f t="shared" si="389"/>
        <v/>
      </c>
      <c r="BP990" t="str">
        <f t="shared" si="390"/>
        <v/>
      </c>
      <c r="BQ990" t="str">
        <f t="shared" si="391"/>
        <v/>
      </c>
      <c r="BR990" t="str">
        <f t="shared" si="392"/>
        <v/>
      </c>
      <c r="BS990" t="str">
        <f t="shared" si="393"/>
        <v/>
      </c>
      <c r="BT990" t="str">
        <f t="shared" si="394"/>
        <v/>
      </c>
      <c r="BU990" t="str">
        <f t="shared" si="395"/>
        <v/>
      </c>
    </row>
    <row r="991" spans="1:73">
      <c r="A991" s="1">
        <v>132691</v>
      </c>
      <c r="B991" t="str">
        <f>VLOOKUP($A991,[1]Table!$A$2:$N1146,B$1,FALSE)</f>
        <v>J02AX05</v>
      </c>
      <c r="C991" t="str">
        <f>VLOOKUP($A991,[1]Table!$A$2:$N1146,C$1,FALSE)</f>
        <v>ANTIMYCOTICA VOOR SYSTEMISCH GEBRUIK</v>
      </c>
      <c r="D991" t="str">
        <f>VLOOKUP($A991,[1]Table!$A$2:$N1146,D$1,FALSE)</f>
        <v>ANTIMYCOTICA VOOR SYSTEMISCH GEBRUIK</v>
      </c>
      <c r="E991" t="str">
        <f>VLOOKUP($A991,[1]Table!$A$2:$N1146,E$1,FALSE)</f>
        <v>MICAFUNGINE</v>
      </c>
      <c r="F991" t="str">
        <f>VLOOKUP($A991,[1]Table!$A$2:$N1146,F$1,FALSE)</f>
        <v>MYCAMINE 100 MG POEDER VOOR INFUSIE</v>
      </c>
      <c r="G991" t="str">
        <f>VLOOKUP($A991,[1]Table!$A$2:$N1146,G$1,FALSE)</f>
        <v>MICAFUNGINE 100MG INFPDR</v>
      </c>
      <c r="H991" t="str">
        <f>VLOOKUP($A991,[1]Table!$A$2:$N1146,H$1,FALSE)</f>
        <v>poeder voor oplossing voor infusie</v>
      </c>
      <c r="I991" t="str">
        <f>VLOOKUP($A991,[1]Table!$A$2:$N1146,I$1,FALSE)</f>
        <v>iv</v>
      </c>
      <c r="J991">
        <f>VLOOKUP($A991,[1]Table!$A$2:$N1146,J$1,FALSE)</f>
        <v>100</v>
      </c>
      <c r="K991" t="str">
        <f>VLOOKUP($A991,[1]Table!$A$2:$N1146,K$1,FALSE)</f>
        <v>mg/stuk</v>
      </c>
      <c r="L991">
        <f>VLOOKUP($A991,[1]Table!$A$2:$N1146,L$1,FALSE)</f>
        <v>100</v>
      </c>
      <c r="M991" t="str">
        <f>VLOOKUP($A991,[1]Table!$A$2:$N1146,M$1,FALSE)</f>
        <v>mg</v>
      </c>
      <c r="N991" t="str">
        <f>VLOOKUP($A991,[1]Table!$A$2:$N1146,N$1,FALSE)</f>
        <v>Invasieve candidiasis||Profylaxe van Candida-infectie</v>
      </c>
      <c r="O991" t="str">
        <f>ConcatenateRange(AZ991:BU991,"||")</f>
        <v>1 x / dag</v>
      </c>
      <c r="Q991">
        <v>1</v>
      </c>
      <c r="R991">
        <v>4</v>
      </c>
      <c r="V991">
        <v>200</v>
      </c>
      <c r="W991">
        <v>1.59</v>
      </c>
      <c r="Y991">
        <v>120</v>
      </c>
      <c r="AA991" t="s">
        <v>49</v>
      </c>
      <c r="AZ991" t="str">
        <f t="shared" si="374"/>
        <v>1 x / dag</v>
      </c>
      <c r="BA991" t="str">
        <f t="shared" si="375"/>
        <v/>
      </c>
      <c r="BB991" t="str">
        <f t="shared" si="376"/>
        <v/>
      </c>
      <c r="BC991" t="str">
        <f t="shared" si="377"/>
        <v/>
      </c>
      <c r="BD991" t="str">
        <f t="shared" si="378"/>
        <v/>
      </c>
      <c r="BE991" t="str">
        <f t="shared" si="379"/>
        <v/>
      </c>
      <c r="BF991" t="str">
        <f t="shared" si="380"/>
        <v/>
      </c>
      <c r="BG991" t="str">
        <f t="shared" si="381"/>
        <v/>
      </c>
      <c r="BH991" t="str">
        <f t="shared" si="382"/>
        <v/>
      </c>
      <c r="BI991" t="str">
        <f t="shared" si="383"/>
        <v/>
      </c>
      <c r="BJ991" t="str">
        <f t="shared" si="384"/>
        <v/>
      </c>
      <c r="BK991" t="str">
        <f t="shared" si="385"/>
        <v/>
      </c>
      <c r="BL991" t="str">
        <f t="shared" si="386"/>
        <v/>
      </c>
      <c r="BM991" t="str">
        <f t="shared" si="387"/>
        <v/>
      </c>
      <c r="BN991" t="str">
        <f t="shared" si="388"/>
        <v/>
      </c>
      <c r="BO991" t="str">
        <f t="shared" si="389"/>
        <v/>
      </c>
      <c r="BP991" t="str">
        <f t="shared" si="390"/>
        <v/>
      </c>
      <c r="BQ991" t="str">
        <f t="shared" si="391"/>
        <v/>
      </c>
      <c r="BR991" t="str">
        <f t="shared" si="392"/>
        <v/>
      </c>
      <c r="BS991" t="str">
        <f t="shared" si="393"/>
        <v/>
      </c>
      <c r="BT991" t="str">
        <f t="shared" si="394"/>
        <v/>
      </c>
      <c r="BU991" t="str">
        <f t="shared" si="395"/>
        <v/>
      </c>
    </row>
    <row r="992" spans="1:73">
      <c r="A992" s="1">
        <v>9032</v>
      </c>
      <c r="B992" t="str">
        <f>VLOOKUP($A992,[1]Table!$A$2:$N1147,B$1,FALSE)</f>
        <v>D01AC02</v>
      </c>
      <c r="C992" t="str">
        <f>VLOOKUP($A992,[1]Table!$A$2:$N1147,C$1,FALSE)</f>
        <v>ANTIMYCOTICA VOOR DERMATOLOGISCH GEBRUIK</v>
      </c>
      <c r="D992" t="str">
        <f>VLOOKUP($A992,[1]Table!$A$2:$N1147,D$1,FALSE)</f>
        <v>ANTIMYCOTICA, LOKALE</v>
      </c>
      <c r="E992" t="str">
        <f>VLOOKUP($A992,[1]Table!$A$2:$N1147,E$1,FALSE)</f>
        <v>MICONAZOL</v>
      </c>
      <c r="F992" t="str">
        <f>VLOOKUP($A992,[1]Table!$A$2:$N1147,F$1,FALSE)</f>
        <v>DAKTARIN CREME 20MG/G</v>
      </c>
      <c r="G992" t="str">
        <f>VLOOKUP($A992,[1]Table!$A$2:$N1147,G$1,FALSE)</f>
        <v>MICONAZOL 20MG/G CREME</v>
      </c>
      <c r="H992" t="str">
        <f>VLOOKUP($A992,[1]Table!$A$2:$N1147,H$1,FALSE)</f>
        <v>creme</v>
      </c>
      <c r="I992" t="str">
        <f>VLOOKUP($A992,[1]Table!$A$2:$N1147,I$1,FALSE)</f>
        <v>cutaan</v>
      </c>
      <c r="J992">
        <f>VLOOKUP($A992,[1]Table!$A$2:$N1147,J$1,FALSE)</f>
        <v>20</v>
      </c>
      <c r="K992" t="str">
        <f>VLOOKUP($A992,[1]Table!$A$2:$N1147,K$1,FALSE)</f>
        <v>mg/gr</v>
      </c>
      <c r="L992">
        <f>VLOOKUP($A992,[1]Table!$A$2:$N1147,L$1,FALSE)</f>
        <v>20</v>
      </c>
      <c r="M992" t="str">
        <f>VLOOKUP($A992,[1]Table!$A$2:$N1147,M$1,FALSE)</f>
        <v>mg</v>
      </c>
      <c r="N992" t="str">
        <f>VLOOKUP($A992,[1]Table!$A$2:$N1147,N$1,FALSE)</f>
        <v>Schimmelinfecties van de huid||Luierdermatitis met secundaire candidida infectie</v>
      </c>
      <c r="O992" t="str">
        <f>ConcatenateRange(AZ992:BU992,"||")</f>
        <v/>
      </c>
      <c r="AZ992" t="str">
        <f t="shared" si="374"/>
        <v/>
      </c>
      <c r="BA992" t="str">
        <f t="shared" si="375"/>
        <v/>
      </c>
      <c r="BB992" t="str">
        <f t="shared" si="376"/>
        <v/>
      </c>
      <c r="BC992" t="str">
        <f t="shared" si="377"/>
        <v/>
      </c>
      <c r="BD992" t="str">
        <f t="shared" si="378"/>
        <v/>
      </c>
      <c r="BE992" t="str">
        <f t="shared" si="379"/>
        <v/>
      </c>
      <c r="BF992" t="str">
        <f t="shared" si="380"/>
        <v/>
      </c>
      <c r="BG992" t="str">
        <f t="shared" si="381"/>
        <v/>
      </c>
      <c r="BH992" t="str">
        <f t="shared" si="382"/>
        <v/>
      </c>
      <c r="BI992" t="str">
        <f t="shared" si="383"/>
        <v/>
      </c>
      <c r="BJ992" t="str">
        <f t="shared" si="384"/>
        <v/>
      </c>
      <c r="BK992" t="str">
        <f t="shared" si="385"/>
        <v/>
      </c>
      <c r="BL992" t="str">
        <f t="shared" si="386"/>
        <v/>
      </c>
      <c r="BM992" t="str">
        <f t="shared" si="387"/>
        <v/>
      </c>
      <c r="BN992" t="str">
        <f t="shared" si="388"/>
        <v/>
      </c>
      <c r="BO992" t="str">
        <f t="shared" si="389"/>
        <v/>
      </c>
      <c r="BP992" t="str">
        <f t="shared" si="390"/>
        <v/>
      </c>
      <c r="BQ992" t="str">
        <f t="shared" si="391"/>
        <v/>
      </c>
      <c r="BR992" t="str">
        <f t="shared" si="392"/>
        <v/>
      </c>
      <c r="BS992" t="str">
        <f t="shared" si="393"/>
        <v/>
      </c>
      <c r="BT992" t="str">
        <f t="shared" si="394"/>
        <v/>
      </c>
      <c r="BU992" t="str">
        <f t="shared" si="395"/>
        <v/>
      </c>
    </row>
    <row r="993" spans="1:73">
      <c r="A993" s="1">
        <v>14001</v>
      </c>
      <c r="B993" t="str">
        <f>VLOOKUP($A993,[1]Table!$A$2:$N1148,B$1,FALSE)</f>
        <v>A07AC01</v>
      </c>
      <c r="C993" t="str">
        <f>VLOOKUP($A993,[1]Table!$A$2:$N1148,C$1,FALSE)</f>
        <v>ANTIDIARRHOICA, ANTI-INFLAMM./ANTIMICROBIELE DARMMIDDELEN</v>
      </c>
      <c r="D993" t="str">
        <f>VLOOKUP($A993,[1]Table!$A$2:$N1148,D$1,FALSE)</f>
        <v>ANTIMICROBIELE DARMMIDDELEN</v>
      </c>
      <c r="E993" t="str">
        <f>VLOOKUP($A993,[1]Table!$A$2:$N1148,E$1,FALSE)</f>
        <v>MICONAZOL</v>
      </c>
      <c r="F993" t="str">
        <f>VLOOKUP($A993,[1]Table!$A$2:$N1148,F$1,FALSE)</f>
        <v>DAKTARIN 20 MG/G ORALE GEL 80G</v>
      </c>
      <c r="G993" t="str">
        <f>VLOOKUP($A993,[1]Table!$A$2:$N1148,G$1,FALSE)</f>
        <v>MICONAZOL 20MG/G GEL ORAAL</v>
      </c>
      <c r="H993" t="str">
        <f>VLOOKUP($A993,[1]Table!$A$2:$N1148,H$1,FALSE)</f>
        <v>gel voor oraal gebruik</v>
      </c>
      <c r="I993" t="str">
        <f>VLOOKUP($A993,[1]Table!$A$2:$N1148,I$1,FALSE)</f>
        <v>or</v>
      </c>
      <c r="J993">
        <f>VLOOKUP($A993,[1]Table!$A$2:$N1148,J$1,FALSE)</f>
        <v>20</v>
      </c>
      <c r="K993" t="str">
        <f>VLOOKUP($A993,[1]Table!$A$2:$N1148,K$1,FALSE)</f>
        <v>mg/gr</v>
      </c>
      <c r="L993">
        <f>VLOOKUP($A993,[1]Table!$A$2:$N1148,L$1,FALSE)</f>
        <v>20</v>
      </c>
      <c r="M993" t="str">
        <f>VLOOKUP($A993,[1]Table!$A$2:$N1148,M$1,FALSE)</f>
        <v>mg</v>
      </c>
      <c r="N993" t="str">
        <f>VLOOKUP($A993,[1]Table!$A$2:$N1148,N$1,FALSE)</f>
        <v>Schimmelinfecties van de mondholte en/of het maag-darmkanaal</v>
      </c>
      <c r="O993" t="str">
        <f>ConcatenateRange(AZ993:BU993,"||")</f>
        <v/>
      </c>
      <c r="AZ993" t="str">
        <f t="shared" si="374"/>
        <v/>
      </c>
      <c r="BA993" t="str">
        <f t="shared" si="375"/>
        <v/>
      </c>
      <c r="BB993" t="str">
        <f t="shared" si="376"/>
        <v/>
      </c>
      <c r="BC993" t="str">
        <f t="shared" si="377"/>
        <v/>
      </c>
      <c r="BD993" t="str">
        <f t="shared" si="378"/>
        <v/>
      </c>
      <c r="BE993" t="str">
        <f t="shared" si="379"/>
        <v/>
      </c>
      <c r="BF993" t="str">
        <f t="shared" si="380"/>
        <v/>
      </c>
      <c r="BG993" t="str">
        <f t="shared" si="381"/>
        <v/>
      </c>
      <c r="BH993" t="str">
        <f t="shared" si="382"/>
        <v/>
      </c>
      <c r="BI993" t="str">
        <f t="shared" si="383"/>
        <v/>
      </c>
      <c r="BJ993" t="str">
        <f t="shared" si="384"/>
        <v/>
      </c>
      <c r="BK993" t="str">
        <f t="shared" si="385"/>
        <v/>
      </c>
      <c r="BL993" t="str">
        <f t="shared" si="386"/>
        <v/>
      </c>
      <c r="BM993" t="str">
        <f t="shared" si="387"/>
        <v/>
      </c>
      <c r="BN993" t="str">
        <f t="shared" si="388"/>
        <v/>
      </c>
      <c r="BO993" t="str">
        <f t="shared" si="389"/>
        <v/>
      </c>
      <c r="BP993" t="str">
        <f t="shared" si="390"/>
        <v/>
      </c>
      <c r="BQ993" t="str">
        <f t="shared" si="391"/>
        <v/>
      </c>
      <c r="BR993" t="str">
        <f t="shared" si="392"/>
        <v/>
      </c>
      <c r="BS993" t="str">
        <f t="shared" si="393"/>
        <v/>
      </c>
      <c r="BT993" t="str">
        <f t="shared" si="394"/>
        <v/>
      </c>
      <c r="BU993" t="str">
        <f t="shared" si="395"/>
        <v/>
      </c>
    </row>
    <row r="994" spans="1:73">
      <c r="A994" s="1">
        <v>119644</v>
      </c>
      <c r="B994" t="str">
        <f>VLOOKUP($A994,[1]Table!$A$2:$N1149,B$1,FALSE)</f>
        <v>D01AC02</v>
      </c>
      <c r="C994" t="str">
        <f>VLOOKUP($A994,[1]Table!$A$2:$N1149,C$1,FALSE)</f>
        <v>ANTIMYCOTICA VOOR DERMATOLOGISCH GEBRUIK</v>
      </c>
      <c r="D994" t="str">
        <f>VLOOKUP($A994,[1]Table!$A$2:$N1149,D$1,FALSE)</f>
        <v>ANTIMYCOTICA, LOKALE</v>
      </c>
      <c r="E994" t="str">
        <f>VLOOKUP($A994,[1]Table!$A$2:$N1149,E$1,FALSE)</f>
        <v>MICONAZOL</v>
      </c>
      <c r="F994" t="str">
        <f>VLOOKUP($A994,[1]Table!$A$2:$N1149,F$1,FALSE)</f>
        <v>DAKTARIN 20 MG/ML NAGELLAK 30ML</v>
      </c>
      <c r="G994" t="str">
        <f>VLOOKUP($A994,[1]Table!$A$2:$N1149,G$1,FALSE)</f>
        <v>MICONAZOL 20MG/ML OPL CUTAA</v>
      </c>
      <c r="H994" t="str">
        <f>VLOOKUP($A994,[1]Table!$A$2:$N1149,H$1,FALSE)</f>
        <v>oplossing voor cutaan gebruik</v>
      </c>
      <c r="I994" t="str">
        <f>VLOOKUP($A994,[1]Table!$A$2:$N1149,I$1,FALSE)</f>
        <v>cutaan</v>
      </c>
      <c r="J994">
        <f>VLOOKUP($A994,[1]Table!$A$2:$N1149,J$1,FALSE)</f>
        <v>20</v>
      </c>
      <c r="K994" t="str">
        <f>VLOOKUP($A994,[1]Table!$A$2:$N1149,K$1,FALSE)</f>
        <v>mg/ml</v>
      </c>
      <c r="L994">
        <f>VLOOKUP($A994,[1]Table!$A$2:$N1149,L$1,FALSE)</f>
        <v>20</v>
      </c>
      <c r="M994" t="str">
        <f>VLOOKUP($A994,[1]Table!$A$2:$N1149,M$1,FALSE)</f>
        <v>mg</v>
      </c>
      <c r="N994" t="str">
        <f>VLOOKUP($A994,[1]Table!$A$2:$N1149,N$1,FALSE)</f>
        <v>Schimmelinfecties van de huid||Luierdermatitis met secundaire candidida infectie</v>
      </c>
      <c r="O994" t="str">
        <f>ConcatenateRange(AZ994:BU994,"||")</f>
        <v/>
      </c>
      <c r="AZ994" t="str">
        <f t="shared" si="374"/>
        <v/>
      </c>
      <c r="BA994" t="str">
        <f t="shared" si="375"/>
        <v/>
      </c>
      <c r="BB994" t="str">
        <f t="shared" si="376"/>
        <v/>
      </c>
      <c r="BC994" t="str">
        <f t="shared" si="377"/>
        <v/>
      </c>
      <c r="BD994" t="str">
        <f t="shared" si="378"/>
        <v/>
      </c>
      <c r="BE994" t="str">
        <f t="shared" si="379"/>
        <v/>
      </c>
      <c r="BF994" t="str">
        <f t="shared" si="380"/>
        <v/>
      </c>
      <c r="BG994" t="str">
        <f t="shared" si="381"/>
        <v/>
      </c>
      <c r="BH994" t="str">
        <f t="shared" si="382"/>
        <v/>
      </c>
      <c r="BI994" t="str">
        <f t="shared" si="383"/>
        <v/>
      </c>
      <c r="BJ994" t="str">
        <f t="shared" si="384"/>
        <v/>
      </c>
      <c r="BK994" t="str">
        <f t="shared" si="385"/>
        <v/>
      </c>
      <c r="BL994" t="str">
        <f t="shared" si="386"/>
        <v/>
      </c>
      <c r="BM994" t="str">
        <f t="shared" si="387"/>
        <v/>
      </c>
      <c r="BN994" t="str">
        <f t="shared" si="388"/>
        <v/>
      </c>
      <c r="BO994" t="str">
        <f t="shared" si="389"/>
        <v/>
      </c>
      <c r="BP994" t="str">
        <f t="shared" si="390"/>
        <v/>
      </c>
      <c r="BQ994" t="str">
        <f t="shared" si="391"/>
        <v/>
      </c>
      <c r="BR994" t="str">
        <f t="shared" si="392"/>
        <v/>
      </c>
      <c r="BS994" t="str">
        <f t="shared" si="393"/>
        <v/>
      </c>
      <c r="BT994" t="str">
        <f t="shared" si="394"/>
        <v/>
      </c>
      <c r="BU994" t="str">
        <f t="shared" si="395"/>
        <v/>
      </c>
    </row>
    <row r="995" spans="1:73">
      <c r="A995" s="1">
        <v>14036</v>
      </c>
      <c r="B995" t="str">
        <f>VLOOKUP($A995,[1]Table!$A$2:$N1150,B$1,FALSE)</f>
        <v>D01AC02</v>
      </c>
      <c r="C995" t="str">
        <f>VLOOKUP($A995,[1]Table!$A$2:$N1150,C$1,FALSE)</f>
        <v>ANTIMYCOTICA VOOR DERMATOLOGISCH GEBRUIK</v>
      </c>
      <c r="D995" t="str">
        <f>VLOOKUP($A995,[1]Table!$A$2:$N1150,D$1,FALSE)</f>
        <v>ANTIMYCOTICA, LOKALE</v>
      </c>
      <c r="E995" t="str">
        <f>VLOOKUP($A995,[1]Table!$A$2:$N1150,E$1,FALSE)</f>
        <v>MICONAZOL</v>
      </c>
      <c r="F995" t="str">
        <f>VLOOKUP($A995,[1]Table!$A$2:$N1150,F$1,FALSE)</f>
        <v>MICONAZOL NITRAAT 20 MG/G POEDER 20G</v>
      </c>
      <c r="G995" t="str">
        <f>VLOOKUP($A995,[1]Table!$A$2:$N1150,G$1,FALSE)</f>
        <v>MICONAZOL 20MG/G STROOIPDR</v>
      </c>
      <c r="H995" t="str">
        <f>VLOOKUP($A995,[1]Table!$A$2:$N1150,H$1,FALSE)</f>
        <v>strooipoeder</v>
      </c>
      <c r="I995" t="str">
        <f>VLOOKUP($A995,[1]Table!$A$2:$N1150,I$1,FALSE)</f>
        <v>cutaan</v>
      </c>
      <c r="J995">
        <f>VLOOKUP($A995,[1]Table!$A$2:$N1150,J$1,FALSE)</f>
        <v>20</v>
      </c>
      <c r="K995" t="str">
        <f>VLOOKUP($A995,[1]Table!$A$2:$N1150,K$1,FALSE)</f>
        <v>mg/gr</v>
      </c>
      <c r="L995">
        <f>VLOOKUP($A995,[1]Table!$A$2:$N1150,L$1,FALSE)</f>
        <v>20</v>
      </c>
      <c r="M995" t="str">
        <f>VLOOKUP($A995,[1]Table!$A$2:$N1150,M$1,FALSE)</f>
        <v>mg</v>
      </c>
      <c r="N995" t="str">
        <f>VLOOKUP($A995,[1]Table!$A$2:$N1150,N$1,FALSE)</f>
        <v>Schimmelinfecties van de huid||Luierdermatitis met secundaire candidida infectie</v>
      </c>
      <c r="O995" t="str">
        <f>ConcatenateRange(AZ995:BU995,"||")</f>
        <v/>
      </c>
      <c r="AZ995" t="str">
        <f t="shared" si="374"/>
        <v/>
      </c>
      <c r="BA995" t="str">
        <f t="shared" si="375"/>
        <v/>
      </c>
      <c r="BB995" t="str">
        <f t="shared" si="376"/>
        <v/>
      </c>
      <c r="BC995" t="str">
        <f t="shared" si="377"/>
        <v/>
      </c>
      <c r="BD995" t="str">
        <f t="shared" si="378"/>
        <v/>
      </c>
      <c r="BE995" t="str">
        <f t="shared" si="379"/>
        <v/>
      </c>
      <c r="BF995" t="str">
        <f t="shared" si="380"/>
        <v/>
      </c>
      <c r="BG995" t="str">
        <f t="shared" si="381"/>
        <v/>
      </c>
      <c r="BH995" t="str">
        <f t="shared" si="382"/>
        <v/>
      </c>
      <c r="BI995" t="str">
        <f t="shared" si="383"/>
        <v/>
      </c>
      <c r="BJ995" t="str">
        <f t="shared" si="384"/>
        <v/>
      </c>
      <c r="BK995" t="str">
        <f t="shared" si="385"/>
        <v/>
      </c>
      <c r="BL995" t="str">
        <f t="shared" si="386"/>
        <v/>
      </c>
      <c r="BM995" t="str">
        <f t="shared" si="387"/>
        <v/>
      </c>
      <c r="BN995" t="str">
        <f t="shared" si="388"/>
        <v/>
      </c>
      <c r="BO995" t="str">
        <f t="shared" si="389"/>
        <v/>
      </c>
      <c r="BP995" t="str">
        <f t="shared" si="390"/>
        <v/>
      </c>
      <c r="BQ995" t="str">
        <f t="shared" si="391"/>
        <v/>
      </c>
      <c r="BR995" t="str">
        <f t="shared" si="392"/>
        <v/>
      </c>
      <c r="BS995" t="str">
        <f t="shared" si="393"/>
        <v/>
      </c>
      <c r="BT995" t="str">
        <f t="shared" si="394"/>
        <v/>
      </c>
      <c r="BU995" t="str">
        <f t="shared" si="395"/>
        <v/>
      </c>
    </row>
    <row r="996" spans="1:73">
      <c r="A996" s="1">
        <v>141933</v>
      </c>
      <c r="B996" t="str">
        <f>VLOOKUP($A996,[1]Table!$A$2:$N1151,B$1,FALSE)</f>
        <v>N05CD08</v>
      </c>
      <c r="C996" t="str">
        <f>VLOOKUP($A996,[1]Table!$A$2:$N1151,C$1,FALSE)</f>
        <v>PSYCHOLEPTICA</v>
      </c>
      <c r="D996" t="str">
        <f>VLOOKUP($A996,[1]Table!$A$2:$N1151,D$1,FALSE)</f>
        <v>HYPNOTICA EN SEDATIVA</v>
      </c>
      <c r="E996" t="str">
        <f>VLOOKUP($A996,[1]Table!$A$2:$N1151,E$1,FALSE)</f>
        <v>MIDAZOLAM</v>
      </c>
      <c r="F996" t="str">
        <f>VLOOKUP($A996,[1]Table!$A$2:$N1151,F$1,FALSE)</f>
        <v>MIDAZOLAM 1MG/ML 100ML DRANK</v>
      </c>
      <c r="G996" t="str">
        <f>VLOOKUP($A996,[1]Table!$A$2:$N1151,G$1,FALSE)</f>
        <v>MIDAZOLAM 1MG/ML DRANK</v>
      </c>
      <c r="H996" t="str">
        <f>VLOOKUP($A996,[1]Table!$A$2:$N1151,H$1,FALSE)</f>
        <v>drank</v>
      </c>
      <c r="I996" t="str">
        <f>VLOOKUP($A996,[1]Table!$A$2:$N1151,I$1,FALSE)</f>
        <v>or</v>
      </c>
      <c r="J996">
        <f>VLOOKUP($A996,[1]Table!$A$2:$N1151,J$1,FALSE)</f>
        <v>1</v>
      </c>
      <c r="K996" t="str">
        <f>VLOOKUP($A996,[1]Table!$A$2:$N1151,K$1,FALSE)</f>
        <v>mg/ml</v>
      </c>
      <c r="L996">
        <f>VLOOKUP($A996,[1]Table!$A$2:$N1151,L$1,FALSE)</f>
        <v>1</v>
      </c>
      <c r="M996" t="str">
        <f>VLOOKUP($A996,[1]Table!$A$2:$N1151,M$1,FALSE)</f>
        <v>mg</v>
      </c>
      <c r="N996" t="str">
        <f>VLOOKUP($A996,[1]Table!$A$2:$N1151,N$1,FALSE)</f>
        <v>Premedicatie vóór inleiding van anesthesie||Procedurele sedatie||Sedatie op de IC||Status epilepticus||Dyspnoe in de palliatieve fase||Angst en depressie in de palliatieve fase</v>
      </c>
      <c r="O996" t="str">
        <f>ConcatenateRange(AZ996:BU996,"||")</f>
        <v/>
      </c>
      <c r="AZ996" t="str">
        <f t="shared" si="374"/>
        <v/>
      </c>
      <c r="BA996" t="str">
        <f t="shared" si="375"/>
        <v/>
      </c>
      <c r="BB996" t="str">
        <f t="shared" si="376"/>
        <v/>
      </c>
      <c r="BC996" t="str">
        <f t="shared" si="377"/>
        <v/>
      </c>
      <c r="BD996" t="str">
        <f t="shared" si="378"/>
        <v/>
      </c>
      <c r="BE996" t="str">
        <f t="shared" si="379"/>
        <v/>
      </c>
      <c r="BF996" t="str">
        <f t="shared" si="380"/>
        <v/>
      </c>
      <c r="BG996" t="str">
        <f t="shared" si="381"/>
        <v/>
      </c>
      <c r="BH996" t="str">
        <f t="shared" si="382"/>
        <v/>
      </c>
      <c r="BI996" t="str">
        <f t="shared" si="383"/>
        <v/>
      </c>
      <c r="BJ996" t="str">
        <f t="shared" si="384"/>
        <v/>
      </c>
      <c r="BK996" t="str">
        <f t="shared" si="385"/>
        <v/>
      </c>
      <c r="BL996" t="str">
        <f t="shared" si="386"/>
        <v/>
      </c>
      <c r="BM996" t="str">
        <f t="shared" si="387"/>
        <v/>
      </c>
      <c r="BN996" t="str">
        <f t="shared" si="388"/>
        <v/>
      </c>
      <c r="BO996" t="str">
        <f t="shared" si="389"/>
        <v/>
      </c>
      <c r="BP996" t="str">
        <f t="shared" si="390"/>
        <v/>
      </c>
      <c r="BQ996" t="str">
        <f t="shared" si="391"/>
        <v/>
      </c>
      <c r="BR996" t="str">
        <f t="shared" si="392"/>
        <v/>
      </c>
      <c r="BS996" t="str">
        <f t="shared" si="393"/>
        <v/>
      </c>
      <c r="BT996" t="str">
        <f t="shared" si="394"/>
        <v/>
      </c>
      <c r="BU996" t="str">
        <f t="shared" si="395"/>
        <v/>
      </c>
    </row>
    <row r="997" spans="1:73">
      <c r="A997" s="1">
        <v>133779</v>
      </c>
      <c r="B997" t="str">
        <f>VLOOKUP($A997,[1]Table!$A$2:$N1152,B$1,FALSE)</f>
        <v>N05CD08</v>
      </c>
      <c r="C997" t="str">
        <f>VLOOKUP($A997,[1]Table!$A$2:$N1152,C$1,FALSE)</f>
        <v>PSYCHOLEPTICA</v>
      </c>
      <c r="D997" t="str">
        <f>VLOOKUP($A997,[1]Table!$A$2:$N1152,D$1,FALSE)</f>
        <v>HYPNOTICA EN SEDATIVA</v>
      </c>
      <c r="E997" t="str">
        <f>VLOOKUP($A997,[1]Table!$A$2:$N1152,E$1,FALSE)</f>
        <v>MIDAZOLAM</v>
      </c>
      <c r="F997" t="str">
        <f>VLOOKUP($A997,[1]Table!$A$2:$N1152,F$1,FALSE)</f>
        <v>MIDAZOLAM 5 MG/ML AMPUL 1 ML</v>
      </c>
      <c r="G997" t="str">
        <f>VLOOKUP($A997,[1]Table!$A$2:$N1152,G$1,FALSE)</f>
        <v>MIDAZOLAM 5MG/ML INJVLST</v>
      </c>
      <c r="H997" t="str">
        <f>VLOOKUP($A997,[1]Table!$A$2:$N1152,H$1,FALSE)</f>
        <v>injectievloeistof</v>
      </c>
      <c r="I997" t="str">
        <f>VLOOKUP($A997,[1]Table!$A$2:$N1152,I$1,FALSE)</f>
        <v>im||iv||rect||sc</v>
      </c>
      <c r="J997">
        <f>VLOOKUP($A997,[1]Table!$A$2:$N1152,J$1,FALSE)</f>
        <v>5</v>
      </c>
      <c r="K997" t="str">
        <f>VLOOKUP($A997,[1]Table!$A$2:$N1152,K$1,FALSE)</f>
        <v>mg/ml</v>
      </c>
      <c r="L997">
        <f>VLOOKUP($A997,[1]Table!$A$2:$N1152,L$1,FALSE)</f>
        <v>5</v>
      </c>
      <c r="M997" t="str">
        <f>VLOOKUP($A997,[1]Table!$A$2:$N1152,M$1,FALSE)</f>
        <v>mg</v>
      </c>
      <c r="N997" t="str">
        <f>VLOOKUP($A997,[1]Table!$A$2:$N1152,N$1,FALSE)</f>
        <v>Premedicatie vóór inleiding van anesthesie||Procedurele sedatie||Sedatie op de IC||Status epilepticus||Dyspnoe in de palliatieve fase||Angst en depressie in de palliatieve fase</v>
      </c>
      <c r="O997" t="str">
        <f>ConcatenateRange(AZ997:BU997,"||")</f>
        <v/>
      </c>
      <c r="AZ997" t="str">
        <f t="shared" si="374"/>
        <v/>
      </c>
      <c r="BA997" t="str">
        <f t="shared" si="375"/>
        <v/>
      </c>
      <c r="BB997" t="str">
        <f t="shared" si="376"/>
        <v/>
      </c>
      <c r="BC997" t="str">
        <f t="shared" si="377"/>
        <v/>
      </c>
      <c r="BD997" t="str">
        <f t="shared" si="378"/>
        <v/>
      </c>
      <c r="BE997" t="str">
        <f t="shared" si="379"/>
        <v/>
      </c>
      <c r="BF997" t="str">
        <f t="shared" si="380"/>
        <v/>
      </c>
      <c r="BG997" t="str">
        <f t="shared" si="381"/>
        <v/>
      </c>
      <c r="BH997" t="str">
        <f t="shared" si="382"/>
        <v/>
      </c>
      <c r="BI997" t="str">
        <f t="shared" si="383"/>
        <v/>
      </c>
      <c r="BJ997" t="str">
        <f t="shared" si="384"/>
        <v/>
      </c>
      <c r="BK997" t="str">
        <f t="shared" si="385"/>
        <v/>
      </c>
      <c r="BL997" t="str">
        <f t="shared" si="386"/>
        <v/>
      </c>
      <c r="BM997" t="str">
        <f t="shared" si="387"/>
        <v/>
      </c>
      <c r="BN997" t="str">
        <f t="shared" si="388"/>
        <v/>
      </c>
      <c r="BO997" t="str">
        <f t="shared" si="389"/>
        <v/>
      </c>
      <c r="BP997" t="str">
        <f t="shared" si="390"/>
        <v/>
      </c>
      <c r="BQ997" t="str">
        <f t="shared" si="391"/>
        <v/>
      </c>
      <c r="BR997" t="str">
        <f t="shared" si="392"/>
        <v/>
      </c>
      <c r="BS997" t="str">
        <f t="shared" si="393"/>
        <v/>
      </c>
      <c r="BT997" t="str">
        <f t="shared" si="394"/>
        <v/>
      </c>
      <c r="BU997" t="str">
        <f t="shared" si="395"/>
        <v/>
      </c>
    </row>
    <row r="998" spans="1:73">
      <c r="A998" s="1">
        <v>145874</v>
      </c>
      <c r="B998" t="str">
        <f>VLOOKUP($A998,[1]Table!$A$2:$N1153,B$1,FALSE)</f>
        <v>N05CD08</v>
      </c>
      <c r="C998" t="str">
        <f>VLOOKUP($A998,[1]Table!$A$2:$N1153,C$1,FALSE)</f>
        <v>PSYCHOLEPTICA</v>
      </c>
      <c r="D998" t="str">
        <f>VLOOKUP($A998,[1]Table!$A$2:$N1153,D$1,FALSE)</f>
        <v>HYPNOTICA EN SEDATIVA</v>
      </c>
      <c r="E998" t="str">
        <f>VLOOKUP($A998,[1]Table!$A$2:$N1153,E$1,FALSE)</f>
        <v>MIDAZOLAM</v>
      </c>
      <c r="F998" t="str">
        <f>VLOOKUP($A998,[1]Table!$A$2:$N1153,F$1,FALSE)</f>
        <v>MIDAZOLAM NEUSSPRAY 2,5 MG/DO FLACON  95 DOSES</v>
      </c>
      <c r="G998" t="str">
        <f>VLOOKUP($A998,[1]Table!$A$2:$N1153,G$1,FALSE)</f>
        <v>MIDAZOLAM 2,5MG/DO NEUSSPRA</v>
      </c>
      <c r="H998" t="str">
        <f>VLOOKUP($A998,[1]Table!$A$2:$N1153,H$1,FALSE)</f>
        <v>neusspray</v>
      </c>
      <c r="I998" t="str">
        <f>VLOOKUP($A998,[1]Table!$A$2:$N1153,I$1,FALSE)</f>
        <v>nasaal</v>
      </c>
      <c r="J998">
        <f>VLOOKUP($A998,[1]Table!$A$2:$N1153,J$1,FALSE)</f>
        <v>2.5</v>
      </c>
      <c r="K998" t="str">
        <f>VLOOKUP($A998,[1]Table!$A$2:$N1153,K$1,FALSE)</f>
        <v>mg/dose</v>
      </c>
      <c r="L998">
        <f>VLOOKUP($A998,[1]Table!$A$2:$N1153,L$1,FALSE)</f>
        <v>2.5</v>
      </c>
      <c r="M998" t="str">
        <f>VLOOKUP($A998,[1]Table!$A$2:$N1153,M$1,FALSE)</f>
        <v>mg</v>
      </c>
      <c r="N998" t="str">
        <f>VLOOKUP($A998,[1]Table!$A$2:$N1153,N$1,FALSE)</f>
        <v>Premedicatie vóór inleiding van anesthesie||Procedurele sedatie||Sedatie op de IC||Status epilepticus||Dyspnoe in de palliatieve fase||Angst en depressie in de palliatieve fase</v>
      </c>
      <c r="O998" t="str">
        <f>ConcatenateRange(AZ998:BU998,"||")</f>
        <v/>
      </c>
      <c r="AZ998" t="str">
        <f t="shared" si="374"/>
        <v/>
      </c>
      <c r="BA998" t="str">
        <f t="shared" si="375"/>
        <v/>
      </c>
      <c r="BB998" t="str">
        <f t="shared" si="376"/>
        <v/>
      </c>
      <c r="BC998" t="str">
        <f t="shared" si="377"/>
        <v/>
      </c>
      <c r="BD998" t="str">
        <f t="shared" si="378"/>
        <v/>
      </c>
      <c r="BE998" t="str">
        <f t="shared" si="379"/>
        <v/>
      </c>
      <c r="BF998" t="str">
        <f t="shared" si="380"/>
        <v/>
      </c>
      <c r="BG998" t="str">
        <f t="shared" si="381"/>
        <v/>
      </c>
      <c r="BH998" t="str">
        <f t="shared" si="382"/>
        <v/>
      </c>
      <c r="BI998" t="str">
        <f t="shared" si="383"/>
        <v/>
      </c>
      <c r="BJ998" t="str">
        <f t="shared" si="384"/>
        <v/>
      </c>
      <c r="BK998" t="str">
        <f t="shared" si="385"/>
        <v/>
      </c>
      <c r="BL998" t="str">
        <f t="shared" si="386"/>
        <v/>
      </c>
      <c r="BM998" t="str">
        <f t="shared" si="387"/>
        <v/>
      </c>
      <c r="BN998" t="str">
        <f t="shared" si="388"/>
        <v/>
      </c>
      <c r="BO998" t="str">
        <f t="shared" si="389"/>
        <v/>
      </c>
      <c r="BP998" t="str">
        <f t="shared" si="390"/>
        <v/>
      </c>
      <c r="BQ998" t="str">
        <f t="shared" si="391"/>
        <v/>
      </c>
      <c r="BR998" t="str">
        <f t="shared" si="392"/>
        <v/>
      </c>
      <c r="BS998" t="str">
        <f t="shared" si="393"/>
        <v/>
      </c>
      <c r="BT998" t="str">
        <f t="shared" si="394"/>
        <v/>
      </c>
      <c r="BU998" t="str">
        <f t="shared" si="395"/>
        <v/>
      </c>
    </row>
    <row r="999" spans="1:73">
      <c r="A999" s="1">
        <v>77712</v>
      </c>
      <c r="B999" t="str">
        <f>VLOOKUP($A999,[1]Table!$A$2:$N1154,B$1,FALSE)</f>
        <v>N05CD08</v>
      </c>
      <c r="C999" t="str">
        <f>VLOOKUP($A999,[1]Table!$A$2:$N1154,C$1,FALSE)</f>
        <v>PSYCHOLEPTICA</v>
      </c>
      <c r="D999" t="str">
        <f>VLOOKUP($A999,[1]Table!$A$2:$N1154,D$1,FALSE)</f>
        <v>HYPNOTICA EN SEDATIVA</v>
      </c>
      <c r="E999" t="str">
        <f>VLOOKUP($A999,[1]Table!$A$2:$N1154,E$1,FALSE)</f>
        <v>MIDAZOLAM</v>
      </c>
      <c r="F999" t="str">
        <f>VLOOKUP($A999,[1]Table!$A$2:$N1154,F$1,FALSE)</f>
        <v>DORMICUM 7,5 MG TABLET</v>
      </c>
      <c r="G999" t="str">
        <f>VLOOKUP($A999,[1]Table!$A$2:$N1154,G$1,FALSE)</f>
        <v>MIDAZOLAM 7,5MG TABLET</v>
      </c>
      <c r="H999" t="str">
        <f>VLOOKUP($A999,[1]Table!$A$2:$N1154,H$1,FALSE)</f>
        <v>tablet</v>
      </c>
      <c r="I999" t="str">
        <f>VLOOKUP($A999,[1]Table!$A$2:$N1154,I$1,FALSE)</f>
        <v>or</v>
      </c>
      <c r="J999">
        <f>VLOOKUP($A999,[1]Table!$A$2:$N1154,J$1,FALSE)</f>
        <v>7.5</v>
      </c>
      <c r="K999" t="str">
        <f>VLOOKUP($A999,[1]Table!$A$2:$N1154,K$1,FALSE)</f>
        <v>mg/stuk</v>
      </c>
      <c r="L999">
        <f>VLOOKUP($A999,[1]Table!$A$2:$N1154,L$1,FALSE)</f>
        <v>7.5</v>
      </c>
      <c r="M999" t="str">
        <f>VLOOKUP($A999,[1]Table!$A$2:$N1154,M$1,FALSE)</f>
        <v>mg</v>
      </c>
      <c r="N999" t="str">
        <f>VLOOKUP($A999,[1]Table!$A$2:$N1154,N$1,FALSE)</f>
        <v>Premedicatie vóór inleiding van anesthesie||Procedurele sedatie||Sedatie op de IC||Status epilepticus||Dyspnoe in de palliatieve fase||Angst en depressie in de palliatieve fase</v>
      </c>
      <c r="O999" t="str">
        <f>ConcatenateRange(AZ999:BU999,"||")</f>
        <v/>
      </c>
      <c r="AZ999" t="str">
        <f t="shared" si="374"/>
        <v/>
      </c>
      <c r="BA999" t="str">
        <f t="shared" si="375"/>
        <v/>
      </c>
      <c r="BB999" t="str">
        <f t="shared" si="376"/>
        <v/>
      </c>
      <c r="BC999" t="str">
        <f t="shared" si="377"/>
        <v/>
      </c>
      <c r="BD999" t="str">
        <f t="shared" si="378"/>
        <v/>
      </c>
      <c r="BE999" t="str">
        <f t="shared" si="379"/>
        <v/>
      </c>
      <c r="BF999" t="str">
        <f t="shared" si="380"/>
        <v/>
      </c>
      <c r="BG999" t="str">
        <f t="shared" si="381"/>
        <v/>
      </c>
      <c r="BH999" t="str">
        <f t="shared" si="382"/>
        <v/>
      </c>
      <c r="BI999" t="str">
        <f t="shared" si="383"/>
        <v/>
      </c>
      <c r="BJ999" t="str">
        <f t="shared" si="384"/>
        <v/>
      </c>
      <c r="BK999" t="str">
        <f t="shared" si="385"/>
        <v/>
      </c>
      <c r="BL999" t="str">
        <f t="shared" si="386"/>
        <v/>
      </c>
      <c r="BM999" t="str">
        <f t="shared" si="387"/>
        <v/>
      </c>
      <c r="BN999" t="str">
        <f t="shared" si="388"/>
        <v/>
      </c>
      <c r="BO999" t="str">
        <f t="shared" si="389"/>
        <v/>
      </c>
      <c r="BP999" t="str">
        <f t="shared" si="390"/>
        <v/>
      </c>
      <c r="BQ999" t="str">
        <f t="shared" si="391"/>
        <v/>
      </c>
      <c r="BR999" t="str">
        <f t="shared" si="392"/>
        <v/>
      </c>
      <c r="BS999" t="str">
        <f t="shared" si="393"/>
        <v/>
      </c>
      <c r="BT999" t="str">
        <f t="shared" si="394"/>
        <v/>
      </c>
      <c r="BU999" t="str">
        <f t="shared" si="395"/>
        <v/>
      </c>
    </row>
    <row r="1000" spans="1:73">
      <c r="A1000" s="1">
        <v>54380</v>
      </c>
      <c r="B1000" t="str">
        <f>VLOOKUP($A1000,[1]Table!$A$2:$N1154,B$1,FALSE)</f>
        <v>N05CD08</v>
      </c>
      <c r="C1000" t="str">
        <f>VLOOKUP($A1000,[1]Table!$A$2:$N1154,C$1,FALSE)</f>
        <v>PSYCHOLEPTICA</v>
      </c>
      <c r="D1000" t="str">
        <f>VLOOKUP($A1000,[1]Table!$A$2:$N1154,D$1,FALSE)</f>
        <v>HYPNOTICA EN SEDATIVA</v>
      </c>
      <c r="E1000" t="str">
        <f>VLOOKUP($A1000,[1]Table!$A$2:$N1154,E$1,FALSE)</f>
        <v>MIDAZOLAM</v>
      </c>
      <c r="F1000" t="str">
        <f>VLOOKUP($A1000,[1]Table!$A$2:$N1154,F$1,FALSE)</f>
        <v>DORMICUM 15 MG TABLET</v>
      </c>
      <c r="G1000" t="str">
        <f>VLOOKUP($A1000,[1]Table!$A$2:$N1154,G$1,FALSE)</f>
        <v>MIDAZOLAM 15MG TABLET</v>
      </c>
      <c r="H1000" t="str">
        <f>VLOOKUP($A1000,[1]Table!$A$2:$N1154,H$1,FALSE)</f>
        <v>tablet</v>
      </c>
      <c r="I1000" t="str">
        <f>VLOOKUP($A1000,[1]Table!$A$2:$N1154,I$1,FALSE)</f>
        <v>or</v>
      </c>
      <c r="J1000">
        <f>VLOOKUP($A1000,[1]Table!$A$2:$N1154,J$1,FALSE)</f>
        <v>15</v>
      </c>
      <c r="K1000" t="str">
        <f>VLOOKUP($A1000,[1]Table!$A$2:$N1154,K$1,FALSE)</f>
        <v>mg/stuk</v>
      </c>
      <c r="L1000">
        <f>VLOOKUP($A1000,[1]Table!$A$2:$N1154,L$1,FALSE)</f>
        <v>15</v>
      </c>
      <c r="M1000" t="str">
        <f>VLOOKUP($A1000,[1]Table!$A$2:$N1154,M$1,FALSE)</f>
        <v>mg</v>
      </c>
      <c r="N1000" t="str">
        <f>VLOOKUP($A1000,[1]Table!$A$2:$N1154,N$1,FALSE)</f>
        <v>Premedicatie vóór inleiding van anesthesie||Procedurele sedatie||Sedatie op de IC||Status epilepticus||Dyspnoe in de palliatieve fase||Angst en depressie in de palliatieve fase</v>
      </c>
      <c r="O1000" t="str">
        <f>ConcatenateRange(AZ1000:BU1000,"||")</f>
        <v/>
      </c>
      <c r="AZ1000" t="str">
        <f t="shared" si="374"/>
        <v/>
      </c>
      <c r="BA1000" t="str">
        <f t="shared" si="375"/>
        <v/>
      </c>
      <c r="BB1000" t="str">
        <f t="shared" si="376"/>
        <v/>
      </c>
      <c r="BC1000" t="str">
        <f t="shared" si="377"/>
        <v/>
      </c>
      <c r="BD1000" t="str">
        <f t="shared" si="378"/>
        <v/>
      </c>
      <c r="BE1000" t="str">
        <f t="shared" si="379"/>
        <v/>
      </c>
      <c r="BF1000" t="str">
        <f t="shared" si="380"/>
        <v/>
      </c>
      <c r="BG1000" t="str">
        <f t="shared" si="381"/>
        <v/>
      </c>
      <c r="BH1000" t="str">
        <f t="shared" si="382"/>
        <v/>
      </c>
      <c r="BI1000" t="str">
        <f t="shared" si="383"/>
        <v/>
      </c>
      <c r="BJ1000" t="str">
        <f t="shared" si="384"/>
        <v/>
      </c>
      <c r="BK1000" t="str">
        <f t="shared" si="385"/>
        <v/>
      </c>
      <c r="BL1000" t="str">
        <f t="shared" si="386"/>
        <v/>
      </c>
      <c r="BM1000" t="str">
        <f t="shared" si="387"/>
        <v/>
      </c>
      <c r="BN1000" t="str">
        <f t="shared" si="388"/>
        <v/>
      </c>
      <c r="BO1000" t="str">
        <f t="shared" si="389"/>
        <v/>
      </c>
      <c r="BP1000" t="str">
        <f t="shared" si="390"/>
        <v/>
      </c>
      <c r="BQ1000" t="str">
        <f t="shared" si="391"/>
        <v/>
      </c>
      <c r="BR1000" t="str">
        <f t="shared" si="392"/>
        <v/>
      </c>
      <c r="BS1000" t="str">
        <f t="shared" si="393"/>
        <v/>
      </c>
      <c r="BT1000" t="str">
        <f t="shared" si="394"/>
        <v/>
      </c>
      <c r="BU1000" t="str">
        <f t="shared" si="395"/>
        <v/>
      </c>
    </row>
    <row r="1001" spans="1:73">
      <c r="A1001" s="1">
        <v>104728</v>
      </c>
      <c r="B1001" t="str">
        <f>VLOOKUP($A1001,[1]Table!$A$2:$N1155,B$1,FALSE)</f>
        <v>C01CA17</v>
      </c>
      <c r="C1001" t="str">
        <f>VLOOKUP($A1001,[1]Table!$A$2:$N1155,C$1,FALSE)</f>
        <v>CARDIACA</v>
      </c>
      <c r="D1001" t="str">
        <f>VLOOKUP($A1001,[1]Table!$A$2:$N1155,D$1,FALSE)</f>
        <v>HARTSTIMULANTIA, EXCLUSIEF HARTGLYCOSIDEN</v>
      </c>
      <c r="E1001" t="str">
        <f>VLOOKUP($A1001,[1]Table!$A$2:$N1155,E$1,FALSE)</f>
        <v>MIDODRINE</v>
      </c>
      <c r="F1001" t="str">
        <f>VLOOKUP($A1001,[1]Table!$A$2:$N1155,F$1,FALSE)</f>
        <v>GUTRON 5 MG TABLET</v>
      </c>
      <c r="G1001" t="str">
        <f>VLOOKUP($A1001,[1]Table!$A$2:$N1155,G$1,FALSE)</f>
        <v>MIDODRINE 5MG TABLET</v>
      </c>
      <c r="H1001" t="str">
        <f>VLOOKUP($A1001,[1]Table!$A$2:$N1155,H$1,FALSE)</f>
        <v>tablet</v>
      </c>
      <c r="I1001" t="str">
        <f>VLOOKUP($A1001,[1]Table!$A$2:$N1155,I$1,FALSE)</f>
        <v>or</v>
      </c>
      <c r="J1001">
        <f>VLOOKUP($A1001,[1]Table!$A$2:$N1155,J$1,FALSE)</f>
        <v>5</v>
      </c>
      <c r="K1001" t="str">
        <f>VLOOKUP($A1001,[1]Table!$A$2:$N1155,K$1,FALSE)</f>
        <v>mg/stuk</v>
      </c>
      <c r="L1001">
        <f>VLOOKUP($A1001,[1]Table!$A$2:$N1155,L$1,FALSE)</f>
        <v>2.5</v>
      </c>
      <c r="M1001" t="str">
        <f>VLOOKUP($A1001,[1]Table!$A$2:$N1155,M$1,FALSE)</f>
        <v>mg</v>
      </c>
      <c r="N1001" t="str">
        <f>VLOOKUP($A1001,[1]Table!$A$2:$N1155,N$1,FALSE)</f>
        <v>(Orthostatische) hypotensie</v>
      </c>
      <c r="O1001" t="str">
        <f>ConcatenateRange(AZ1001:BU1001,"||")</f>
        <v/>
      </c>
      <c r="AZ1001" t="str">
        <f t="shared" si="374"/>
        <v/>
      </c>
      <c r="BA1001" t="str">
        <f t="shared" si="375"/>
        <v/>
      </c>
      <c r="BB1001" t="str">
        <f t="shared" si="376"/>
        <v/>
      </c>
      <c r="BC1001" t="str">
        <f t="shared" si="377"/>
        <v/>
      </c>
      <c r="BD1001" t="str">
        <f t="shared" si="378"/>
        <v/>
      </c>
      <c r="BE1001" t="str">
        <f t="shared" si="379"/>
        <v/>
      </c>
      <c r="BF1001" t="str">
        <f t="shared" si="380"/>
        <v/>
      </c>
      <c r="BG1001" t="str">
        <f t="shared" si="381"/>
        <v/>
      </c>
      <c r="BH1001" t="str">
        <f t="shared" si="382"/>
        <v/>
      </c>
      <c r="BI1001" t="str">
        <f t="shared" si="383"/>
        <v/>
      </c>
      <c r="BJ1001" t="str">
        <f t="shared" si="384"/>
        <v/>
      </c>
      <c r="BK1001" t="str">
        <f t="shared" si="385"/>
        <v/>
      </c>
      <c r="BL1001" t="str">
        <f t="shared" si="386"/>
        <v/>
      </c>
      <c r="BM1001" t="str">
        <f t="shared" si="387"/>
        <v/>
      </c>
      <c r="BN1001" t="str">
        <f t="shared" si="388"/>
        <v/>
      </c>
      <c r="BO1001" t="str">
        <f t="shared" si="389"/>
        <v/>
      </c>
      <c r="BP1001" t="str">
        <f t="shared" si="390"/>
        <v/>
      </c>
      <c r="BQ1001" t="str">
        <f t="shared" si="391"/>
        <v/>
      </c>
      <c r="BR1001" t="str">
        <f t="shared" si="392"/>
        <v/>
      </c>
      <c r="BS1001" t="str">
        <f t="shared" si="393"/>
        <v/>
      </c>
      <c r="BT1001" t="str">
        <f t="shared" si="394"/>
        <v/>
      </c>
      <c r="BU1001" t="str">
        <f t="shared" si="395"/>
        <v/>
      </c>
    </row>
    <row r="1002" spans="1:73">
      <c r="A1002" s="20">
        <v>77348</v>
      </c>
      <c r="B1002" t="str">
        <f>VLOOKUP($A1002,[1]Table!$A$2:$N1717,B$1,FALSE)</f>
        <v>C01CE02</v>
      </c>
      <c r="C1002" t="str">
        <f>VLOOKUP($A1002,[1]Table!$A$2:$N1717,C$1,FALSE)</f>
        <v>CARDIACA</v>
      </c>
      <c r="D1002" t="str">
        <f>VLOOKUP($A1002,[1]Table!$A$2:$N1717,D$1,FALSE)</f>
        <v>HARTSTIMULANTIA, EXCLUSIEF HARTGLYCOSIDEN</v>
      </c>
      <c r="E1002" t="str">
        <f>VLOOKUP($A1002,[1]Table!$A$2:$N1717,E$1,FALSE)</f>
        <v>MILRINON</v>
      </c>
      <c r="F1002" t="str">
        <f>VLOOKUP($A1002,[1]Table!$A$2:$N1717,F$1,FALSE)</f>
        <v>MILRINON 1 MG/ML AMPUL 10ML</v>
      </c>
      <c r="G1002" t="str">
        <f>VLOOKUP($A1002,[1]Table!$A$2:$N1717,G$1,FALSE)</f>
        <v>MILRINON 1MG/ML INJVLST</v>
      </c>
      <c r="H1002" t="str">
        <f>VLOOKUP($A1002,[1]Table!$A$2:$N1717,H$1,FALSE)</f>
        <v>injectievloeistof</v>
      </c>
      <c r="I1002" t="str">
        <f>VLOOKUP($A1002,[1]Table!$A$2:$N1717,I$1,FALSE)</f>
        <v>iv</v>
      </c>
      <c r="J1002">
        <f>VLOOKUP($A1002,[1]Table!$A$2:$N1717,J$1,FALSE)</f>
        <v>1</v>
      </c>
      <c r="K1002" t="str">
        <f>VLOOKUP($A1002,[1]Table!$A$2:$N1717,K$1,FALSE)</f>
        <v>mg/ml</v>
      </c>
      <c r="L1002">
        <f>VLOOKUP($A1002,[1]Table!$A$2:$N1717,L$1,FALSE)</f>
        <v>1</v>
      </c>
      <c r="M1002" t="str">
        <f>VLOOKUP($A1002,[1]Table!$A$2:$N1717,M$1,FALSE)</f>
        <v>mg</v>
      </c>
      <c r="N1002" t="str">
        <f>VLOOKUP($A1002,[1]Table!$A$2:$N1717,N$1,FALSE)</f>
        <v>Ernstig hartfalen, behandeling van een 'low-output state' volgend op hartchirurgie</v>
      </c>
      <c r="AZ1002" t="str">
        <f t="shared" si="374"/>
        <v/>
      </c>
      <c r="BA1002" t="str">
        <f t="shared" si="375"/>
        <v/>
      </c>
      <c r="BB1002" t="str">
        <f t="shared" si="376"/>
        <v/>
      </c>
      <c r="BC1002" t="str">
        <f t="shared" si="377"/>
        <v/>
      </c>
      <c r="BD1002" t="str">
        <f t="shared" si="378"/>
        <v/>
      </c>
      <c r="BE1002" t="str">
        <f t="shared" si="379"/>
        <v/>
      </c>
      <c r="BF1002" t="str">
        <f t="shared" si="380"/>
        <v/>
      </c>
      <c r="BG1002" t="str">
        <f t="shared" si="381"/>
        <v/>
      </c>
      <c r="BH1002" t="str">
        <f t="shared" si="382"/>
        <v/>
      </c>
      <c r="BI1002" t="str">
        <f t="shared" si="383"/>
        <v/>
      </c>
      <c r="BJ1002" t="str">
        <f t="shared" si="384"/>
        <v/>
      </c>
      <c r="BK1002" t="str">
        <f t="shared" si="385"/>
        <v/>
      </c>
      <c r="BL1002" t="str">
        <f t="shared" si="386"/>
        <v/>
      </c>
      <c r="BM1002" t="str">
        <f t="shared" si="387"/>
        <v/>
      </c>
      <c r="BN1002" t="str">
        <f t="shared" si="388"/>
        <v/>
      </c>
      <c r="BO1002" t="str">
        <f t="shared" si="389"/>
        <v/>
      </c>
      <c r="BP1002" t="str">
        <f t="shared" si="390"/>
        <v/>
      </c>
      <c r="BQ1002" t="str">
        <f t="shared" si="391"/>
        <v/>
      </c>
      <c r="BR1002" t="str">
        <f t="shared" si="392"/>
        <v/>
      </c>
      <c r="BS1002" t="str">
        <f t="shared" si="393"/>
        <v/>
      </c>
      <c r="BT1002" t="str">
        <f t="shared" si="394"/>
        <v/>
      </c>
      <c r="BU1002" t="str">
        <f t="shared" si="395"/>
        <v/>
      </c>
    </row>
    <row r="1003" spans="1:73">
      <c r="A1003" s="1">
        <v>71064</v>
      </c>
      <c r="B1003" t="str">
        <f>VLOOKUP($A1003,[1]Table!$A$2:$N1157,B$1,FALSE)</f>
        <v>J01AA08</v>
      </c>
      <c r="C1003" t="str">
        <f>VLOOKUP($A1003,[1]Table!$A$2:$N1157,C$1,FALSE)</f>
        <v>ANTIBACTERIELE MIDDELEN VOOR SYSTEMISCH GEBRUIK</v>
      </c>
      <c r="D1003" t="str">
        <f>VLOOKUP($A1003,[1]Table!$A$2:$N1157,D$1,FALSE)</f>
        <v>TETRACYCLINES</v>
      </c>
      <c r="E1003" t="str">
        <f>VLOOKUP($A1003,[1]Table!$A$2:$N1157,E$1,FALSE)</f>
        <v>MINOCYCLINE</v>
      </c>
      <c r="F1003" t="str">
        <f>VLOOKUP($A1003,[1]Table!$A$2:$N1157,F$1,FALSE)</f>
        <v>MINOCYCLINE 50 MG TABLET</v>
      </c>
      <c r="G1003" t="str">
        <f>VLOOKUP($A1003,[1]Table!$A$2:$N1157,G$1,FALSE)</f>
        <v>MINOCYCLINE 50MG TABLET</v>
      </c>
      <c r="H1003" t="str">
        <f>VLOOKUP($A1003,[1]Table!$A$2:$N1157,H$1,FALSE)</f>
        <v>tablet</v>
      </c>
      <c r="I1003" t="str">
        <f>VLOOKUP($A1003,[1]Table!$A$2:$N1157,I$1,FALSE)</f>
        <v>or</v>
      </c>
      <c r="J1003">
        <f>VLOOKUP($A1003,[1]Table!$A$2:$N1157,J$1,FALSE)</f>
        <v>50</v>
      </c>
      <c r="K1003" t="str">
        <f>VLOOKUP($A1003,[1]Table!$A$2:$N1157,K$1,FALSE)</f>
        <v>mg/stuk</v>
      </c>
      <c r="L1003">
        <f>VLOOKUP($A1003,[1]Table!$A$2:$N1157,L$1,FALSE)</f>
        <v>50</v>
      </c>
      <c r="M1003" t="str">
        <f>VLOOKUP($A1003,[1]Table!$A$2:$N1157,M$1,FALSE)</f>
        <v>mg</v>
      </c>
      <c r="N1003" t="str">
        <f>VLOOKUP($A1003,[1]Table!$A$2:$N1157,N$1,FALSE)</f>
        <v>Infecties||Ernstig acne vulgaris</v>
      </c>
      <c r="O1003" t="str">
        <f>ConcatenateRange(AZ1003:BU1003,"||")</f>
        <v/>
      </c>
      <c r="AZ1003" t="str">
        <f t="shared" si="374"/>
        <v/>
      </c>
      <c r="BA1003" t="str">
        <f t="shared" si="375"/>
        <v/>
      </c>
      <c r="BB1003" t="str">
        <f t="shared" si="376"/>
        <v/>
      </c>
      <c r="BC1003" t="str">
        <f t="shared" si="377"/>
        <v/>
      </c>
      <c r="BD1003" t="str">
        <f t="shared" si="378"/>
        <v/>
      </c>
      <c r="BE1003" t="str">
        <f t="shared" si="379"/>
        <v/>
      </c>
      <c r="BF1003" t="str">
        <f t="shared" si="380"/>
        <v/>
      </c>
      <c r="BG1003" t="str">
        <f t="shared" si="381"/>
        <v/>
      </c>
      <c r="BH1003" t="str">
        <f t="shared" si="382"/>
        <v/>
      </c>
      <c r="BI1003" t="str">
        <f t="shared" si="383"/>
        <v/>
      </c>
      <c r="BJ1003" t="str">
        <f t="shared" si="384"/>
        <v/>
      </c>
      <c r="BK1003" t="str">
        <f t="shared" si="385"/>
        <v/>
      </c>
      <c r="BL1003" t="str">
        <f t="shared" si="386"/>
        <v/>
      </c>
      <c r="BM1003" t="str">
        <f t="shared" si="387"/>
        <v/>
      </c>
      <c r="BN1003" t="str">
        <f t="shared" si="388"/>
        <v/>
      </c>
      <c r="BO1003" t="str">
        <f t="shared" si="389"/>
        <v/>
      </c>
      <c r="BP1003" t="str">
        <f t="shared" si="390"/>
        <v/>
      </c>
      <c r="BQ1003" t="str">
        <f t="shared" si="391"/>
        <v/>
      </c>
      <c r="BR1003" t="str">
        <f t="shared" si="392"/>
        <v/>
      </c>
      <c r="BS1003" t="str">
        <f t="shared" si="393"/>
        <v/>
      </c>
      <c r="BT1003" t="str">
        <f t="shared" si="394"/>
        <v/>
      </c>
      <c r="BU1003" t="str">
        <f t="shared" si="395"/>
        <v/>
      </c>
    </row>
    <row r="1004" spans="1:73">
      <c r="A1004" s="1">
        <v>81728</v>
      </c>
      <c r="B1004" t="str">
        <f>VLOOKUP($A1004,[1]Table!$A$2:$N1158,B$1,FALSE)</f>
        <v>J01AA08</v>
      </c>
      <c r="C1004" t="str">
        <f>VLOOKUP($A1004,[1]Table!$A$2:$N1158,C$1,FALSE)</f>
        <v>ANTIBACTERIELE MIDDELEN VOOR SYSTEMISCH GEBRUIK</v>
      </c>
      <c r="D1004" t="str">
        <f>VLOOKUP($A1004,[1]Table!$A$2:$N1158,D$1,FALSE)</f>
        <v>TETRACYCLINES</v>
      </c>
      <c r="E1004" t="str">
        <f>VLOOKUP($A1004,[1]Table!$A$2:$N1158,E$1,FALSE)</f>
        <v>MINOCYCLINE</v>
      </c>
      <c r="F1004" t="str">
        <f>VLOOKUP($A1004,[1]Table!$A$2:$N1158,F$1,FALSE)</f>
        <v>MINOCYCLINE 100 MG TABLET OMHULD</v>
      </c>
      <c r="G1004" t="str">
        <f>VLOOKUP($A1004,[1]Table!$A$2:$N1158,G$1,FALSE)</f>
        <v>MINOCYCLINE 100MG TABLET</v>
      </c>
      <c r="H1004" t="str">
        <f>VLOOKUP($A1004,[1]Table!$A$2:$N1158,H$1,FALSE)</f>
        <v>tablet</v>
      </c>
      <c r="I1004" t="str">
        <f>VLOOKUP($A1004,[1]Table!$A$2:$N1158,I$1,FALSE)</f>
        <v>or</v>
      </c>
      <c r="J1004">
        <f>VLOOKUP($A1004,[1]Table!$A$2:$N1158,J$1,FALSE)</f>
        <v>100</v>
      </c>
      <c r="K1004" t="str">
        <f>VLOOKUP($A1004,[1]Table!$A$2:$N1158,K$1,FALSE)</f>
        <v>mg/stuk</v>
      </c>
      <c r="L1004">
        <f>VLOOKUP($A1004,[1]Table!$A$2:$N1158,L$1,FALSE)</f>
        <v>100</v>
      </c>
      <c r="M1004" t="str">
        <f>VLOOKUP($A1004,[1]Table!$A$2:$N1158,M$1,FALSE)</f>
        <v>mg</v>
      </c>
      <c r="N1004" t="str">
        <f>VLOOKUP($A1004,[1]Table!$A$2:$N1158,N$1,FALSE)</f>
        <v>Infecties||Ernstig acne vulgaris</v>
      </c>
      <c r="O1004" t="str">
        <f>ConcatenateRange(AZ1004:BU1004,"||")</f>
        <v/>
      </c>
      <c r="AZ1004" t="str">
        <f t="shared" si="374"/>
        <v/>
      </c>
      <c r="BA1004" t="str">
        <f t="shared" si="375"/>
        <v/>
      </c>
      <c r="BB1004" t="str">
        <f t="shared" si="376"/>
        <v/>
      </c>
      <c r="BC1004" t="str">
        <f t="shared" si="377"/>
        <v/>
      </c>
      <c r="BD1004" t="str">
        <f t="shared" si="378"/>
        <v/>
      </c>
      <c r="BE1004" t="str">
        <f t="shared" si="379"/>
        <v/>
      </c>
      <c r="BF1004" t="str">
        <f t="shared" si="380"/>
        <v/>
      </c>
      <c r="BG1004" t="str">
        <f t="shared" si="381"/>
        <v/>
      </c>
      <c r="BH1004" t="str">
        <f t="shared" si="382"/>
        <v/>
      </c>
      <c r="BI1004" t="str">
        <f t="shared" si="383"/>
        <v/>
      </c>
      <c r="BJ1004" t="str">
        <f t="shared" si="384"/>
        <v/>
      </c>
      <c r="BK1004" t="str">
        <f t="shared" si="385"/>
        <v/>
      </c>
      <c r="BL1004" t="str">
        <f t="shared" si="386"/>
        <v/>
      </c>
      <c r="BM1004" t="str">
        <f t="shared" si="387"/>
        <v/>
      </c>
      <c r="BN1004" t="str">
        <f t="shared" si="388"/>
        <v/>
      </c>
      <c r="BO1004" t="str">
        <f t="shared" si="389"/>
        <v/>
      </c>
      <c r="BP1004" t="str">
        <f t="shared" si="390"/>
        <v/>
      </c>
      <c r="BQ1004" t="str">
        <f t="shared" si="391"/>
        <v/>
      </c>
      <c r="BR1004" t="str">
        <f t="shared" si="392"/>
        <v/>
      </c>
      <c r="BS1004" t="str">
        <f t="shared" si="393"/>
        <v/>
      </c>
      <c r="BT1004" t="str">
        <f t="shared" si="394"/>
        <v/>
      </c>
      <c r="BU1004" t="str">
        <f t="shared" si="395"/>
        <v/>
      </c>
    </row>
    <row r="1005" spans="1:73">
      <c r="A1005" s="1">
        <v>41858</v>
      </c>
      <c r="B1005" t="str">
        <f>VLOOKUP($A1005,[1]Table!$A$2:$N1159,B$1,FALSE)</f>
        <v>C02DC01</v>
      </c>
      <c r="C1005" t="str">
        <f>VLOOKUP($A1005,[1]Table!$A$2:$N1159,C$1,FALSE)</f>
        <v>ANTIHYPERTENSIVA</v>
      </c>
      <c r="D1005" t="str">
        <f>VLOOKUP($A1005,[1]Table!$A$2:$N1159,D$1,FALSE)</f>
        <v>MIDDELEN AANGRIJPEND OP DE GLADDE SPIEREN V.D. ARTERIOLEN</v>
      </c>
      <c r="E1005" t="str">
        <f>VLOOKUP($A1005,[1]Table!$A$2:$N1159,E$1,FALSE)</f>
        <v>MINOXIDIL</v>
      </c>
      <c r="F1005" t="str">
        <f>VLOOKUP($A1005,[1]Table!$A$2:$N1159,F$1,FALSE)</f>
        <v>LONNOTEN 10 MG TABLET</v>
      </c>
      <c r="G1005" t="str">
        <f>VLOOKUP($A1005,[1]Table!$A$2:$N1159,G$1,FALSE)</f>
        <v>MINOXIDIL 10MG TABLET</v>
      </c>
      <c r="H1005" t="str">
        <f>VLOOKUP($A1005,[1]Table!$A$2:$N1159,H$1,FALSE)</f>
        <v>tablet</v>
      </c>
      <c r="I1005" t="str">
        <f>VLOOKUP($A1005,[1]Table!$A$2:$N1159,I$1,FALSE)</f>
        <v>or</v>
      </c>
      <c r="J1005">
        <f>VLOOKUP($A1005,[1]Table!$A$2:$N1159,J$1,FALSE)</f>
        <v>10</v>
      </c>
      <c r="K1005" t="str">
        <f>VLOOKUP($A1005,[1]Table!$A$2:$N1159,K$1,FALSE)</f>
        <v>mg/stuk</v>
      </c>
      <c r="L1005">
        <f>VLOOKUP($A1005,[1]Table!$A$2:$N1159,L$1,FALSE)</f>
        <v>5</v>
      </c>
      <c r="M1005" t="str">
        <f>VLOOKUP($A1005,[1]Table!$A$2:$N1159,M$1,FALSE)</f>
        <v>mg</v>
      </c>
      <c r="N1005" t="str">
        <f>VLOOKUP($A1005,[1]Table!$A$2:$N1159,N$1,FALSE)</f>
        <v>Hypertensie</v>
      </c>
      <c r="O1005" t="str">
        <f>ConcatenateRange(AZ1005:BU1005,"||")</f>
        <v/>
      </c>
      <c r="AZ1005" t="str">
        <f t="shared" si="374"/>
        <v/>
      </c>
      <c r="BA1005" t="str">
        <f t="shared" si="375"/>
        <v/>
      </c>
      <c r="BB1005" t="str">
        <f t="shared" si="376"/>
        <v/>
      </c>
      <c r="BC1005" t="str">
        <f t="shared" si="377"/>
        <v/>
      </c>
      <c r="BD1005" t="str">
        <f t="shared" si="378"/>
        <v/>
      </c>
      <c r="BE1005" t="str">
        <f t="shared" si="379"/>
        <v/>
      </c>
      <c r="BF1005" t="str">
        <f t="shared" si="380"/>
        <v/>
      </c>
      <c r="BG1005" t="str">
        <f t="shared" si="381"/>
        <v/>
      </c>
      <c r="BH1005" t="str">
        <f t="shared" si="382"/>
        <v/>
      </c>
      <c r="BI1005" t="str">
        <f t="shared" si="383"/>
        <v/>
      </c>
      <c r="BJ1005" t="str">
        <f t="shared" si="384"/>
        <v/>
      </c>
      <c r="BK1005" t="str">
        <f t="shared" si="385"/>
        <v/>
      </c>
      <c r="BL1005" t="str">
        <f t="shared" si="386"/>
        <v/>
      </c>
      <c r="BM1005" t="str">
        <f t="shared" si="387"/>
        <v/>
      </c>
      <c r="BN1005" t="str">
        <f t="shared" si="388"/>
        <v/>
      </c>
      <c r="BO1005" t="str">
        <f t="shared" si="389"/>
        <v/>
      </c>
      <c r="BP1005" t="str">
        <f t="shared" si="390"/>
        <v/>
      </c>
      <c r="BQ1005" t="str">
        <f t="shared" si="391"/>
        <v/>
      </c>
      <c r="BR1005" t="str">
        <f t="shared" si="392"/>
        <v/>
      </c>
      <c r="BS1005" t="str">
        <f t="shared" si="393"/>
        <v/>
      </c>
      <c r="BT1005" t="str">
        <f t="shared" si="394"/>
        <v/>
      </c>
      <c r="BU1005" t="str">
        <f t="shared" si="395"/>
        <v/>
      </c>
    </row>
    <row r="1006" spans="1:73">
      <c r="A1006" s="1">
        <v>90891</v>
      </c>
      <c r="B1006" t="str">
        <f>VLOOKUP($A1006,[1]Table!$A$2:$N1160,B$1,FALSE)</f>
        <v>L01XX23</v>
      </c>
      <c r="C1006" t="str">
        <f>VLOOKUP($A1006,[1]Table!$A$2:$N1160,C$1,FALSE)</f>
        <v>ONCOLYTICA</v>
      </c>
      <c r="D1006" t="str">
        <f>VLOOKUP($A1006,[1]Table!$A$2:$N1160,D$1,FALSE)</f>
        <v>OVERIGE ONCOLYTICA</v>
      </c>
      <c r="E1006" t="str">
        <f>VLOOKUP($A1006,[1]Table!$A$2:$N1160,E$1,FALSE)</f>
        <v>MITOTAAN</v>
      </c>
      <c r="F1006" t="str">
        <f>VLOOKUP($A1006,[1]Table!$A$2:$N1160,F$1,FALSE)</f>
        <v>LYSODREN 500 MG TABLET</v>
      </c>
      <c r="G1006" t="str">
        <f>VLOOKUP($A1006,[1]Table!$A$2:$N1160,G$1,FALSE)</f>
        <v>MITOTAAN 500MG TABLET</v>
      </c>
      <c r="H1006" t="str">
        <f>VLOOKUP($A1006,[1]Table!$A$2:$N1160,H$1,FALSE)</f>
        <v>tablet</v>
      </c>
      <c r="I1006" t="str">
        <f>VLOOKUP($A1006,[1]Table!$A$2:$N1160,I$1,FALSE)</f>
        <v>or</v>
      </c>
      <c r="J1006">
        <f>VLOOKUP($A1006,[1]Table!$A$2:$N1160,J$1,FALSE)</f>
        <v>500</v>
      </c>
      <c r="K1006" t="str">
        <f>VLOOKUP($A1006,[1]Table!$A$2:$N1160,K$1,FALSE)</f>
        <v>mg/stuk</v>
      </c>
      <c r="L1006">
        <f>VLOOKUP($A1006,[1]Table!$A$2:$N1160,L$1,FALSE)</f>
        <v>500</v>
      </c>
      <c r="M1006" t="str">
        <f>VLOOKUP($A1006,[1]Table!$A$2:$N1160,M$1,FALSE)</f>
        <v>mg</v>
      </c>
      <c r="N1006" t="str">
        <f>VLOOKUP($A1006,[1]Table!$A$2:$N1160,N$1,FALSE)</f>
        <v>Bijnierschorscarcinoom</v>
      </c>
      <c r="O1006" t="str">
        <f>ConcatenateRange(AZ1006:BU1006,"||")</f>
        <v/>
      </c>
      <c r="AZ1006" t="str">
        <f t="shared" si="374"/>
        <v/>
      </c>
      <c r="BA1006" t="str">
        <f t="shared" si="375"/>
        <v/>
      </c>
      <c r="BB1006" t="str">
        <f t="shared" si="376"/>
        <v/>
      </c>
      <c r="BC1006" t="str">
        <f t="shared" si="377"/>
        <v/>
      </c>
      <c r="BD1006" t="str">
        <f t="shared" si="378"/>
        <v/>
      </c>
      <c r="BE1006" t="str">
        <f t="shared" si="379"/>
        <v/>
      </c>
      <c r="BF1006" t="str">
        <f t="shared" si="380"/>
        <v/>
      </c>
      <c r="BG1006" t="str">
        <f t="shared" si="381"/>
        <v/>
      </c>
      <c r="BH1006" t="str">
        <f t="shared" si="382"/>
        <v/>
      </c>
      <c r="BI1006" t="str">
        <f t="shared" si="383"/>
        <v/>
      </c>
      <c r="BJ1006" t="str">
        <f t="shared" si="384"/>
        <v/>
      </c>
      <c r="BK1006" t="str">
        <f t="shared" si="385"/>
        <v/>
      </c>
      <c r="BL1006" t="str">
        <f t="shared" si="386"/>
        <v/>
      </c>
      <c r="BM1006" t="str">
        <f t="shared" si="387"/>
        <v/>
      </c>
      <c r="BN1006" t="str">
        <f t="shared" si="388"/>
        <v/>
      </c>
      <c r="BO1006" t="str">
        <f t="shared" si="389"/>
        <v/>
      </c>
      <c r="BP1006" t="str">
        <f t="shared" si="390"/>
        <v/>
      </c>
      <c r="BQ1006" t="str">
        <f t="shared" si="391"/>
        <v/>
      </c>
      <c r="BR1006" t="str">
        <f t="shared" si="392"/>
        <v/>
      </c>
      <c r="BS1006" t="str">
        <f t="shared" si="393"/>
        <v/>
      </c>
      <c r="BT1006" t="str">
        <f t="shared" si="394"/>
        <v/>
      </c>
      <c r="BU1006" t="str">
        <f t="shared" si="395"/>
        <v/>
      </c>
    </row>
    <row r="1007" spans="1:73">
      <c r="A1007" s="1">
        <v>55417</v>
      </c>
      <c r="B1007" t="str">
        <f>VLOOKUP($A1007,[1]Table!$A$2:$N1161,B$1,FALSE)</f>
        <v>L01DB07</v>
      </c>
      <c r="C1007" t="str">
        <f>VLOOKUP($A1007,[1]Table!$A$2:$N1161,C$1,FALSE)</f>
        <v>ONCOLYTICA</v>
      </c>
      <c r="D1007" t="str">
        <f>VLOOKUP($A1007,[1]Table!$A$2:$N1161,D$1,FALSE)</f>
        <v>CYTOTOXISCHE ANTIBIOTICA  EN VERWANTE VERBINDINGEN</v>
      </c>
      <c r="E1007" t="str">
        <f>VLOOKUP($A1007,[1]Table!$A$2:$N1161,E$1,FALSE)</f>
        <v>MITOXANTRON</v>
      </c>
      <c r="F1007" t="str">
        <f>VLOOKUP($A1007,[1]Table!$A$2:$N1161,F$1,FALSE)</f>
        <v>MITOXANTRON 20 MG = 10 ML FLACON</v>
      </c>
      <c r="G1007" t="str">
        <f>VLOOKUP($A1007,[1]Table!$A$2:$N1161,G$1,FALSE)</f>
        <v>MITOXANTRON 2MG/ML INF CONC</v>
      </c>
      <c r="H1007" t="str">
        <f>VLOOKUP($A1007,[1]Table!$A$2:$N1161,H$1,FALSE)</f>
        <v>concentraat voor oplossing voor infusie</v>
      </c>
      <c r="I1007" t="str">
        <f>VLOOKUP($A1007,[1]Table!$A$2:$N1161,I$1,FALSE)</f>
        <v>iv</v>
      </c>
      <c r="J1007">
        <f>VLOOKUP($A1007,[1]Table!$A$2:$N1161,J$1,FALSE)</f>
        <v>2</v>
      </c>
      <c r="K1007" t="str">
        <f>VLOOKUP($A1007,[1]Table!$A$2:$N1161,K$1,FALSE)</f>
        <v>mg/ml</v>
      </c>
      <c r="L1007">
        <f>VLOOKUP($A1007,[1]Table!$A$2:$N1161,L$1,FALSE)</f>
        <v>2</v>
      </c>
      <c r="M1007" t="str">
        <f>VLOOKUP($A1007,[1]Table!$A$2:$N1161,M$1,FALSE)</f>
        <v>mg</v>
      </c>
      <c r="N1007" t="str">
        <f>VLOOKUP($A1007,[1]Table!$A$2:$N1161,N$1,FALSE)</f>
        <v>Oncologische aandoeningen</v>
      </c>
      <c r="O1007" t="str">
        <f>ConcatenateRange(AZ1007:BU1007,"||")</f>
        <v/>
      </c>
      <c r="AZ1007" t="str">
        <f t="shared" si="374"/>
        <v/>
      </c>
      <c r="BA1007" t="str">
        <f t="shared" si="375"/>
        <v/>
      </c>
      <c r="BB1007" t="str">
        <f t="shared" si="376"/>
        <v/>
      </c>
      <c r="BC1007" t="str">
        <f t="shared" si="377"/>
        <v/>
      </c>
      <c r="BD1007" t="str">
        <f t="shared" si="378"/>
        <v/>
      </c>
      <c r="BE1007" t="str">
        <f t="shared" si="379"/>
        <v/>
      </c>
      <c r="BF1007" t="str">
        <f t="shared" si="380"/>
        <v/>
      </c>
      <c r="BG1007" t="str">
        <f t="shared" si="381"/>
        <v/>
      </c>
      <c r="BH1007" t="str">
        <f t="shared" si="382"/>
        <v/>
      </c>
      <c r="BI1007" t="str">
        <f t="shared" si="383"/>
        <v/>
      </c>
      <c r="BJ1007" t="str">
        <f t="shared" si="384"/>
        <v/>
      </c>
      <c r="BK1007" t="str">
        <f t="shared" si="385"/>
        <v/>
      </c>
      <c r="BL1007" t="str">
        <f t="shared" si="386"/>
        <v/>
      </c>
      <c r="BM1007" t="str">
        <f t="shared" si="387"/>
        <v/>
      </c>
      <c r="BN1007" t="str">
        <f t="shared" si="388"/>
        <v/>
      </c>
      <c r="BO1007" t="str">
        <f t="shared" si="389"/>
        <v/>
      </c>
      <c r="BP1007" t="str">
        <f t="shared" si="390"/>
        <v/>
      </c>
      <c r="BQ1007" t="str">
        <f t="shared" si="391"/>
        <v/>
      </c>
      <c r="BR1007" t="str">
        <f t="shared" si="392"/>
        <v/>
      </c>
      <c r="BS1007" t="str">
        <f t="shared" si="393"/>
        <v/>
      </c>
      <c r="BT1007" t="str">
        <f t="shared" si="394"/>
        <v/>
      </c>
      <c r="BU1007" t="str">
        <f t="shared" si="395"/>
        <v/>
      </c>
    </row>
    <row r="1008" spans="1:73">
      <c r="A1008" s="1">
        <v>92150</v>
      </c>
      <c r="B1008" t="str">
        <f>VLOOKUP($A1008,[1]Table!$A$2:$N1162,B$1,FALSE)</f>
        <v>M03AC10</v>
      </c>
      <c r="C1008" t="str">
        <f>VLOOKUP($A1008,[1]Table!$A$2:$N1162,C$1,FALSE)</f>
        <v>SPIERRELAXANTIA</v>
      </c>
      <c r="D1008" t="str">
        <f>VLOOKUP($A1008,[1]Table!$A$2:$N1162,D$1,FALSE)</f>
        <v>PERIFEER WERKENDE SPIERRELAXANTIA</v>
      </c>
      <c r="E1008" t="str">
        <f>VLOOKUP($A1008,[1]Table!$A$2:$N1162,E$1,FALSE)</f>
        <v>MIVACURIUM</v>
      </c>
      <c r="F1008" t="str">
        <f>VLOOKUP($A1008,[1]Table!$A$2:$N1162,F$1,FALSE)</f>
        <v>MIVACRON 2MG/ML AMPUL 10ML</v>
      </c>
      <c r="G1008" t="str">
        <f>VLOOKUP($A1008,[1]Table!$A$2:$N1162,G$1,FALSE)</f>
        <v>MIVACURIUM 2MG/ML INJVLST</v>
      </c>
      <c r="H1008" t="str">
        <f>VLOOKUP($A1008,[1]Table!$A$2:$N1162,H$1,FALSE)</f>
        <v>injectievloeistof</v>
      </c>
      <c r="I1008" t="str">
        <f>VLOOKUP($A1008,[1]Table!$A$2:$N1162,I$1,FALSE)</f>
        <v>iv</v>
      </c>
      <c r="J1008">
        <f>VLOOKUP($A1008,[1]Table!$A$2:$N1162,J$1,FALSE)</f>
        <v>2</v>
      </c>
      <c r="K1008" t="str">
        <f>VLOOKUP($A1008,[1]Table!$A$2:$N1162,K$1,FALSE)</f>
        <v>mg/ml</v>
      </c>
      <c r="L1008">
        <f>VLOOKUP($A1008,[1]Table!$A$2:$N1162,L$1,FALSE)</f>
        <v>2</v>
      </c>
      <c r="M1008" t="str">
        <f>VLOOKUP($A1008,[1]Table!$A$2:$N1162,M$1,FALSE)</f>
        <v>mg</v>
      </c>
      <c r="N1008" t="str">
        <f>VLOOKUP($A1008,[1]Table!$A$2:$N1162,N$1,FALSE)</f>
        <v>Verslapping van skeletspieren||Endotracheale intubatie</v>
      </c>
      <c r="O1008" t="str">
        <f>ConcatenateRange(AZ1008:BU1008,"||")</f>
        <v/>
      </c>
      <c r="AZ1008" t="str">
        <f t="shared" si="374"/>
        <v/>
      </c>
      <c r="BA1008" t="str">
        <f t="shared" si="375"/>
        <v/>
      </c>
      <c r="BB1008" t="str">
        <f t="shared" si="376"/>
        <v/>
      </c>
      <c r="BC1008" t="str">
        <f t="shared" si="377"/>
        <v/>
      </c>
      <c r="BD1008" t="str">
        <f t="shared" si="378"/>
        <v/>
      </c>
      <c r="BE1008" t="str">
        <f t="shared" si="379"/>
        <v/>
      </c>
      <c r="BF1008" t="str">
        <f t="shared" si="380"/>
        <v/>
      </c>
      <c r="BG1008" t="str">
        <f t="shared" si="381"/>
        <v/>
      </c>
      <c r="BH1008" t="str">
        <f t="shared" si="382"/>
        <v/>
      </c>
      <c r="BI1008" t="str">
        <f t="shared" si="383"/>
        <v/>
      </c>
      <c r="BJ1008" t="str">
        <f t="shared" si="384"/>
        <v/>
      </c>
      <c r="BK1008" t="str">
        <f t="shared" si="385"/>
        <v/>
      </c>
      <c r="BL1008" t="str">
        <f t="shared" si="386"/>
        <v/>
      </c>
      <c r="BM1008" t="str">
        <f t="shared" si="387"/>
        <v/>
      </c>
      <c r="BN1008" t="str">
        <f t="shared" si="388"/>
        <v/>
      </c>
      <c r="BO1008" t="str">
        <f t="shared" si="389"/>
        <v/>
      </c>
      <c r="BP1008" t="str">
        <f t="shared" si="390"/>
        <v/>
      </c>
      <c r="BQ1008" t="str">
        <f t="shared" si="391"/>
        <v/>
      </c>
      <c r="BR1008" t="str">
        <f t="shared" si="392"/>
        <v/>
      </c>
      <c r="BS1008" t="str">
        <f t="shared" si="393"/>
        <v/>
      </c>
      <c r="BT1008" t="str">
        <f t="shared" si="394"/>
        <v/>
      </c>
      <c r="BU1008" t="str">
        <f t="shared" si="395"/>
        <v/>
      </c>
    </row>
    <row r="1009" spans="1:73">
      <c r="A1009" s="1">
        <v>102164</v>
      </c>
      <c r="B1009" t="str">
        <f>VLOOKUP($A1009,[1]Table!$A$2:$N1163,B$1,FALSE)</f>
        <v>R06AX25</v>
      </c>
      <c r="C1009" t="str">
        <f>VLOOKUP($A1009,[1]Table!$A$2:$N1163,C$1,FALSE)</f>
        <v>ANTIHISTAMINICA VOOR SYSTEMISCH GEBRUIK</v>
      </c>
      <c r="D1009" t="str">
        <f>VLOOKUP($A1009,[1]Table!$A$2:$N1163,D$1,FALSE)</f>
        <v>ANTIHISTAMINICA VOOR SYSTEMISCH GEBRUIK</v>
      </c>
      <c r="E1009" t="str">
        <f>VLOOKUP($A1009,[1]Table!$A$2:$N1163,E$1,FALSE)</f>
        <v>MIZOLASTINE</v>
      </c>
      <c r="F1009" t="str">
        <f>VLOOKUP($A1009,[1]Table!$A$2:$N1163,F$1,FALSE)</f>
        <v>MIZOLLEN 10 MG TABLET MGA (RETARD)</v>
      </c>
      <c r="G1009" t="str">
        <f>VLOOKUP($A1009,[1]Table!$A$2:$N1163,G$1,FALSE)</f>
        <v>MIZOLASTINE 10MG TABLET MGA</v>
      </c>
      <c r="H1009" t="str">
        <f>VLOOKUP($A1009,[1]Table!$A$2:$N1163,H$1,FALSE)</f>
        <v>tablet met gereguleerde afgifte</v>
      </c>
      <c r="I1009" t="str">
        <f>VLOOKUP($A1009,[1]Table!$A$2:$N1163,I$1,FALSE)</f>
        <v>or</v>
      </c>
      <c r="J1009">
        <f>VLOOKUP($A1009,[1]Table!$A$2:$N1163,J$1,FALSE)</f>
        <v>10</v>
      </c>
      <c r="K1009" t="str">
        <f>VLOOKUP($A1009,[1]Table!$A$2:$N1163,K$1,FALSE)</f>
        <v>mg/stuk</v>
      </c>
      <c r="L1009">
        <f>VLOOKUP($A1009,[1]Table!$A$2:$N1163,L$1,FALSE)</f>
        <v>10</v>
      </c>
      <c r="M1009" t="str">
        <f>VLOOKUP($A1009,[1]Table!$A$2:$N1163,M$1,FALSE)</f>
        <v>mg</v>
      </c>
      <c r="N1009" t="str">
        <f>VLOOKUP($A1009,[1]Table!$A$2:$N1163,N$1,FALSE)</f>
        <v xml:space="preserve"> Allergische rhinoconjunctivitis en urticaria</v>
      </c>
      <c r="O1009" t="str">
        <f>ConcatenateRange(AZ1009:BU1009,"||")</f>
        <v/>
      </c>
      <c r="AZ1009" t="str">
        <f t="shared" si="374"/>
        <v/>
      </c>
      <c r="BA1009" t="str">
        <f t="shared" si="375"/>
        <v/>
      </c>
      <c r="BB1009" t="str">
        <f t="shared" si="376"/>
        <v/>
      </c>
      <c r="BC1009" t="str">
        <f t="shared" si="377"/>
        <v/>
      </c>
      <c r="BD1009" t="str">
        <f t="shared" si="378"/>
        <v/>
      </c>
      <c r="BE1009" t="str">
        <f t="shared" si="379"/>
        <v/>
      </c>
      <c r="BF1009" t="str">
        <f t="shared" si="380"/>
        <v/>
      </c>
      <c r="BG1009" t="str">
        <f t="shared" si="381"/>
        <v/>
      </c>
      <c r="BH1009" t="str">
        <f t="shared" si="382"/>
        <v/>
      </c>
      <c r="BI1009" t="str">
        <f t="shared" si="383"/>
        <v/>
      </c>
      <c r="BJ1009" t="str">
        <f t="shared" si="384"/>
        <v/>
      </c>
      <c r="BK1009" t="str">
        <f t="shared" si="385"/>
        <v/>
      </c>
      <c r="BL1009" t="str">
        <f t="shared" si="386"/>
        <v/>
      </c>
      <c r="BM1009" t="str">
        <f t="shared" si="387"/>
        <v/>
      </c>
      <c r="BN1009" t="str">
        <f t="shared" si="388"/>
        <v/>
      </c>
      <c r="BO1009" t="str">
        <f t="shared" si="389"/>
        <v/>
      </c>
      <c r="BP1009" t="str">
        <f t="shared" si="390"/>
        <v/>
      </c>
      <c r="BQ1009" t="str">
        <f t="shared" si="391"/>
        <v/>
      </c>
      <c r="BR1009" t="str">
        <f t="shared" si="392"/>
        <v/>
      </c>
      <c r="BS1009" t="str">
        <f t="shared" si="393"/>
        <v/>
      </c>
      <c r="BT1009" t="str">
        <f t="shared" si="394"/>
        <v/>
      </c>
      <c r="BU1009" t="str">
        <f t="shared" si="395"/>
        <v/>
      </c>
    </row>
    <row r="1010" spans="1:73">
      <c r="A1010" s="1">
        <v>104922</v>
      </c>
      <c r="B1010" t="str">
        <f>VLOOKUP($A1010,[1]Table!$A$2:$N1164,B$1,FALSE)</f>
        <v>R01AD09</v>
      </c>
      <c r="C1010" t="str">
        <f>VLOOKUP($A1010,[1]Table!$A$2:$N1164,C$1,FALSE)</f>
        <v>MIDDELEN VOOR NASAAL GEBRUIK</v>
      </c>
      <c r="D1010" t="str">
        <f>VLOOKUP($A1010,[1]Table!$A$2:$N1164,D$1,FALSE)</f>
        <v>DECONGESTIVA EN ANDERE LOKALE MIDDELEN VOOR NASAAL GEBRUIK</v>
      </c>
      <c r="E1010" t="str">
        <f>VLOOKUP($A1010,[1]Table!$A$2:$N1164,E$1,FALSE)</f>
        <v>MOMETASON</v>
      </c>
      <c r="F1010" t="str">
        <f>VLOOKUP($A1010,[1]Table!$A$2:$N1164,F$1,FALSE)</f>
        <v>NASONEX 50 NEUSSPRAY 140 DOSES</v>
      </c>
      <c r="G1010" t="str">
        <f>VLOOKUP($A1010,[1]Table!$A$2:$N1164,G$1,FALSE)</f>
        <v>MOMETASON 50UG/DO NEUSSPRAY</v>
      </c>
      <c r="H1010" t="str">
        <f>VLOOKUP($A1010,[1]Table!$A$2:$N1164,H$1,FALSE)</f>
        <v>neusspray</v>
      </c>
      <c r="I1010" t="str">
        <f>VLOOKUP($A1010,[1]Table!$A$2:$N1164,I$1,FALSE)</f>
        <v>nasaal</v>
      </c>
      <c r="J1010">
        <f>VLOOKUP($A1010,[1]Table!$A$2:$N1164,J$1,FALSE)</f>
        <v>50</v>
      </c>
      <c r="K1010" t="str">
        <f>VLOOKUP($A1010,[1]Table!$A$2:$N1164,K$1,FALSE)</f>
        <v>mcg/dose</v>
      </c>
      <c r="L1010">
        <f>VLOOKUP($A1010,[1]Table!$A$2:$N1164,L$1,FALSE)</f>
        <v>50</v>
      </c>
      <c r="M1010" t="str">
        <f>VLOOKUP($A1010,[1]Table!$A$2:$N1164,M$1,FALSE)</f>
        <v>mcg</v>
      </c>
      <c r="N1010" t="str">
        <f>VLOOKUP($A1010,[1]Table!$A$2:$N1164,N$1,FALSE)</f>
        <v>Allergische rhinitis</v>
      </c>
      <c r="O1010" t="str">
        <f>ConcatenateRange(AZ1010:BU1010,"||")</f>
        <v/>
      </c>
      <c r="AZ1010" t="str">
        <f t="shared" si="374"/>
        <v/>
      </c>
      <c r="BA1010" t="str">
        <f t="shared" si="375"/>
        <v/>
      </c>
      <c r="BB1010" t="str">
        <f t="shared" si="376"/>
        <v/>
      </c>
      <c r="BC1010" t="str">
        <f t="shared" si="377"/>
        <v/>
      </c>
      <c r="BD1010" t="str">
        <f t="shared" si="378"/>
        <v/>
      </c>
      <c r="BE1010" t="str">
        <f t="shared" si="379"/>
        <v/>
      </c>
      <c r="BF1010" t="str">
        <f t="shared" si="380"/>
        <v/>
      </c>
      <c r="BG1010" t="str">
        <f t="shared" si="381"/>
        <v/>
      </c>
      <c r="BH1010" t="str">
        <f t="shared" si="382"/>
        <v/>
      </c>
      <c r="BI1010" t="str">
        <f t="shared" si="383"/>
        <v/>
      </c>
      <c r="BJ1010" t="str">
        <f t="shared" si="384"/>
        <v/>
      </c>
      <c r="BK1010" t="str">
        <f t="shared" si="385"/>
        <v/>
      </c>
      <c r="BL1010" t="str">
        <f t="shared" si="386"/>
        <v/>
      </c>
      <c r="BM1010" t="str">
        <f t="shared" si="387"/>
        <v/>
      </c>
      <c r="BN1010" t="str">
        <f t="shared" si="388"/>
        <v/>
      </c>
      <c r="BO1010" t="str">
        <f t="shared" si="389"/>
        <v/>
      </c>
      <c r="BP1010" t="str">
        <f t="shared" si="390"/>
        <v/>
      </c>
      <c r="BQ1010" t="str">
        <f t="shared" si="391"/>
        <v/>
      </c>
      <c r="BR1010" t="str">
        <f t="shared" si="392"/>
        <v/>
      </c>
      <c r="BS1010" t="str">
        <f t="shared" si="393"/>
        <v/>
      </c>
      <c r="BT1010" t="str">
        <f t="shared" si="394"/>
        <v/>
      </c>
      <c r="BU1010" t="str">
        <f t="shared" si="395"/>
        <v/>
      </c>
    </row>
    <row r="1011" spans="1:73">
      <c r="A1011" s="1">
        <v>100773</v>
      </c>
      <c r="B1011" t="str">
        <f>VLOOKUP($A1011,[1]Table!$A$2:$N1165,B$1,FALSE)</f>
        <v>D07AC13</v>
      </c>
      <c r="C1011" t="str">
        <f>VLOOKUP($A1011,[1]Table!$A$2:$N1165,C$1,FALSE)</f>
        <v>DERMATOLOGISCHE CORTICOSTEROIDEN</v>
      </c>
      <c r="D1011" t="str">
        <f>VLOOKUP($A1011,[1]Table!$A$2:$N1165,D$1,FALSE)</f>
        <v>ENKELVOUDIGE CORTICOSTEROIDEN</v>
      </c>
      <c r="E1011" t="str">
        <f>VLOOKUP($A1011,[1]Table!$A$2:$N1165,E$1,FALSE)</f>
        <v>MOMETASON</v>
      </c>
      <c r="F1011" t="str">
        <f>VLOOKUP($A1011,[1]Table!$A$2:$N1165,F$1,FALSE)</f>
        <v>ELOCON LOTION 1MG/G OPL 100 ML</v>
      </c>
      <c r="G1011" t="str">
        <f>VLOOKUP($A1011,[1]Table!$A$2:$N1165,G$1,FALSE)</f>
        <v>MOMETASON 1MG/G OPL CUTAAN</v>
      </c>
      <c r="H1011" t="str">
        <f>VLOOKUP($A1011,[1]Table!$A$2:$N1165,H$1,FALSE)</f>
        <v>oplossing voor cutaan gebruik</v>
      </c>
      <c r="I1011" t="str">
        <f>VLOOKUP($A1011,[1]Table!$A$2:$N1165,I$1,FALSE)</f>
        <v>cutaan</v>
      </c>
      <c r="J1011">
        <f>VLOOKUP($A1011,[1]Table!$A$2:$N1165,J$1,FALSE)</f>
        <v>1</v>
      </c>
      <c r="K1011" t="str">
        <f>VLOOKUP($A1011,[1]Table!$A$2:$N1165,K$1,FALSE)</f>
        <v>mg/gr</v>
      </c>
      <c r="L1011">
        <f>VLOOKUP($A1011,[1]Table!$A$2:$N1165,L$1,FALSE)</f>
        <v>1</v>
      </c>
      <c r="M1011" t="str">
        <f>VLOOKUP($A1011,[1]Table!$A$2:$N1165,M$1,FALSE)</f>
        <v>mg</v>
      </c>
      <c r="N1011" t="str">
        <f>VLOOKUP($A1011,[1]Table!$A$2:$N1165,N$1,FALSE)</f>
        <v>Constitutioneel eczeem</v>
      </c>
      <c r="O1011" t="str">
        <f>ConcatenateRange(AZ1011:BU1011,"||")</f>
        <v/>
      </c>
      <c r="AZ1011" t="str">
        <f t="shared" si="374"/>
        <v/>
      </c>
      <c r="BA1011" t="str">
        <f t="shared" si="375"/>
        <v/>
      </c>
      <c r="BB1011" t="str">
        <f t="shared" si="376"/>
        <v/>
      </c>
      <c r="BC1011" t="str">
        <f t="shared" si="377"/>
        <v/>
      </c>
      <c r="BD1011" t="str">
        <f t="shared" si="378"/>
        <v/>
      </c>
      <c r="BE1011" t="str">
        <f t="shared" si="379"/>
        <v/>
      </c>
      <c r="BF1011" t="str">
        <f t="shared" si="380"/>
        <v/>
      </c>
      <c r="BG1011" t="str">
        <f t="shared" si="381"/>
        <v/>
      </c>
      <c r="BH1011" t="str">
        <f t="shared" si="382"/>
        <v/>
      </c>
      <c r="BI1011" t="str">
        <f t="shared" si="383"/>
        <v/>
      </c>
      <c r="BJ1011" t="str">
        <f t="shared" si="384"/>
        <v/>
      </c>
      <c r="BK1011" t="str">
        <f t="shared" si="385"/>
        <v/>
      </c>
      <c r="BL1011" t="str">
        <f t="shared" si="386"/>
        <v/>
      </c>
      <c r="BM1011" t="str">
        <f t="shared" si="387"/>
        <v/>
      </c>
      <c r="BN1011" t="str">
        <f t="shared" si="388"/>
        <v/>
      </c>
      <c r="BO1011" t="str">
        <f t="shared" si="389"/>
        <v/>
      </c>
      <c r="BP1011" t="str">
        <f t="shared" si="390"/>
        <v/>
      </c>
      <c r="BQ1011" t="str">
        <f t="shared" si="391"/>
        <v/>
      </c>
      <c r="BR1011" t="str">
        <f t="shared" si="392"/>
        <v/>
      </c>
      <c r="BS1011" t="str">
        <f t="shared" si="393"/>
        <v/>
      </c>
      <c r="BT1011" t="str">
        <f t="shared" si="394"/>
        <v/>
      </c>
      <c r="BU1011" t="str">
        <f t="shared" si="395"/>
        <v/>
      </c>
    </row>
    <row r="1012" spans="1:73">
      <c r="A1012" s="1">
        <v>100765</v>
      </c>
      <c r="B1012" t="str">
        <f>VLOOKUP($A1012,[1]Table!$A$2:$N1166,B$1,FALSE)</f>
        <v>D07AC13</v>
      </c>
      <c r="C1012" t="str">
        <f>VLOOKUP($A1012,[1]Table!$A$2:$N1166,C$1,FALSE)</f>
        <v>DERMATOLOGISCHE CORTICOSTEROIDEN</v>
      </c>
      <c r="D1012" t="str">
        <f>VLOOKUP($A1012,[1]Table!$A$2:$N1166,D$1,FALSE)</f>
        <v>ENKELVOUDIGE CORTICOSTEROIDEN</v>
      </c>
      <c r="E1012" t="str">
        <f>VLOOKUP($A1012,[1]Table!$A$2:$N1166,E$1,FALSE)</f>
        <v>MOMETASON</v>
      </c>
      <c r="F1012" t="str">
        <f>VLOOKUP($A1012,[1]Table!$A$2:$N1166,F$1,FALSE)</f>
        <v>ELOCON 1 MG/G VET W-EMU ZALF 30G</v>
      </c>
      <c r="G1012" t="str">
        <f>VLOOKUP($A1012,[1]Table!$A$2:$N1166,G$1,FALSE)</f>
        <v>MOMETASON 1MG/G ZALF</v>
      </c>
      <c r="H1012" t="str">
        <f>VLOOKUP($A1012,[1]Table!$A$2:$N1166,H$1,FALSE)</f>
        <v>zalf</v>
      </c>
      <c r="I1012" t="str">
        <f>VLOOKUP($A1012,[1]Table!$A$2:$N1166,I$1,FALSE)</f>
        <v>cutaan</v>
      </c>
      <c r="J1012">
        <f>VLOOKUP($A1012,[1]Table!$A$2:$N1166,J$1,FALSE)</f>
        <v>1</v>
      </c>
      <c r="K1012" t="str">
        <f>VLOOKUP($A1012,[1]Table!$A$2:$N1166,K$1,FALSE)</f>
        <v>mg/gr</v>
      </c>
      <c r="L1012">
        <f>VLOOKUP($A1012,[1]Table!$A$2:$N1166,L$1,FALSE)</f>
        <v>1</v>
      </c>
      <c r="M1012" t="str">
        <f>VLOOKUP($A1012,[1]Table!$A$2:$N1166,M$1,FALSE)</f>
        <v>mg</v>
      </c>
      <c r="N1012" t="str">
        <f>VLOOKUP($A1012,[1]Table!$A$2:$N1166,N$1,FALSE)</f>
        <v>Constitutioneel eczeem</v>
      </c>
      <c r="O1012" t="str">
        <f>ConcatenateRange(AZ1012:BU1012,"||")</f>
        <v/>
      </c>
      <c r="AZ1012" t="str">
        <f t="shared" si="374"/>
        <v/>
      </c>
      <c r="BA1012" t="str">
        <f t="shared" si="375"/>
        <v/>
      </c>
      <c r="BB1012" t="str">
        <f t="shared" si="376"/>
        <v/>
      </c>
      <c r="BC1012" t="str">
        <f t="shared" si="377"/>
        <v/>
      </c>
      <c r="BD1012" t="str">
        <f t="shared" si="378"/>
        <v/>
      </c>
      <c r="BE1012" t="str">
        <f t="shared" si="379"/>
        <v/>
      </c>
      <c r="BF1012" t="str">
        <f t="shared" si="380"/>
        <v/>
      </c>
      <c r="BG1012" t="str">
        <f t="shared" si="381"/>
        <v/>
      </c>
      <c r="BH1012" t="str">
        <f t="shared" si="382"/>
        <v/>
      </c>
      <c r="BI1012" t="str">
        <f t="shared" si="383"/>
        <v/>
      </c>
      <c r="BJ1012" t="str">
        <f t="shared" si="384"/>
        <v/>
      </c>
      <c r="BK1012" t="str">
        <f t="shared" si="385"/>
        <v/>
      </c>
      <c r="BL1012" t="str">
        <f t="shared" si="386"/>
        <v/>
      </c>
      <c r="BM1012" t="str">
        <f t="shared" si="387"/>
        <v/>
      </c>
      <c r="BN1012" t="str">
        <f t="shared" si="388"/>
        <v/>
      </c>
      <c r="BO1012" t="str">
        <f t="shared" si="389"/>
        <v/>
      </c>
      <c r="BP1012" t="str">
        <f t="shared" si="390"/>
        <v/>
      </c>
      <c r="BQ1012" t="str">
        <f t="shared" si="391"/>
        <v/>
      </c>
      <c r="BR1012" t="str">
        <f t="shared" si="392"/>
        <v/>
      </c>
      <c r="BS1012" t="str">
        <f t="shared" si="393"/>
        <v/>
      </c>
      <c r="BT1012" t="str">
        <f t="shared" si="394"/>
        <v/>
      </c>
      <c r="BU1012" t="str">
        <f t="shared" si="395"/>
        <v/>
      </c>
    </row>
    <row r="1013" spans="1:73">
      <c r="A1013" s="1">
        <v>131512</v>
      </c>
      <c r="B1013" t="str">
        <f>VLOOKUP($A1013,[1]Table!$A$2:$N1167,B$1,FALSE)</f>
        <v>R03DC03</v>
      </c>
      <c r="C1013" t="str">
        <f>VLOOKUP($A1013,[1]Table!$A$2:$N1167,C$1,FALSE)</f>
        <v>MIDDELEN BIJ ASTMA/COPD</v>
      </c>
      <c r="D1013" t="str">
        <f>VLOOKUP($A1013,[1]Table!$A$2:$N1167,D$1,FALSE)</f>
        <v>OVERIGE MIDDELEN BIJ ASTMA/COPD VOOR SYSTEMISCH GEBRUIK</v>
      </c>
      <c r="E1013" t="str">
        <f>VLOOKUP($A1013,[1]Table!$A$2:$N1167,E$1,FALSE)</f>
        <v>MONTELUKAST</v>
      </c>
      <c r="F1013" t="str">
        <f>VLOOKUP($A1013,[1]Table!$A$2:$N1167,F$1,FALSE)</f>
        <v>SINGULAIR 4 MG GRANULAAT IN SACHET</v>
      </c>
      <c r="G1013" t="str">
        <f>VLOOKUP($A1013,[1]Table!$A$2:$N1167,G$1,FALSE)</f>
        <v>MONTELUKAST 4MG GRANULAAT</v>
      </c>
      <c r="H1013" t="str">
        <f>VLOOKUP($A1013,[1]Table!$A$2:$N1167,H$1,FALSE)</f>
        <v>granulaat</v>
      </c>
      <c r="I1013" t="str">
        <f>VLOOKUP($A1013,[1]Table!$A$2:$N1167,I$1,FALSE)</f>
        <v>or</v>
      </c>
      <c r="J1013">
        <f>VLOOKUP($A1013,[1]Table!$A$2:$N1167,J$1,FALSE)</f>
        <v>4</v>
      </c>
      <c r="K1013" t="str">
        <f>VLOOKUP($A1013,[1]Table!$A$2:$N1167,K$1,FALSE)</f>
        <v>mg/stuk</v>
      </c>
      <c r="L1013">
        <f>VLOOKUP($A1013,[1]Table!$A$2:$N1167,L$1,FALSE)</f>
        <v>4</v>
      </c>
      <c r="M1013" t="str">
        <f>VLOOKUP($A1013,[1]Table!$A$2:$N1167,M$1,FALSE)</f>
        <v>mg</v>
      </c>
      <c r="N1013" t="str">
        <f>VLOOKUP($A1013,[1]Table!$A$2:$N1167,N$1,FALSE)</f>
        <v>Adjuvans onderhoudsbehandeling astma bij atopische patienten</v>
      </c>
      <c r="O1013" t="str">
        <f>ConcatenateRange(AZ1013:BU1013,"||")</f>
        <v/>
      </c>
      <c r="AZ1013" t="str">
        <f t="shared" si="374"/>
        <v/>
      </c>
      <c r="BA1013" t="str">
        <f t="shared" si="375"/>
        <v/>
      </c>
      <c r="BB1013" t="str">
        <f t="shared" si="376"/>
        <v/>
      </c>
      <c r="BC1013" t="str">
        <f t="shared" si="377"/>
        <v/>
      </c>
      <c r="BD1013" t="str">
        <f t="shared" si="378"/>
        <v/>
      </c>
      <c r="BE1013" t="str">
        <f t="shared" si="379"/>
        <v/>
      </c>
      <c r="BF1013" t="str">
        <f t="shared" si="380"/>
        <v/>
      </c>
      <c r="BG1013" t="str">
        <f t="shared" si="381"/>
        <v/>
      </c>
      <c r="BH1013" t="str">
        <f t="shared" si="382"/>
        <v/>
      </c>
      <c r="BI1013" t="str">
        <f t="shared" si="383"/>
        <v/>
      </c>
      <c r="BJ1013" t="str">
        <f t="shared" si="384"/>
        <v/>
      </c>
      <c r="BK1013" t="str">
        <f t="shared" si="385"/>
        <v/>
      </c>
      <c r="BL1013" t="str">
        <f t="shared" si="386"/>
        <v/>
      </c>
      <c r="BM1013" t="str">
        <f t="shared" si="387"/>
        <v/>
      </c>
      <c r="BN1013" t="str">
        <f t="shared" si="388"/>
        <v/>
      </c>
      <c r="BO1013" t="str">
        <f t="shared" si="389"/>
        <v/>
      </c>
      <c r="BP1013" t="str">
        <f t="shared" si="390"/>
        <v/>
      </c>
      <c r="BQ1013" t="str">
        <f t="shared" si="391"/>
        <v/>
      </c>
      <c r="BR1013" t="str">
        <f t="shared" si="392"/>
        <v/>
      </c>
      <c r="BS1013" t="str">
        <f t="shared" si="393"/>
        <v/>
      </c>
      <c r="BT1013" t="str">
        <f t="shared" si="394"/>
        <v/>
      </c>
      <c r="BU1013" t="str">
        <f t="shared" si="395"/>
        <v/>
      </c>
    </row>
    <row r="1014" spans="1:73">
      <c r="A1014" s="1">
        <v>116610</v>
      </c>
      <c r="B1014" t="str">
        <f>VLOOKUP($A1014,[1]Table!$A$2:$N1168,B$1,FALSE)</f>
        <v>R03DC03</v>
      </c>
      <c r="C1014" t="str">
        <f>VLOOKUP($A1014,[1]Table!$A$2:$N1168,C$1,FALSE)</f>
        <v>MIDDELEN BIJ ASTMA/COPD</v>
      </c>
      <c r="D1014" t="str">
        <f>VLOOKUP($A1014,[1]Table!$A$2:$N1168,D$1,FALSE)</f>
        <v>OVERIGE MIDDELEN BIJ ASTMA/COPD VOOR SYSTEMISCH GEBRUIK</v>
      </c>
      <c r="E1014" t="str">
        <f>VLOOKUP($A1014,[1]Table!$A$2:$N1168,E$1,FALSE)</f>
        <v>MONTELUKAST</v>
      </c>
      <c r="F1014" t="str">
        <f>VLOOKUP($A1014,[1]Table!$A$2:$N1168,F$1,FALSE)</f>
        <v>SINGULAIR 4 MG KAUWTABLET</v>
      </c>
      <c r="G1014" t="str">
        <f>VLOOKUP($A1014,[1]Table!$A$2:$N1168,G$1,FALSE)</f>
        <v>MONTELUKAST 4MG KAUWTABLET</v>
      </c>
      <c r="H1014" t="str">
        <f>VLOOKUP($A1014,[1]Table!$A$2:$N1168,H$1,FALSE)</f>
        <v>kauwtablet</v>
      </c>
      <c r="I1014" t="str">
        <f>VLOOKUP($A1014,[1]Table!$A$2:$N1168,I$1,FALSE)</f>
        <v>or</v>
      </c>
      <c r="J1014">
        <f>VLOOKUP($A1014,[1]Table!$A$2:$N1168,J$1,FALSE)</f>
        <v>4</v>
      </c>
      <c r="K1014" t="str">
        <f>VLOOKUP($A1014,[1]Table!$A$2:$N1168,K$1,FALSE)</f>
        <v>mg/stuk</v>
      </c>
      <c r="L1014">
        <f>VLOOKUP($A1014,[1]Table!$A$2:$N1168,L$1,FALSE)</f>
        <v>4</v>
      </c>
      <c r="M1014" t="str">
        <f>VLOOKUP($A1014,[1]Table!$A$2:$N1168,M$1,FALSE)</f>
        <v>mg</v>
      </c>
      <c r="N1014" t="str">
        <f>VLOOKUP($A1014,[1]Table!$A$2:$N1168,N$1,FALSE)</f>
        <v>Adjuvans onderhoudsbehandeling astma bij atopische patienten</v>
      </c>
      <c r="O1014" t="str">
        <f>ConcatenateRange(AZ1014:BU1014,"||")</f>
        <v/>
      </c>
      <c r="AZ1014" t="str">
        <f t="shared" si="374"/>
        <v/>
      </c>
      <c r="BA1014" t="str">
        <f t="shared" si="375"/>
        <v/>
      </c>
      <c r="BB1014" t="str">
        <f t="shared" si="376"/>
        <v/>
      </c>
      <c r="BC1014" t="str">
        <f t="shared" si="377"/>
        <v/>
      </c>
      <c r="BD1014" t="str">
        <f t="shared" si="378"/>
        <v/>
      </c>
      <c r="BE1014" t="str">
        <f t="shared" si="379"/>
        <v/>
      </c>
      <c r="BF1014" t="str">
        <f t="shared" si="380"/>
        <v/>
      </c>
      <c r="BG1014" t="str">
        <f t="shared" si="381"/>
        <v/>
      </c>
      <c r="BH1014" t="str">
        <f t="shared" si="382"/>
        <v/>
      </c>
      <c r="BI1014" t="str">
        <f t="shared" si="383"/>
        <v/>
      </c>
      <c r="BJ1014" t="str">
        <f t="shared" si="384"/>
        <v/>
      </c>
      <c r="BK1014" t="str">
        <f t="shared" si="385"/>
        <v/>
      </c>
      <c r="BL1014" t="str">
        <f t="shared" si="386"/>
        <v/>
      </c>
      <c r="BM1014" t="str">
        <f t="shared" si="387"/>
        <v/>
      </c>
      <c r="BN1014" t="str">
        <f t="shared" si="388"/>
        <v/>
      </c>
      <c r="BO1014" t="str">
        <f t="shared" si="389"/>
        <v/>
      </c>
      <c r="BP1014" t="str">
        <f t="shared" si="390"/>
        <v/>
      </c>
      <c r="BQ1014" t="str">
        <f t="shared" si="391"/>
        <v/>
      </c>
      <c r="BR1014" t="str">
        <f t="shared" si="392"/>
        <v/>
      </c>
      <c r="BS1014" t="str">
        <f t="shared" si="393"/>
        <v/>
      </c>
      <c r="BT1014" t="str">
        <f t="shared" si="394"/>
        <v/>
      </c>
      <c r="BU1014" t="str">
        <f t="shared" si="395"/>
        <v/>
      </c>
    </row>
    <row r="1015" spans="1:73">
      <c r="A1015" s="1">
        <v>105961</v>
      </c>
      <c r="B1015" t="str">
        <f>VLOOKUP($A1015,[1]Table!$A$2:$N1169,B$1,FALSE)</f>
        <v>R03DC03</v>
      </c>
      <c r="C1015" t="str">
        <f>VLOOKUP($A1015,[1]Table!$A$2:$N1169,C$1,FALSE)</f>
        <v>MIDDELEN BIJ ASTMA/COPD</v>
      </c>
      <c r="D1015" t="str">
        <f>VLOOKUP($A1015,[1]Table!$A$2:$N1169,D$1,FALSE)</f>
        <v>OVERIGE MIDDELEN BIJ ASTMA/COPD VOOR SYSTEMISCH GEBRUIK</v>
      </c>
      <c r="E1015" t="str">
        <f>VLOOKUP($A1015,[1]Table!$A$2:$N1169,E$1,FALSE)</f>
        <v>MONTELUKAST</v>
      </c>
      <c r="F1015" t="str">
        <f>VLOOKUP($A1015,[1]Table!$A$2:$N1169,F$1,FALSE)</f>
        <v>MONTELUKAST 5 MG KAUWTABLET</v>
      </c>
      <c r="G1015" t="str">
        <f>VLOOKUP($A1015,[1]Table!$A$2:$N1169,G$1,FALSE)</f>
        <v>MONTELUKAST 5MG KAUWTABLET</v>
      </c>
      <c r="H1015" t="str">
        <f>VLOOKUP($A1015,[1]Table!$A$2:$N1169,H$1,FALSE)</f>
        <v>kauwtablet</v>
      </c>
      <c r="I1015" t="str">
        <f>VLOOKUP($A1015,[1]Table!$A$2:$N1169,I$1,FALSE)</f>
        <v>or</v>
      </c>
      <c r="J1015">
        <f>VLOOKUP($A1015,[1]Table!$A$2:$N1169,J$1,FALSE)</f>
        <v>5</v>
      </c>
      <c r="K1015" t="str">
        <f>VLOOKUP($A1015,[1]Table!$A$2:$N1169,K$1,FALSE)</f>
        <v>mg/stuk</v>
      </c>
      <c r="L1015">
        <f>VLOOKUP($A1015,[1]Table!$A$2:$N1169,L$1,FALSE)</f>
        <v>5</v>
      </c>
      <c r="M1015" t="str">
        <f>VLOOKUP($A1015,[1]Table!$A$2:$N1169,M$1,FALSE)</f>
        <v>mg</v>
      </c>
      <c r="N1015" t="str">
        <f>VLOOKUP($A1015,[1]Table!$A$2:$N1169,N$1,FALSE)</f>
        <v>Adjuvans onderhoudsbehandeling astma bij atopische patienten</v>
      </c>
      <c r="O1015" t="str">
        <f>ConcatenateRange(AZ1015:BU1015,"||")</f>
        <v/>
      </c>
      <c r="AZ1015" t="str">
        <f t="shared" si="374"/>
        <v/>
      </c>
      <c r="BA1015" t="str">
        <f t="shared" si="375"/>
        <v/>
      </c>
      <c r="BB1015" t="str">
        <f t="shared" si="376"/>
        <v/>
      </c>
      <c r="BC1015" t="str">
        <f t="shared" si="377"/>
        <v/>
      </c>
      <c r="BD1015" t="str">
        <f t="shared" si="378"/>
        <v/>
      </c>
      <c r="BE1015" t="str">
        <f t="shared" si="379"/>
        <v/>
      </c>
      <c r="BF1015" t="str">
        <f t="shared" si="380"/>
        <v/>
      </c>
      <c r="BG1015" t="str">
        <f t="shared" si="381"/>
        <v/>
      </c>
      <c r="BH1015" t="str">
        <f t="shared" si="382"/>
        <v/>
      </c>
      <c r="BI1015" t="str">
        <f t="shared" si="383"/>
        <v/>
      </c>
      <c r="BJ1015" t="str">
        <f t="shared" si="384"/>
        <v/>
      </c>
      <c r="BK1015" t="str">
        <f t="shared" si="385"/>
        <v/>
      </c>
      <c r="BL1015" t="str">
        <f t="shared" si="386"/>
        <v/>
      </c>
      <c r="BM1015" t="str">
        <f t="shared" si="387"/>
        <v/>
      </c>
      <c r="BN1015" t="str">
        <f t="shared" si="388"/>
        <v/>
      </c>
      <c r="BO1015" t="str">
        <f t="shared" si="389"/>
        <v/>
      </c>
      <c r="BP1015" t="str">
        <f t="shared" si="390"/>
        <v/>
      </c>
      <c r="BQ1015" t="str">
        <f t="shared" si="391"/>
        <v/>
      </c>
      <c r="BR1015" t="str">
        <f t="shared" si="392"/>
        <v/>
      </c>
      <c r="BS1015" t="str">
        <f t="shared" si="393"/>
        <v/>
      </c>
      <c r="BT1015" t="str">
        <f t="shared" si="394"/>
        <v/>
      </c>
      <c r="BU1015" t="str">
        <f t="shared" si="395"/>
        <v/>
      </c>
    </row>
    <row r="1016" spans="1:73">
      <c r="A1016" s="1">
        <v>105953</v>
      </c>
      <c r="B1016" t="str">
        <f>VLOOKUP($A1016,[1]Table!$A$2:$N1170,B$1,FALSE)</f>
        <v>R03DC03</v>
      </c>
      <c r="C1016" t="str">
        <f>VLOOKUP($A1016,[1]Table!$A$2:$N1170,C$1,FALSE)</f>
        <v>MIDDELEN BIJ ASTMA/COPD</v>
      </c>
      <c r="D1016" t="str">
        <f>VLOOKUP($A1016,[1]Table!$A$2:$N1170,D$1,FALSE)</f>
        <v>OVERIGE MIDDELEN BIJ ASTMA/COPD VOOR SYSTEMISCH GEBRUIK</v>
      </c>
      <c r="E1016" t="str">
        <f>VLOOKUP($A1016,[1]Table!$A$2:$N1170,E$1,FALSE)</f>
        <v>MONTELUKAST</v>
      </c>
      <c r="F1016" t="str">
        <f>VLOOKUP($A1016,[1]Table!$A$2:$N1170,F$1,FALSE)</f>
        <v>MONTELUKAST 10 MG TABLET OMHULD</v>
      </c>
      <c r="G1016" t="str">
        <f>VLOOKUP($A1016,[1]Table!$A$2:$N1170,G$1,FALSE)</f>
        <v>MONTELUKAST 10MG TAB OMHULD</v>
      </c>
      <c r="H1016" t="str">
        <f>VLOOKUP($A1016,[1]Table!$A$2:$N1170,H$1,FALSE)</f>
        <v>omhulde tablet</v>
      </c>
      <c r="I1016" t="str">
        <f>VLOOKUP($A1016,[1]Table!$A$2:$N1170,I$1,FALSE)</f>
        <v>or</v>
      </c>
      <c r="J1016">
        <f>VLOOKUP($A1016,[1]Table!$A$2:$N1170,J$1,FALSE)</f>
        <v>10</v>
      </c>
      <c r="K1016" t="str">
        <f>VLOOKUP($A1016,[1]Table!$A$2:$N1170,K$1,FALSE)</f>
        <v>mg/stuk</v>
      </c>
      <c r="L1016">
        <f>VLOOKUP($A1016,[1]Table!$A$2:$N1170,L$1,FALSE)</f>
        <v>10</v>
      </c>
      <c r="M1016" t="str">
        <f>VLOOKUP($A1016,[1]Table!$A$2:$N1170,M$1,FALSE)</f>
        <v>mg</v>
      </c>
      <c r="N1016" t="str">
        <f>VLOOKUP($A1016,[1]Table!$A$2:$N1170,N$1,FALSE)</f>
        <v>Adjuvans onderhoudsbehandeling astma bij atopische patienten</v>
      </c>
      <c r="O1016" t="str">
        <f>ConcatenateRange(AZ1016:BU1016,"||")</f>
        <v/>
      </c>
      <c r="AZ1016" t="str">
        <f t="shared" si="374"/>
        <v/>
      </c>
      <c r="BA1016" t="str">
        <f t="shared" si="375"/>
        <v/>
      </c>
      <c r="BB1016" t="str">
        <f t="shared" si="376"/>
        <v/>
      </c>
      <c r="BC1016" t="str">
        <f t="shared" si="377"/>
        <v/>
      </c>
      <c r="BD1016" t="str">
        <f t="shared" si="378"/>
        <v/>
      </c>
      <c r="BE1016" t="str">
        <f t="shared" si="379"/>
        <v/>
      </c>
      <c r="BF1016" t="str">
        <f t="shared" si="380"/>
        <v/>
      </c>
      <c r="BG1016" t="str">
        <f t="shared" si="381"/>
        <v/>
      </c>
      <c r="BH1016" t="str">
        <f t="shared" si="382"/>
        <v/>
      </c>
      <c r="BI1016" t="str">
        <f t="shared" si="383"/>
        <v/>
      </c>
      <c r="BJ1016" t="str">
        <f t="shared" si="384"/>
        <v/>
      </c>
      <c r="BK1016" t="str">
        <f t="shared" si="385"/>
        <v/>
      </c>
      <c r="BL1016" t="str">
        <f t="shared" si="386"/>
        <v/>
      </c>
      <c r="BM1016" t="str">
        <f t="shared" si="387"/>
        <v/>
      </c>
      <c r="BN1016" t="str">
        <f t="shared" si="388"/>
        <v/>
      </c>
      <c r="BO1016" t="str">
        <f t="shared" si="389"/>
        <v/>
      </c>
      <c r="BP1016" t="str">
        <f t="shared" si="390"/>
        <v/>
      </c>
      <c r="BQ1016" t="str">
        <f t="shared" si="391"/>
        <v/>
      </c>
      <c r="BR1016" t="str">
        <f t="shared" si="392"/>
        <v/>
      </c>
      <c r="BS1016" t="str">
        <f t="shared" si="393"/>
        <v/>
      </c>
      <c r="BT1016" t="str">
        <f t="shared" si="394"/>
        <v/>
      </c>
      <c r="BU1016" t="str">
        <f t="shared" si="395"/>
        <v/>
      </c>
    </row>
    <row r="1017" spans="1:73">
      <c r="A1017" s="1">
        <v>122653</v>
      </c>
      <c r="B1017" t="str">
        <f>VLOOKUP($A1017,[1]Table!$A$2:$N1172,B$1,FALSE)</f>
        <v>N02AA01</v>
      </c>
      <c r="C1017" t="str">
        <f>VLOOKUP($A1017,[1]Table!$A$2:$N1172,C$1,FALSE)</f>
        <v>ANALGETICA</v>
      </c>
      <c r="D1017" t="str">
        <f>VLOOKUP($A1017,[1]Table!$A$2:$N1172,D$1,FALSE)</f>
        <v>OPIOIDEN</v>
      </c>
      <c r="E1017" t="str">
        <f>VLOOKUP($A1017,[1]Table!$A$2:$N1172,E$1,FALSE)</f>
        <v>MORFINE</v>
      </c>
      <c r="F1017" t="str">
        <f>VLOOKUP($A1017,[1]Table!$A$2:$N1172,F$1,FALSE)</f>
        <v>ORAMORPH 2 MG/ML FLACON 5ML</v>
      </c>
      <c r="G1017" t="str">
        <f>VLOOKUP($A1017,[1]Table!$A$2:$N1172,G$1,FALSE)</f>
        <v>MORFINE 2MG/ML DRANK (SULF)</v>
      </c>
      <c r="H1017" t="str">
        <f>VLOOKUP($A1017,[1]Table!$A$2:$N1172,H$1,FALSE)</f>
        <v>drank</v>
      </c>
      <c r="I1017" t="str">
        <f>VLOOKUP($A1017,[1]Table!$A$2:$N1172,I$1,FALSE)</f>
        <v>or</v>
      </c>
      <c r="J1017">
        <f>VLOOKUP($A1017,[1]Table!$A$2:$N1172,J$1,FALSE)</f>
        <v>2</v>
      </c>
      <c r="K1017" t="str">
        <f>VLOOKUP($A1017,[1]Table!$A$2:$N1172,K$1,FALSE)</f>
        <v>mg/ml</v>
      </c>
      <c r="L1017">
        <f>VLOOKUP($A1017,[1]Table!$A$2:$N1172,L$1,FALSE)</f>
        <v>2</v>
      </c>
      <c r="M1017" t="str">
        <f>VLOOKUP($A1017,[1]Table!$A$2:$N1172,M$1,FALSE)</f>
        <v>mg</v>
      </c>
      <c r="N1017" t="str">
        <f>VLOOKUP($A1017,[1]Table!$A$2:$N1172,N$1,FALSE)</f>
        <v>Ernstige pijn||Ernstige pijn: toediening dmv PCA pomp||Ernstige post-operatieve pijn||Trauma||Chronische pijn</v>
      </c>
      <c r="O1017" t="str">
        <f>ConcatenateRange(AZ1017:BU1017,"||")</f>
        <v/>
      </c>
      <c r="AZ1017" t="str">
        <f t="shared" si="374"/>
        <v/>
      </c>
      <c r="BA1017" t="str">
        <f t="shared" si="375"/>
        <v/>
      </c>
      <c r="BB1017" t="str">
        <f t="shared" si="376"/>
        <v/>
      </c>
      <c r="BC1017" t="str">
        <f t="shared" si="377"/>
        <v/>
      </c>
      <c r="BD1017" t="str">
        <f t="shared" si="378"/>
        <v/>
      </c>
      <c r="BE1017" t="str">
        <f t="shared" si="379"/>
        <v/>
      </c>
      <c r="BF1017" t="str">
        <f t="shared" si="380"/>
        <v/>
      </c>
      <c r="BG1017" t="str">
        <f t="shared" si="381"/>
        <v/>
      </c>
      <c r="BH1017" t="str">
        <f t="shared" si="382"/>
        <v/>
      </c>
      <c r="BI1017" t="str">
        <f t="shared" si="383"/>
        <v/>
      </c>
      <c r="BJ1017" t="str">
        <f t="shared" si="384"/>
        <v/>
      </c>
      <c r="BK1017" t="str">
        <f t="shared" si="385"/>
        <v/>
      </c>
      <c r="BL1017" t="str">
        <f t="shared" si="386"/>
        <v/>
      </c>
      <c r="BM1017" t="str">
        <f t="shared" si="387"/>
        <v/>
      </c>
      <c r="BN1017" t="str">
        <f t="shared" si="388"/>
        <v/>
      </c>
      <c r="BO1017" t="str">
        <f t="shared" si="389"/>
        <v/>
      </c>
      <c r="BP1017" t="str">
        <f t="shared" si="390"/>
        <v/>
      </c>
      <c r="BQ1017" t="str">
        <f t="shared" si="391"/>
        <v/>
      </c>
      <c r="BR1017" t="str">
        <f t="shared" si="392"/>
        <v/>
      </c>
      <c r="BS1017" t="str">
        <f t="shared" si="393"/>
        <v/>
      </c>
      <c r="BT1017" t="str">
        <f t="shared" si="394"/>
        <v/>
      </c>
      <c r="BU1017" t="str">
        <f t="shared" si="395"/>
        <v/>
      </c>
    </row>
    <row r="1018" spans="1:73">
      <c r="A1018" s="1">
        <v>122661</v>
      </c>
      <c r="B1018" t="str">
        <f>VLOOKUP($A1018,[1]Table!$A$2:$N1173,B$1,FALSE)</f>
        <v>N02AA01</v>
      </c>
      <c r="C1018" t="str">
        <f>VLOOKUP($A1018,[1]Table!$A$2:$N1173,C$1,FALSE)</f>
        <v>ANALGETICA</v>
      </c>
      <c r="D1018" t="str">
        <f>VLOOKUP($A1018,[1]Table!$A$2:$N1173,D$1,FALSE)</f>
        <v>OPIOIDEN</v>
      </c>
      <c r="E1018" t="str">
        <f>VLOOKUP($A1018,[1]Table!$A$2:$N1173,E$1,FALSE)</f>
        <v>MORFINE</v>
      </c>
      <c r="F1018" t="str">
        <f>VLOOKUP($A1018,[1]Table!$A$2:$N1173,F$1,FALSE)</f>
        <v>ORAMORPH 6 MG/ML FLACON 5ML</v>
      </c>
      <c r="G1018" t="str">
        <f>VLOOKUP($A1018,[1]Table!$A$2:$N1173,G$1,FALSE)</f>
        <v>MORFINE 6MG/ML DRANK (SULF)</v>
      </c>
      <c r="H1018" t="str">
        <f>VLOOKUP($A1018,[1]Table!$A$2:$N1173,H$1,FALSE)</f>
        <v>drank</v>
      </c>
      <c r="I1018" t="str">
        <f>VLOOKUP($A1018,[1]Table!$A$2:$N1173,I$1,FALSE)</f>
        <v>or</v>
      </c>
      <c r="J1018">
        <f>VLOOKUP($A1018,[1]Table!$A$2:$N1173,J$1,FALSE)</f>
        <v>6</v>
      </c>
      <c r="K1018" t="str">
        <f>VLOOKUP($A1018,[1]Table!$A$2:$N1173,K$1,FALSE)</f>
        <v>mg/ml</v>
      </c>
      <c r="L1018">
        <f>VLOOKUP($A1018,[1]Table!$A$2:$N1173,L$1,FALSE)</f>
        <v>6</v>
      </c>
      <c r="M1018" t="str">
        <f>VLOOKUP($A1018,[1]Table!$A$2:$N1173,M$1,FALSE)</f>
        <v>mg</v>
      </c>
      <c r="N1018" t="str">
        <f>VLOOKUP($A1018,[1]Table!$A$2:$N1173,N$1,FALSE)</f>
        <v>Ernstige pijn||Ernstige pijn: toediening dmv PCA pomp||Ernstige post-operatieve pijn||Trauma||Chronische pijn</v>
      </c>
      <c r="O1018" t="str">
        <f>ConcatenateRange(AZ1018:BU1018,"||")</f>
        <v/>
      </c>
      <c r="AZ1018" t="str">
        <f t="shared" si="374"/>
        <v/>
      </c>
      <c r="BA1018" t="str">
        <f t="shared" si="375"/>
        <v/>
      </c>
      <c r="BB1018" t="str">
        <f t="shared" si="376"/>
        <v/>
      </c>
      <c r="BC1018" t="str">
        <f t="shared" si="377"/>
        <v/>
      </c>
      <c r="BD1018" t="str">
        <f t="shared" si="378"/>
        <v/>
      </c>
      <c r="BE1018" t="str">
        <f t="shared" si="379"/>
        <v/>
      </c>
      <c r="BF1018" t="str">
        <f t="shared" si="380"/>
        <v/>
      </c>
      <c r="BG1018" t="str">
        <f t="shared" si="381"/>
        <v/>
      </c>
      <c r="BH1018" t="str">
        <f t="shared" si="382"/>
        <v/>
      </c>
      <c r="BI1018" t="str">
        <f t="shared" si="383"/>
        <v/>
      </c>
      <c r="BJ1018" t="str">
        <f t="shared" si="384"/>
        <v/>
      </c>
      <c r="BK1018" t="str">
        <f t="shared" si="385"/>
        <v/>
      </c>
      <c r="BL1018" t="str">
        <f t="shared" si="386"/>
        <v/>
      </c>
      <c r="BM1018" t="str">
        <f t="shared" si="387"/>
        <v/>
      </c>
      <c r="BN1018" t="str">
        <f t="shared" si="388"/>
        <v/>
      </c>
      <c r="BO1018" t="str">
        <f t="shared" si="389"/>
        <v/>
      </c>
      <c r="BP1018" t="str">
        <f t="shared" si="390"/>
        <v/>
      </c>
      <c r="BQ1018" t="str">
        <f t="shared" si="391"/>
        <v/>
      </c>
      <c r="BR1018" t="str">
        <f t="shared" si="392"/>
        <v/>
      </c>
      <c r="BS1018" t="str">
        <f t="shared" si="393"/>
        <v/>
      </c>
      <c r="BT1018" t="str">
        <f t="shared" si="394"/>
        <v/>
      </c>
      <c r="BU1018" t="str">
        <f t="shared" si="395"/>
        <v/>
      </c>
    </row>
    <row r="1019" spans="1:73">
      <c r="A1019" s="1">
        <v>122645</v>
      </c>
      <c r="B1019" t="str">
        <f>VLOOKUP($A1019,[1]Table!$A$2:$N1174,B$1,FALSE)</f>
        <v>N02AA01</v>
      </c>
      <c r="C1019" t="str">
        <f>VLOOKUP($A1019,[1]Table!$A$2:$N1174,C$1,FALSE)</f>
        <v>ANALGETICA</v>
      </c>
      <c r="D1019" t="str">
        <f>VLOOKUP($A1019,[1]Table!$A$2:$N1174,D$1,FALSE)</f>
        <v>OPIOIDEN</v>
      </c>
      <c r="E1019" t="str">
        <f>VLOOKUP($A1019,[1]Table!$A$2:$N1174,E$1,FALSE)</f>
        <v>MORFINE</v>
      </c>
      <c r="F1019" t="str">
        <f>VLOOKUP($A1019,[1]Table!$A$2:$N1174,F$1,FALSE)</f>
        <v>ORAMORPH DRANK 20MG/ML 20ML</v>
      </c>
      <c r="G1019" t="str">
        <f>VLOOKUP($A1019,[1]Table!$A$2:$N1174,G$1,FALSE)</f>
        <v>MORFINE 20MG/ML DRANK (SUL)</v>
      </c>
      <c r="H1019" t="str">
        <f>VLOOKUP($A1019,[1]Table!$A$2:$N1174,H$1,FALSE)</f>
        <v>drank</v>
      </c>
      <c r="I1019" t="str">
        <f>VLOOKUP($A1019,[1]Table!$A$2:$N1174,I$1,FALSE)</f>
        <v>or</v>
      </c>
      <c r="J1019">
        <f>VLOOKUP($A1019,[1]Table!$A$2:$N1174,J$1,FALSE)</f>
        <v>20</v>
      </c>
      <c r="K1019" t="str">
        <f>VLOOKUP($A1019,[1]Table!$A$2:$N1174,K$1,FALSE)</f>
        <v>mg/ml</v>
      </c>
      <c r="L1019">
        <f>VLOOKUP($A1019,[1]Table!$A$2:$N1174,L$1,FALSE)</f>
        <v>20</v>
      </c>
      <c r="M1019" t="str">
        <f>VLOOKUP($A1019,[1]Table!$A$2:$N1174,M$1,FALSE)</f>
        <v>mg</v>
      </c>
      <c r="N1019" t="str">
        <f>VLOOKUP($A1019,[1]Table!$A$2:$N1174,N$1,FALSE)</f>
        <v>Ernstige pijn||Ernstige pijn: toediening dmv PCA pomp||Ernstige post-operatieve pijn||Trauma||Chronische pijn</v>
      </c>
      <c r="O1019" t="str">
        <f>ConcatenateRange(AZ1019:BU1019,"||")</f>
        <v/>
      </c>
      <c r="AZ1019" t="str">
        <f t="shared" si="374"/>
        <v/>
      </c>
      <c r="BA1019" t="str">
        <f t="shared" si="375"/>
        <v/>
      </c>
      <c r="BB1019" t="str">
        <f t="shared" si="376"/>
        <v/>
      </c>
      <c r="BC1019" t="str">
        <f t="shared" si="377"/>
        <v/>
      </c>
      <c r="BD1019" t="str">
        <f t="shared" si="378"/>
        <v/>
      </c>
      <c r="BE1019" t="str">
        <f t="shared" si="379"/>
        <v/>
      </c>
      <c r="BF1019" t="str">
        <f t="shared" si="380"/>
        <v/>
      </c>
      <c r="BG1019" t="str">
        <f t="shared" si="381"/>
        <v/>
      </c>
      <c r="BH1019" t="str">
        <f t="shared" si="382"/>
        <v/>
      </c>
      <c r="BI1019" t="str">
        <f t="shared" si="383"/>
        <v/>
      </c>
      <c r="BJ1019" t="str">
        <f t="shared" si="384"/>
        <v/>
      </c>
      <c r="BK1019" t="str">
        <f t="shared" si="385"/>
        <v/>
      </c>
      <c r="BL1019" t="str">
        <f t="shared" si="386"/>
        <v/>
      </c>
      <c r="BM1019" t="str">
        <f t="shared" si="387"/>
        <v/>
      </c>
      <c r="BN1019" t="str">
        <f t="shared" si="388"/>
        <v/>
      </c>
      <c r="BO1019" t="str">
        <f t="shared" si="389"/>
        <v/>
      </c>
      <c r="BP1019" t="str">
        <f t="shared" si="390"/>
        <v/>
      </c>
      <c r="BQ1019" t="str">
        <f t="shared" si="391"/>
        <v/>
      </c>
      <c r="BR1019" t="str">
        <f t="shared" si="392"/>
        <v/>
      </c>
      <c r="BS1019" t="str">
        <f t="shared" si="393"/>
        <v/>
      </c>
      <c r="BT1019" t="str">
        <f t="shared" si="394"/>
        <v/>
      </c>
      <c r="BU1019" t="str">
        <f t="shared" si="395"/>
        <v/>
      </c>
    </row>
    <row r="1020" spans="1:73">
      <c r="A1020" s="1">
        <v>28746</v>
      </c>
      <c r="B1020" t="str">
        <f>VLOOKUP($A1020,[1]Table!$A$2:$N1175,B$1,FALSE)</f>
        <v>N02AA01</v>
      </c>
      <c r="C1020" t="str">
        <f>VLOOKUP($A1020,[1]Table!$A$2:$N1175,C$1,FALSE)</f>
        <v>ANALGETICA</v>
      </c>
      <c r="D1020" t="str">
        <f>VLOOKUP($A1020,[1]Table!$A$2:$N1175,D$1,FALSE)</f>
        <v>OPIOIDEN</v>
      </c>
      <c r="E1020" t="str">
        <f>VLOOKUP($A1020,[1]Table!$A$2:$N1175,E$1,FALSE)</f>
        <v>MORFINE</v>
      </c>
      <c r="F1020" t="str">
        <f>VLOOKUP($A1020,[1]Table!$A$2:$N1175,F$1,FALSE)</f>
        <v>MORFINE HCL 10 MG/ML AMPUL 1ML</v>
      </c>
      <c r="G1020" t="str">
        <f>VLOOKUP($A1020,[1]Table!$A$2:$N1175,G$1,FALSE)</f>
        <v>MORFINE 10MG/ML INJVLST</v>
      </c>
      <c r="H1020" t="str">
        <f>VLOOKUP($A1020,[1]Table!$A$2:$N1175,H$1,FALSE)</f>
        <v>injectievloeistof</v>
      </c>
      <c r="I1020" t="str">
        <f>VLOOKUP($A1020,[1]Table!$A$2:$N1175,I$1,FALSE)</f>
        <v>im||iv||sc||intrathec||epidur||intracut</v>
      </c>
      <c r="J1020">
        <f>VLOOKUP($A1020,[1]Table!$A$2:$N1175,J$1,FALSE)</f>
        <v>10</v>
      </c>
      <c r="K1020" t="str">
        <f>VLOOKUP($A1020,[1]Table!$A$2:$N1175,K$1,FALSE)</f>
        <v>mg/ml</v>
      </c>
      <c r="L1020">
        <f>VLOOKUP($A1020,[1]Table!$A$2:$N1175,L$1,FALSE)</f>
        <v>10</v>
      </c>
      <c r="M1020" t="str">
        <f>VLOOKUP($A1020,[1]Table!$A$2:$N1175,M$1,FALSE)</f>
        <v>mg</v>
      </c>
      <c r="N1020" t="str">
        <f>VLOOKUP($A1020,[1]Table!$A$2:$N1175,N$1,FALSE)</f>
        <v>Ernstige pijn||Ernstige pijn: toediening dmv PCA pomp||Ernstige post-operatieve pijn||Trauma||Chronische pijn</v>
      </c>
      <c r="O1020" t="str">
        <f>ConcatenateRange(AZ1020:BU1020,"||")</f>
        <v/>
      </c>
      <c r="AZ1020" t="str">
        <f t="shared" si="374"/>
        <v/>
      </c>
      <c r="BA1020" t="str">
        <f t="shared" si="375"/>
        <v/>
      </c>
      <c r="BB1020" t="str">
        <f t="shared" si="376"/>
        <v/>
      </c>
      <c r="BC1020" t="str">
        <f t="shared" si="377"/>
        <v/>
      </c>
      <c r="BD1020" t="str">
        <f t="shared" si="378"/>
        <v/>
      </c>
      <c r="BE1020" t="str">
        <f t="shared" si="379"/>
        <v/>
      </c>
      <c r="BF1020" t="str">
        <f t="shared" si="380"/>
        <v/>
      </c>
      <c r="BG1020" t="str">
        <f t="shared" si="381"/>
        <v/>
      </c>
      <c r="BH1020" t="str">
        <f t="shared" si="382"/>
        <v/>
      </c>
      <c r="BI1020" t="str">
        <f t="shared" si="383"/>
        <v/>
      </c>
      <c r="BJ1020" t="str">
        <f t="shared" si="384"/>
        <v/>
      </c>
      <c r="BK1020" t="str">
        <f t="shared" si="385"/>
        <v/>
      </c>
      <c r="BL1020" t="str">
        <f t="shared" si="386"/>
        <v/>
      </c>
      <c r="BM1020" t="str">
        <f t="shared" si="387"/>
        <v/>
      </c>
      <c r="BN1020" t="str">
        <f t="shared" si="388"/>
        <v/>
      </c>
      <c r="BO1020" t="str">
        <f t="shared" si="389"/>
        <v/>
      </c>
      <c r="BP1020" t="str">
        <f t="shared" si="390"/>
        <v/>
      </c>
      <c r="BQ1020" t="str">
        <f t="shared" si="391"/>
        <v/>
      </c>
      <c r="BR1020" t="str">
        <f t="shared" si="392"/>
        <v/>
      </c>
      <c r="BS1020" t="str">
        <f t="shared" si="393"/>
        <v/>
      </c>
      <c r="BT1020" t="str">
        <f t="shared" si="394"/>
        <v/>
      </c>
      <c r="BU1020" t="str">
        <f t="shared" si="395"/>
        <v/>
      </c>
    </row>
    <row r="1021" spans="1:73">
      <c r="A1021" s="1">
        <v>140872</v>
      </c>
      <c r="B1021" t="str">
        <f>VLOOKUP($A1021,[1]Table!$A$2:$N1176,B$1,FALSE)</f>
        <v>N02AA01</v>
      </c>
      <c r="C1021" t="str">
        <f>VLOOKUP($A1021,[1]Table!$A$2:$N1176,C$1,FALSE)</f>
        <v>ANALGETICA</v>
      </c>
      <c r="D1021" t="str">
        <f>VLOOKUP($A1021,[1]Table!$A$2:$N1176,D$1,FALSE)</f>
        <v>OPIOIDEN</v>
      </c>
      <c r="E1021" t="str">
        <f>VLOOKUP($A1021,[1]Table!$A$2:$N1176,E$1,FALSE)</f>
        <v>MORFINE</v>
      </c>
      <c r="F1021" t="str">
        <f>VLOOKUP($A1021,[1]Table!$A$2:$N1176,F$1,FALSE)</f>
        <v>MORFINESULFAAT 20 MG TABLET</v>
      </c>
      <c r="G1021" t="str">
        <f>VLOOKUP($A1021,[1]Table!$A$2:$N1176,G$1,FALSE)</f>
        <v>MORFINE 20MG TABLET</v>
      </c>
      <c r="H1021" t="str">
        <f>VLOOKUP($A1021,[1]Table!$A$2:$N1176,H$1,FALSE)</f>
        <v>tablet</v>
      </c>
      <c r="I1021" t="str">
        <f>VLOOKUP($A1021,[1]Table!$A$2:$N1176,I$1,FALSE)</f>
        <v>or</v>
      </c>
      <c r="J1021">
        <f>VLOOKUP($A1021,[1]Table!$A$2:$N1176,J$1,FALSE)</f>
        <v>20</v>
      </c>
      <c r="K1021" t="str">
        <f>VLOOKUP($A1021,[1]Table!$A$2:$N1176,K$1,FALSE)</f>
        <v>mg/stuk</v>
      </c>
      <c r="L1021">
        <f>VLOOKUP($A1021,[1]Table!$A$2:$N1176,L$1,FALSE)</f>
        <v>20</v>
      </c>
      <c r="M1021" t="str">
        <f>VLOOKUP($A1021,[1]Table!$A$2:$N1176,M$1,FALSE)</f>
        <v>mg</v>
      </c>
      <c r="N1021" t="str">
        <f>VLOOKUP($A1021,[1]Table!$A$2:$N1176,N$1,FALSE)</f>
        <v>Ernstige pijn||Ernstige pijn: toediening dmv PCA pomp||Ernstige post-operatieve pijn||Trauma||Chronische pijn</v>
      </c>
      <c r="O1021" t="str">
        <f>ConcatenateRange(AZ1021:BU1021,"||")</f>
        <v/>
      </c>
      <c r="AZ1021" t="str">
        <f t="shared" si="374"/>
        <v/>
      </c>
      <c r="BA1021" t="str">
        <f t="shared" si="375"/>
        <v/>
      </c>
      <c r="BB1021" t="str">
        <f t="shared" si="376"/>
        <v/>
      </c>
      <c r="BC1021" t="str">
        <f t="shared" si="377"/>
        <v/>
      </c>
      <c r="BD1021" t="str">
        <f t="shared" si="378"/>
        <v/>
      </c>
      <c r="BE1021" t="str">
        <f t="shared" si="379"/>
        <v/>
      </c>
      <c r="BF1021" t="str">
        <f t="shared" si="380"/>
        <v/>
      </c>
      <c r="BG1021" t="str">
        <f t="shared" si="381"/>
        <v/>
      </c>
      <c r="BH1021" t="str">
        <f t="shared" si="382"/>
        <v/>
      </c>
      <c r="BI1021" t="str">
        <f t="shared" si="383"/>
        <v/>
      </c>
      <c r="BJ1021" t="str">
        <f t="shared" si="384"/>
        <v/>
      </c>
      <c r="BK1021" t="str">
        <f t="shared" si="385"/>
        <v/>
      </c>
      <c r="BL1021" t="str">
        <f t="shared" si="386"/>
        <v/>
      </c>
      <c r="BM1021" t="str">
        <f t="shared" si="387"/>
        <v/>
      </c>
      <c r="BN1021" t="str">
        <f t="shared" si="388"/>
        <v/>
      </c>
      <c r="BO1021" t="str">
        <f t="shared" si="389"/>
        <v/>
      </c>
      <c r="BP1021" t="str">
        <f t="shared" si="390"/>
        <v/>
      </c>
      <c r="BQ1021" t="str">
        <f t="shared" si="391"/>
        <v/>
      </c>
      <c r="BR1021" t="str">
        <f t="shared" si="392"/>
        <v/>
      </c>
      <c r="BS1021" t="str">
        <f t="shared" si="393"/>
        <v/>
      </c>
      <c r="BT1021" t="str">
        <f t="shared" si="394"/>
        <v/>
      </c>
      <c r="BU1021" t="str">
        <f t="shared" si="395"/>
        <v/>
      </c>
    </row>
    <row r="1022" spans="1:73">
      <c r="A1022" s="1">
        <v>54976</v>
      </c>
      <c r="B1022" t="str">
        <f>VLOOKUP($A1022,[1]Table!$A$2:$N1177,B$1,FALSE)</f>
        <v>N02AA01</v>
      </c>
      <c r="C1022" t="str">
        <f>VLOOKUP($A1022,[1]Table!$A$2:$N1177,C$1,FALSE)</f>
        <v>ANALGETICA</v>
      </c>
      <c r="D1022" t="str">
        <f>VLOOKUP($A1022,[1]Table!$A$2:$N1177,D$1,FALSE)</f>
        <v>OPIOIDEN</v>
      </c>
      <c r="E1022" t="s">
        <v>114</v>
      </c>
      <c r="F1022" t="str">
        <f>VLOOKUP($A1022,[1]Table!$A$2:$N1177,F$1,FALSE)</f>
        <v>MORFINESULFAAT 10 MG TABL MGA (RETARD)</v>
      </c>
      <c r="G1022" t="str">
        <f>VLOOKUP($A1022,[1]Table!$A$2:$N1177,G$1,FALSE)</f>
        <v>MORFINE 10MG TAB MGA (SULF)</v>
      </c>
      <c r="H1022" t="str">
        <f>VLOOKUP($A1022,[1]Table!$A$2:$N1177,H$1,FALSE)</f>
        <v>tablet met gereguleerde afgifte</v>
      </c>
      <c r="I1022" t="str">
        <f>VLOOKUP($A1022,[1]Table!$A$2:$N1177,I$1,FALSE)</f>
        <v>or</v>
      </c>
      <c r="J1022">
        <f>VLOOKUP($A1022,[1]Table!$A$2:$N1177,J$1,FALSE)</f>
        <v>10</v>
      </c>
      <c r="K1022" t="str">
        <f>VLOOKUP($A1022,[1]Table!$A$2:$N1177,K$1,FALSE)</f>
        <v>mg/stuk</v>
      </c>
      <c r="L1022">
        <f>VLOOKUP($A1022,[1]Table!$A$2:$N1177,L$1,FALSE)</f>
        <v>10</v>
      </c>
      <c r="M1022" t="str">
        <f>VLOOKUP($A1022,[1]Table!$A$2:$N1177,M$1,FALSE)</f>
        <v>mg</v>
      </c>
      <c r="N1022" t="str">
        <f>VLOOKUP($A1022,[1]Table!$A$2:$N1177,N$1,FALSE)</f>
        <v>Ernstige pijn||Ernstige pijn: toediening dmv PCA pomp||Ernstige post-operatieve pijn||Trauma||Chronische pijn</v>
      </c>
      <c r="O1022" t="str">
        <f>ConcatenateRange(AZ1022:BU1022,"||")</f>
        <v/>
      </c>
      <c r="AZ1022" t="str">
        <f t="shared" si="374"/>
        <v/>
      </c>
      <c r="BA1022" t="str">
        <f t="shared" si="375"/>
        <v/>
      </c>
      <c r="BB1022" t="str">
        <f t="shared" si="376"/>
        <v/>
      </c>
      <c r="BC1022" t="str">
        <f t="shared" si="377"/>
        <v/>
      </c>
      <c r="BD1022" t="str">
        <f t="shared" si="378"/>
        <v/>
      </c>
      <c r="BE1022" t="str">
        <f t="shared" si="379"/>
        <v/>
      </c>
      <c r="BF1022" t="str">
        <f t="shared" si="380"/>
        <v/>
      </c>
      <c r="BG1022" t="str">
        <f t="shared" si="381"/>
        <v/>
      </c>
      <c r="BH1022" t="str">
        <f t="shared" si="382"/>
        <v/>
      </c>
      <c r="BI1022" t="str">
        <f t="shared" si="383"/>
        <v/>
      </c>
      <c r="BJ1022" t="str">
        <f t="shared" si="384"/>
        <v/>
      </c>
      <c r="BK1022" t="str">
        <f t="shared" si="385"/>
        <v/>
      </c>
      <c r="BL1022" t="str">
        <f t="shared" si="386"/>
        <v/>
      </c>
      <c r="BM1022" t="str">
        <f t="shared" si="387"/>
        <v/>
      </c>
      <c r="BN1022" t="str">
        <f t="shared" si="388"/>
        <v/>
      </c>
      <c r="BO1022" t="str">
        <f t="shared" si="389"/>
        <v/>
      </c>
      <c r="BP1022" t="str">
        <f t="shared" si="390"/>
        <v/>
      </c>
      <c r="BQ1022" t="str">
        <f t="shared" si="391"/>
        <v/>
      </c>
      <c r="BR1022" t="str">
        <f t="shared" si="392"/>
        <v/>
      </c>
      <c r="BS1022" t="str">
        <f t="shared" si="393"/>
        <v/>
      </c>
      <c r="BT1022" t="str">
        <f t="shared" si="394"/>
        <v/>
      </c>
      <c r="BU1022" t="str">
        <f t="shared" si="395"/>
        <v/>
      </c>
    </row>
    <row r="1023" spans="1:73">
      <c r="A1023" s="1">
        <v>54984</v>
      </c>
      <c r="B1023" t="str">
        <f>VLOOKUP($A1023,[1]Table!$A$2:$N1178,B$1,FALSE)</f>
        <v>N02AA01</v>
      </c>
      <c r="C1023" t="str">
        <f>VLOOKUP($A1023,[1]Table!$A$2:$N1178,C$1,FALSE)</f>
        <v>ANALGETICA</v>
      </c>
      <c r="D1023" t="str">
        <f>VLOOKUP($A1023,[1]Table!$A$2:$N1178,D$1,FALSE)</f>
        <v>OPIOIDEN</v>
      </c>
      <c r="E1023" t="s">
        <v>114</v>
      </c>
      <c r="F1023" t="str">
        <f>VLOOKUP($A1023,[1]Table!$A$2:$N1178,F$1,FALSE)</f>
        <v>MORFINESULFAAT 30 MG TABL MGA (RETARD)</v>
      </c>
      <c r="G1023" t="str">
        <f>VLOOKUP($A1023,[1]Table!$A$2:$N1178,G$1,FALSE)</f>
        <v>MORFINE 30MG TAB MGA (SULF)</v>
      </c>
      <c r="H1023" t="str">
        <f>VLOOKUP($A1023,[1]Table!$A$2:$N1178,H$1,FALSE)</f>
        <v>tablet met gereguleerde afgifte</v>
      </c>
      <c r="I1023" t="str">
        <f>VLOOKUP($A1023,[1]Table!$A$2:$N1178,I$1,FALSE)</f>
        <v>or</v>
      </c>
      <c r="J1023">
        <f>VLOOKUP($A1023,[1]Table!$A$2:$N1178,J$1,FALSE)</f>
        <v>30</v>
      </c>
      <c r="K1023" t="str">
        <f>VLOOKUP($A1023,[1]Table!$A$2:$N1178,K$1,FALSE)</f>
        <v>mg/stuk</v>
      </c>
      <c r="L1023">
        <f>VLOOKUP($A1023,[1]Table!$A$2:$N1178,L$1,FALSE)</f>
        <v>30</v>
      </c>
      <c r="M1023" t="str">
        <f>VLOOKUP($A1023,[1]Table!$A$2:$N1178,M$1,FALSE)</f>
        <v>mg</v>
      </c>
      <c r="N1023" t="str">
        <f>VLOOKUP($A1023,[1]Table!$A$2:$N1178,N$1,FALSE)</f>
        <v>Ernstige pijn||Ernstige pijn: toediening dmv PCA pomp||Ernstige post-operatieve pijn||Trauma||Chronische pijn</v>
      </c>
      <c r="O1023" t="str">
        <f>ConcatenateRange(AZ1023:BU1023,"||")</f>
        <v/>
      </c>
      <c r="AZ1023" t="str">
        <f t="shared" si="374"/>
        <v/>
      </c>
      <c r="BA1023" t="str">
        <f t="shared" si="375"/>
        <v/>
      </c>
      <c r="BB1023" t="str">
        <f t="shared" si="376"/>
        <v/>
      </c>
      <c r="BC1023" t="str">
        <f t="shared" si="377"/>
        <v/>
      </c>
      <c r="BD1023" t="str">
        <f t="shared" si="378"/>
        <v/>
      </c>
      <c r="BE1023" t="str">
        <f t="shared" si="379"/>
        <v/>
      </c>
      <c r="BF1023" t="str">
        <f t="shared" si="380"/>
        <v/>
      </c>
      <c r="BG1023" t="str">
        <f t="shared" si="381"/>
        <v/>
      </c>
      <c r="BH1023" t="str">
        <f t="shared" si="382"/>
        <v/>
      </c>
      <c r="BI1023" t="str">
        <f t="shared" si="383"/>
        <v/>
      </c>
      <c r="BJ1023" t="str">
        <f t="shared" si="384"/>
        <v/>
      </c>
      <c r="BK1023" t="str">
        <f t="shared" si="385"/>
        <v/>
      </c>
      <c r="BL1023" t="str">
        <f t="shared" si="386"/>
        <v/>
      </c>
      <c r="BM1023" t="str">
        <f t="shared" si="387"/>
        <v/>
      </c>
      <c r="BN1023" t="str">
        <f t="shared" si="388"/>
        <v/>
      </c>
      <c r="BO1023" t="str">
        <f t="shared" si="389"/>
        <v/>
      </c>
      <c r="BP1023" t="str">
        <f t="shared" si="390"/>
        <v/>
      </c>
      <c r="BQ1023" t="str">
        <f t="shared" si="391"/>
        <v/>
      </c>
      <c r="BR1023" t="str">
        <f t="shared" si="392"/>
        <v/>
      </c>
      <c r="BS1023" t="str">
        <f t="shared" si="393"/>
        <v/>
      </c>
      <c r="BT1023" t="str">
        <f t="shared" si="394"/>
        <v/>
      </c>
      <c r="BU1023" t="str">
        <f t="shared" si="395"/>
        <v/>
      </c>
    </row>
    <row r="1024" spans="1:73">
      <c r="A1024" s="1">
        <v>54992</v>
      </c>
      <c r="B1024" t="str">
        <f>VLOOKUP($A1024,[1]Table!$A$2:$N1179,B$1,FALSE)</f>
        <v>N02AA01</v>
      </c>
      <c r="C1024" t="str">
        <f>VLOOKUP($A1024,[1]Table!$A$2:$N1179,C$1,FALSE)</f>
        <v>ANALGETICA</v>
      </c>
      <c r="D1024" t="str">
        <f>VLOOKUP($A1024,[1]Table!$A$2:$N1179,D$1,FALSE)</f>
        <v>OPIOIDEN</v>
      </c>
      <c r="E1024" t="s">
        <v>114</v>
      </c>
      <c r="F1024" t="str">
        <f>VLOOKUP($A1024,[1]Table!$A$2:$N1179,F$1,FALSE)</f>
        <v>MORFINESULFAAT 60 MG TABL MGA (RETARD)</v>
      </c>
      <c r="G1024" t="str">
        <f>VLOOKUP($A1024,[1]Table!$A$2:$N1179,G$1,FALSE)</f>
        <v>MORFINE 60MG TAB MGA (SULF)</v>
      </c>
      <c r="H1024" t="str">
        <f>VLOOKUP($A1024,[1]Table!$A$2:$N1179,H$1,FALSE)</f>
        <v>tablet met gereguleerde afgifte</v>
      </c>
      <c r="I1024" t="str">
        <f>VLOOKUP($A1024,[1]Table!$A$2:$N1179,I$1,FALSE)</f>
        <v>or</v>
      </c>
      <c r="J1024">
        <f>VLOOKUP($A1024,[1]Table!$A$2:$N1179,J$1,FALSE)</f>
        <v>60</v>
      </c>
      <c r="K1024" t="str">
        <f>VLOOKUP($A1024,[1]Table!$A$2:$N1179,K$1,FALSE)</f>
        <v>mg/stuk</v>
      </c>
      <c r="L1024">
        <f>VLOOKUP($A1024,[1]Table!$A$2:$N1179,L$1,FALSE)</f>
        <v>60</v>
      </c>
      <c r="M1024" t="str">
        <f>VLOOKUP($A1024,[1]Table!$A$2:$N1179,M$1,FALSE)</f>
        <v>mg</v>
      </c>
      <c r="N1024" t="str">
        <f>VLOOKUP($A1024,[1]Table!$A$2:$N1179,N$1,FALSE)</f>
        <v>Ernstige pijn||Ernstige pijn: toediening dmv PCA pomp||Ernstige post-operatieve pijn||Trauma||Chronische pijn</v>
      </c>
      <c r="O1024" t="str">
        <f>ConcatenateRange(AZ1024:BU1024,"||")</f>
        <v/>
      </c>
      <c r="AZ1024" t="str">
        <f t="shared" si="374"/>
        <v/>
      </c>
      <c r="BA1024" t="str">
        <f t="shared" si="375"/>
        <v/>
      </c>
      <c r="BB1024" t="str">
        <f t="shared" si="376"/>
        <v/>
      </c>
      <c r="BC1024" t="str">
        <f t="shared" si="377"/>
        <v/>
      </c>
      <c r="BD1024" t="str">
        <f t="shared" si="378"/>
        <v/>
      </c>
      <c r="BE1024" t="str">
        <f t="shared" si="379"/>
        <v/>
      </c>
      <c r="BF1024" t="str">
        <f t="shared" si="380"/>
        <v/>
      </c>
      <c r="BG1024" t="str">
        <f t="shared" si="381"/>
        <v/>
      </c>
      <c r="BH1024" t="str">
        <f t="shared" si="382"/>
        <v/>
      </c>
      <c r="BI1024" t="str">
        <f t="shared" si="383"/>
        <v/>
      </c>
      <c r="BJ1024" t="str">
        <f t="shared" si="384"/>
        <v/>
      </c>
      <c r="BK1024" t="str">
        <f t="shared" si="385"/>
        <v/>
      </c>
      <c r="BL1024" t="str">
        <f t="shared" si="386"/>
        <v/>
      </c>
      <c r="BM1024" t="str">
        <f t="shared" si="387"/>
        <v/>
      </c>
      <c r="BN1024" t="str">
        <f t="shared" si="388"/>
        <v/>
      </c>
      <c r="BO1024" t="str">
        <f t="shared" si="389"/>
        <v/>
      </c>
      <c r="BP1024" t="str">
        <f t="shared" si="390"/>
        <v/>
      </c>
      <c r="BQ1024" t="str">
        <f t="shared" si="391"/>
        <v/>
      </c>
      <c r="BR1024" t="str">
        <f t="shared" si="392"/>
        <v/>
      </c>
      <c r="BS1024" t="str">
        <f t="shared" si="393"/>
        <v/>
      </c>
      <c r="BT1024" t="str">
        <f t="shared" si="394"/>
        <v/>
      </c>
      <c r="BU1024" t="str">
        <f t="shared" si="395"/>
        <v/>
      </c>
    </row>
    <row r="1025" spans="1:73">
      <c r="A1025" s="1">
        <v>55018</v>
      </c>
      <c r="B1025" t="str">
        <f>VLOOKUP($A1025,[1]Table!$A$2:$N1180,B$1,FALSE)</f>
        <v>N02AA01</v>
      </c>
      <c r="C1025" t="str">
        <f>VLOOKUP($A1025,[1]Table!$A$2:$N1180,C$1,FALSE)</f>
        <v>ANALGETICA</v>
      </c>
      <c r="D1025" t="str">
        <f>VLOOKUP($A1025,[1]Table!$A$2:$N1180,D$1,FALSE)</f>
        <v>OPIOIDEN</v>
      </c>
      <c r="E1025" t="s">
        <v>114</v>
      </c>
      <c r="F1025" t="str">
        <f>VLOOKUP($A1025,[1]Table!$A$2:$N1180,F$1,FALSE)</f>
        <v>MORFINESULFAAT 100 MG TABL MGA (RETARD)</v>
      </c>
      <c r="G1025" t="str">
        <f>VLOOKUP($A1025,[1]Table!$A$2:$N1180,G$1,FALSE)</f>
        <v>MORFINE 100MG TAB MGA (SUL)</v>
      </c>
      <c r="H1025" t="str">
        <f>VLOOKUP($A1025,[1]Table!$A$2:$N1180,H$1,FALSE)</f>
        <v>tablet met gereguleerde afgifte</v>
      </c>
      <c r="I1025" t="str">
        <f>VLOOKUP($A1025,[1]Table!$A$2:$N1180,I$1,FALSE)</f>
        <v>or</v>
      </c>
      <c r="J1025">
        <f>VLOOKUP($A1025,[1]Table!$A$2:$N1180,J$1,FALSE)</f>
        <v>100</v>
      </c>
      <c r="K1025" t="str">
        <f>VLOOKUP($A1025,[1]Table!$A$2:$N1180,K$1,FALSE)</f>
        <v>mg/stuk</v>
      </c>
      <c r="L1025">
        <f>VLOOKUP($A1025,[1]Table!$A$2:$N1180,L$1,FALSE)</f>
        <v>100</v>
      </c>
      <c r="M1025" t="str">
        <f>VLOOKUP($A1025,[1]Table!$A$2:$N1180,M$1,FALSE)</f>
        <v>mg</v>
      </c>
      <c r="N1025" t="str">
        <f>VLOOKUP($A1025,[1]Table!$A$2:$N1180,N$1,FALSE)</f>
        <v>Ernstige pijn||Ernstige pijn: toediening dmv PCA pomp||Ernstige post-operatieve pijn||Trauma||Chronische pijn</v>
      </c>
      <c r="O1025" t="str">
        <f>ConcatenateRange(AZ1025:BU1025,"||")</f>
        <v/>
      </c>
      <c r="AZ1025" t="str">
        <f t="shared" si="374"/>
        <v/>
      </c>
      <c r="BA1025" t="str">
        <f t="shared" si="375"/>
        <v/>
      </c>
      <c r="BB1025" t="str">
        <f t="shared" si="376"/>
        <v/>
      </c>
      <c r="BC1025" t="str">
        <f t="shared" si="377"/>
        <v/>
      </c>
      <c r="BD1025" t="str">
        <f t="shared" si="378"/>
        <v/>
      </c>
      <c r="BE1025" t="str">
        <f t="shared" si="379"/>
        <v/>
      </c>
      <c r="BF1025" t="str">
        <f t="shared" si="380"/>
        <v/>
      </c>
      <c r="BG1025" t="str">
        <f t="shared" si="381"/>
        <v/>
      </c>
      <c r="BH1025" t="str">
        <f t="shared" si="382"/>
        <v/>
      </c>
      <c r="BI1025" t="str">
        <f t="shared" si="383"/>
        <v/>
      </c>
      <c r="BJ1025" t="str">
        <f t="shared" si="384"/>
        <v/>
      </c>
      <c r="BK1025" t="str">
        <f t="shared" si="385"/>
        <v/>
      </c>
      <c r="BL1025" t="str">
        <f t="shared" si="386"/>
        <v/>
      </c>
      <c r="BM1025" t="str">
        <f t="shared" si="387"/>
        <v/>
      </c>
      <c r="BN1025" t="str">
        <f t="shared" si="388"/>
        <v/>
      </c>
      <c r="BO1025" t="str">
        <f t="shared" si="389"/>
        <v/>
      </c>
      <c r="BP1025" t="str">
        <f t="shared" si="390"/>
        <v/>
      </c>
      <c r="BQ1025" t="str">
        <f t="shared" si="391"/>
        <v/>
      </c>
      <c r="BR1025" t="str">
        <f t="shared" si="392"/>
        <v/>
      </c>
      <c r="BS1025" t="str">
        <f t="shared" si="393"/>
        <v/>
      </c>
      <c r="BT1025" t="str">
        <f t="shared" si="394"/>
        <v/>
      </c>
      <c r="BU1025" t="str">
        <f t="shared" si="395"/>
        <v/>
      </c>
    </row>
    <row r="1026" spans="1:73">
      <c r="A1026" s="1">
        <v>131857</v>
      </c>
      <c r="B1026" t="str">
        <f>VLOOKUP($A1026,[1]Table!$A$2:$N1181,B$1,FALSE)</f>
        <v>S01AE07</v>
      </c>
      <c r="C1026" t="str">
        <f>VLOOKUP($A1026,[1]Table!$A$2:$N1181,C$1,FALSE)</f>
        <v>MIDDELEN VOOR OOGHEELKUNDIG GEBRUIK</v>
      </c>
      <c r="D1026" t="str">
        <f>VLOOKUP($A1026,[1]Table!$A$2:$N1181,D$1,FALSE)</f>
        <v>ANTIMICROBIELE MIDDELEN</v>
      </c>
      <c r="E1026" t="str">
        <f>VLOOKUP($A1026,[1]Table!$A$2:$N1181,E$1,FALSE)</f>
        <v>MOXIFLOXACINE</v>
      </c>
      <c r="F1026" t="str">
        <f>VLOOKUP($A1026,[1]Table!$A$2:$N1181,F$1,FALSE)</f>
        <v>VIGAMOX 5 MG/ML OOGDRUPPELS FLACON 5ML</v>
      </c>
      <c r="G1026" t="str">
        <f>VLOOKUP($A1026,[1]Table!$A$2:$N1181,G$1,FALSE)</f>
        <v>MOXIFLOXACINE 5MG/ML OOGDRU</v>
      </c>
      <c r="H1026" t="str">
        <f>VLOOKUP($A1026,[1]Table!$A$2:$N1181,H$1,FALSE)</f>
        <v>oogdruppels</v>
      </c>
      <c r="I1026" t="str">
        <f>VLOOKUP($A1026,[1]Table!$A$2:$N1181,I$1,FALSE)</f>
        <v>oog</v>
      </c>
      <c r="J1026">
        <f>VLOOKUP($A1026,[1]Table!$A$2:$N1181,J$1,FALSE)</f>
        <v>5</v>
      </c>
      <c r="K1026" t="str">
        <f>VLOOKUP($A1026,[1]Table!$A$2:$N1181,K$1,FALSE)</f>
        <v>mg/ml</v>
      </c>
      <c r="L1026">
        <f>VLOOKUP($A1026,[1]Table!$A$2:$N1181,L$1,FALSE)</f>
        <v>5</v>
      </c>
      <c r="M1026" t="str">
        <f>VLOOKUP($A1026,[1]Table!$A$2:$N1181,M$1,FALSE)</f>
        <v>mg</v>
      </c>
      <c r="N1026" t="str">
        <f>VLOOKUP($A1026,[1]Table!$A$2:$N1181,N$1,FALSE)</f>
        <v>Bacteriele conjunctivitis</v>
      </c>
      <c r="O1026" t="str">
        <f>ConcatenateRange(AZ1026:BU1026,"||")</f>
        <v/>
      </c>
      <c r="AZ1026" t="str">
        <f t="shared" si="374"/>
        <v/>
      </c>
      <c r="BA1026" t="str">
        <f t="shared" si="375"/>
        <v/>
      </c>
      <c r="BB1026" t="str">
        <f t="shared" si="376"/>
        <v/>
      </c>
      <c r="BC1026" t="str">
        <f t="shared" si="377"/>
        <v/>
      </c>
      <c r="BD1026" t="str">
        <f t="shared" si="378"/>
        <v/>
      </c>
      <c r="BE1026" t="str">
        <f t="shared" si="379"/>
        <v/>
      </c>
      <c r="BF1026" t="str">
        <f t="shared" si="380"/>
        <v/>
      </c>
      <c r="BG1026" t="str">
        <f t="shared" si="381"/>
        <v/>
      </c>
      <c r="BH1026" t="str">
        <f t="shared" si="382"/>
        <v/>
      </c>
      <c r="BI1026" t="str">
        <f t="shared" si="383"/>
        <v/>
      </c>
      <c r="BJ1026" t="str">
        <f t="shared" si="384"/>
        <v/>
      </c>
      <c r="BK1026" t="str">
        <f t="shared" si="385"/>
        <v/>
      </c>
      <c r="BL1026" t="str">
        <f t="shared" si="386"/>
        <v/>
      </c>
      <c r="BM1026" t="str">
        <f t="shared" si="387"/>
        <v/>
      </c>
      <c r="BN1026" t="str">
        <f t="shared" si="388"/>
        <v/>
      </c>
      <c r="BO1026" t="str">
        <f t="shared" si="389"/>
        <v/>
      </c>
      <c r="BP1026" t="str">
        <f t="shared" si="390"/>
        <v/>
      </c>
      <c r="BQ1026" t="str">
        <f t="shared" si="391"/>
        <v/>
      </c>
      <c r="BR1026" t="str">
        <f t="shared" si="392"/>
        <v/>
      </c>
      <c r="BS1026" t="str">
        <f t="shared" si="393"/>
        <v/>
      </c>
      <c r="BT1026" t="str">
        <f t="shared" si="394"/>
        <v/>
      </c>
      <c r="BU1026" t="str">
        <f t="shared" si="395"/>
        <v/>
      </c>
    </row>
    <row r="1027" spans="1:73">
      <c r="A1027" s="1">
        <v>69280</v>
      </c>
      <c r="B1027" t="str">
        <f>VLOOKUP($A1027,[1]Table!$A$2:$N1182,B$1,FALSE)</f>
        <v>D06AX09</v>
      </c>
      <c r="C1027" t="str">
        <f>VLOOKUP($A1027,[1]Table!$A$2:$N1182,C$1,FALSE)</f>
        <v>ANTIMICROBIELE MIDDELEN VOOR DERMATOLOGISCH GEBRUIK</v>
      </c>
      <c r="D1027" t="str">
        <f>VLOOKUP($A1027,[1]Table!$A$2:$N1182,D$1,FALSE)</f>
        <v>ANTIBIOTICA, LOKALE</v>
      </c>
      <c r="E1027" t="str">
        <f>VLOOKUP($A1027,[1]Table!$A$2:$N1182,E$1,FALSE)</f>
        <v>MUPIROCINE</v>
      </c>
      <c r="F1027" t="str">
        <f>VLOOKUP($A1027,[1]Table!$A$2:$N1182,F$1,FALSE)</f>
        <v>BACTROBAN 20 MG/G HUIDZALF 15 GRAM</v>
      </c>
      <c r="G1027" t="str">
        <f>VLOOKUP($A1027,[1]Table!$A$2:$N1182,G$1,FALSE)</f>
        <v>MUPIROCINE 20MG/G ZALF</v>
      </c>
      <c r="H1027" t="str">
        <f>VLOOKUP($A1027,[1]Table!$A$2:$N1182,H$1,FALSE)</f>
        <v>zalf</v>
      </c>
      <c r="I1027" t="str">
        <f>VLOOKUP($A1027,[1]Table!$A$2:$N1182,I$1,FALSE)</f>
        <v>cutaan</v>
      </c>
      <c r="J1027">
        <f>VLOOKUP($A1027,[1]Table!$A$2:$N1182,J$1,FALSE)</f>
        <v>20</v>
      </c>
      <c r="K1027" t="str">
        <f>VLOOKUP($A1027,[1]Table!$A$2:$N1182,K$1,FALSE)</f>
        <v>mg/gr</v>
      </c>
      <c r="L1027">
        <f>VLOOKUP($A1027,[1]Table!$A$2:$N1182,L$1,FALSE)</f>
        <v>20</v>
      </c>
      <c r="M1027" t="str">
        <f>VLOOKUP($A1027,[1]Table!$A$2:$N1182,M$1,FALSE)</f>
        <v>mg</v>
      </c>
      <c r="N1027" t="str">
        <f>VLOOKUP($A1027,[1]Table!$A$2:$N1182,N$1,FALSE)</f>
        <v>Huidinfecties||Neusinfectie (waaronder MRSA)</v>
      </c>
      <c r="O1027" t="str">
        <f>ConcatenateRange(AZ1027:BU1027,"||")</f>
        <v/>
      </c>
      <c r="AZ1027" t="str">
        <f t="shared" si="374"/>
        <v/>
      </c>
      <c r="BA1027" t="str">
        <f t="shared" si="375"/>
        <v/>
      </c>
      <c r="BB1027" t="str">
        <f t="shared" si="376"/>
        <v/>
      </c>
      <c r="BC1027" t="str">
        <f t="shared" si="377"/>
        <v/>
      </c>
      <c r="BD1027" t="str">
        <f t="shared" si="378"/>
        <v/>
      </c>
      <c r="BE1027" t="str">
        <f t="shared" si="379"/>
        <v/>
      </c>
      <c r="BF1027" t="str">
        <f t="shared" si="380"/>
        <v/>
      </c>
      <c r="BG1027" t="str">
        <f t="shared" si="381"/>
        <v/>
      </c>
      <c r="BH1027" t="str">
        <f t="shared" si="382"/>
        <v/>
      </c>
      <c r="BI1027" t="str">
        <f t="shared" si="383"/>
        <v/>
      </c>
      <c r="BJ1027" t="str">
        <f t="shared" si="384"/>
        <v/>
      </c>
      <c r="BK1027" t="str">
        <f t="shared" si="385"/>
        <v/>
      </c>
      <c r="BL1027" t="str">
        <f t="shared" si="386"/>
        <v/>
      </c>
      <c r="BM1027" t="str">
        <f t="shared" si="387"/>
        <v/>
      </c>
      <c r="BN1027" t="str">
        <f t="shared" si="388"/>
        <v/>
      </c>
      <c r="BO1027" t="str">
        <f t="shared" si="389"/>
        <v/>
      </c>
      <c r="BP1027" t="str">
        <f t="shared" si="390"/>
        <v/>
      </c>
      <c r="BQ1027" t="str">
        <f t="shared" si="391"/>
        <v/>
      </c>
      <c r="BR1027" t="str">
        <f t="shared" si="392"/>
        <v/>
      </c>
      <c r="BS1027" t="str">
        <f t="shared" si="393"/>
        <v/>
      </c>
      <c r="BT1027" t="str">
        <f t="shared" si="394"/>
        <v/>
      </c>
      <c r="BU1027" t="str">
        <f t="shared" si="395"/>
        <v/>
      </c>
    </row>
    <row r="1028" spans="1:73">
      <c r="A1028" s="1">
        <v>101672</v>
      </c>
      <c r="B1028" t="str">
        <f>VLOOKUP($A1028,[1]Table!$A$2:$N1183,B$1,FALSE)</f>
        <v>L04AA06</v>
      </c>
      <c r="C1028" t="str">
        <f>VLOOKUP($A1028,[1]Table!$A$2:$N1183,C$1,FALSE)</f>
        <v>IMMUNOSUPPRESSIVA</v>
      </c>
      <c r="D1028" t="str">
        <f>VLOOKUP($A1028,[1]Table!$A$2:$N1183,D$1,FALSE)</f>
        <v>IMMUNOSUPPRESSIVA</v>
      </c>
      <c r="E1028" t="str">
        <f>VLOOKUP($A1028,[1]Table!$A$2:$N1183,E$1,FALSE)</f>
        <v>MYCOFENOLAAT MOFETIL</v>
      </c>
      <c r="F1028" t="str">
        <f>VLOOKUP($A1028,[1]Table!$A$2:$N1183,F$1,FALSE)</f>
        <v>CELLCEPT 250 MG CAPSULE</v>
      </c>
      <c r="G1028" t="str">
        <f>VLOOKUP($A1028,[1]Table!$A$2:$N1183,G$1,FALSE)</f>
        <v>MYCOFENOLAAT MOFE 250MG CAP</v>
      </c>
      <c r="H1028" t="str">
        <f>VLOOKUP($A1028,[1]Table!$A$2:$N1183,H$1,FALSE)</f>
        <v>capsule</v>
      </c>
      <c r="I1028" t="str">
        <f>VLOOKUP($A1028,[1]Table!$A$2:$N1183,I$1,FALSE)</f>
        <v>or</v>
      </c>
      <c r="J1028">
        <f>VLOOKUP($A1028,[1]Table!$A$2:$N1183,J$1,FALSE)</f>
        <v>250</v>
      </c>
      <c r="K1028" t="str">
        <f>VLOOKUP($A1028,[1]Table!$A$2:$N1183,K$1,FALSE)</f>
        <v>mg/stuk</v>
      </c>
      <c r="L1028">
        <f>VLOOKUP($A1028,[1]Table!$A$2:$N1183,L$1,FALSE)</f>
        <v>250</v>
      </c>
      <c r="M1028" t="str">
        <f>VLOOKUP($A1028,[1]Table!$A$2:$N1183,M$1,FALSE)</f>
        <v>mg</v>
      </c>
      <c r="N1028" t="str">
        <f>VLOOKUP($A1028,[1]Table!$A$2:$N1183,N$1,FALSE)</f>
        <v>Profylaxe afstoting niertransplantaat||Profylaxe transplantatieziekte na SCT</v>
      </c>
      <c r="O1028" t="str">
        <f>ConcatenateRange(AZ1028:BU1028,"||")</f>
        <v/>
      </c>
      <c r="AZ1028" t="str">
        <f t="shared" si="374"/>
        <v/>
      </c>
      <c r="BA1028" t="str">
        <f t="shared" si="375"/>
        <v/>
      </c>
      <c r="BB1028" t="str">
        <f t="shared" si="376"/>
        <v/>
      </c>
      <c r="BC1028" t="str">
        <f t="shared" si="377"/>
        <v/>
      </c>
      <c r="BD1028" t="str">
        <f t="shared" si="378"/>
        <v/>
      </c>
      <c r="BE1028" t="str">
        <f t="shared" si="379"/>
        <v/>
      </c>
      <c r="BF1028" t="str">
        <f t="shared" si="380"/>
        <v/>
      </c>
      <c r="BG1028" t="str">
        <f t="shared" si="381"/>
        <v/>
      </c>
      <c r="BH1028" t="str">
        <f t="shared" si="382"/>
        <v/>
      </c>
      <c r="BI1028" t="str">
        <f t="shared" si="383"/>
        <v/>
      </c>
      <c r="BJ1028" t="str">
        <f t="shared" si="384"/>
        <v/>
      </c>
      <c r="BK1028" t="str">
        <f t="shared" si="385"/>
        <v/>
      </c>
      <c r="BL1028" t="str">
        <f t="shared" si="386"/>
        <v/>
      </c>
      <c r="BM1028" t="str">
        <f t="shared" si="387"/>
        <v/>
      </c>
      <c r="BN1028" t="str">
        <f t="shared" si="388"/>
        <v/>
      </c>
      <c r="BO1028" t="str">
        <f t="shared" si="389"/>
        <v/>
      </c>
      <c r="BP1028" t="str">
        <f t="shared" si="390"/>
        <v/>
      </c>
      <c r="BQ1028" t="str">
        <f t="shared" si="391"/>
        <v/>
      </c>
      <c r="BR1028" t="str">
        <f t="shared" si="392"/>
        <v/>
      </c>
      <c r="BS1028" t="str">
        <f t="shared" si="393"/>
        <v/>
      </c>
      <c r="BT1028" t="str">
        <f t="shared" si="394"/>
        <v/>
      </c>
      <c r="BU1028" t="str">
        <f t="shared" si="395"/>
        <v/>
      </c>
    </row>
    <row r="1029" spans="1:73">
      <c r="A1029" s="1">
        <v>115401</v>
      </c>
      <c r="B1029" t="str">
        <f>VLOOKUP($A1029,[1]Table!$A$2:$N1186,B$1,FALSE)</f>
        <v>L04AA06</v>
      </c>
      <c r="C1029" t="str">
        <f>VLOOKUP($A1029,[1]Table!$A$2:$N1186,C$1,FALSE)</f>
        <v>IMMUNOSUPPRESSIVA</v>
      </c>
      <c r="D1029" t="str">
        <f>VLOOKUP($A1029,[1]Table!$A$2:$N1186,D$1,FALSE)</f>
        <v>IMMUNOSUPPRESSIVA</v>
      </c>
      <c r="E1029" t="str">
        <f>VLOOKUP($A1029,[1]Table!$A$2:$N1186,E$1,FALSE)</f>
        <v>MYCOFENOLAAT MOFETIL</v>
      </c>
      <c r="F1029" t="str">
        <f>VLOOKUP($A1029,[1]Table!$A$2:$N1186,F$1,FALSE)</f>
        <v>CELLCEPT 500MG POEDER VOOR INFUUS</v>
      </c>
      <c r="G1029" t="str">
        <f>VLOOKUP($A1029,[1]Table!$A$2:$N1186,G$1,FALSE)</f>
        <v>MYCOFENOLAAT MOFE 500MG INF</v>
      </c>
      <c r="H1029" t="str">
        <f>VLOOKUP($A1029,[1]Table!$A$2:$N1186,H$1,FALSE)</f>
        <v>poeder voor oplossing voor infusie</v>
      </c>
      <c r="I1029" t="str">
        <f>VLOOKUP($A1029,[1]Table!$A$2:$N1186,I$1,FALSE)</f>
        <v>iv</v>
      </c>
      <c r="J1029">
        <f>VLOOKUP($A1029,[1]Table!$A$2:$N1186,J$1,FALSE)</f>
        <v>542.053</v>
      </c>
      <c r="K1029" t="str">
        <f>VLOOKUP($A1029,[1]Table!$A$2:$N1186,K$1,FALSE)</f>
        <v>mg/stuk</v>
      </c>
      <c r="L1029">
        <f>VLOOKUP($A1029,[1]Table!$A$2:$N1186,L$1,FALSE)</f>
        <v>542.053</v>
      </c>
      <c r="M1029" t="str">
        <f>VLOOKUP($A1029,[1]Table!$A$2:$N1186,M$1,FALSE)</f>
        <v>mg</v>
      </c>
      <c r="N1029" t="str">
        <f>VLOOKUP($A1029,[1]Table!$A$2:$N1186,N$1,FALSE)</f>
        <v>Profylaxe afstoting niertransplantaat||Profylaxe transplantatieziekte na SCT</v>
      </c>
      <c r="O1029" t="str">
        <f>ConcatenateRange(AZ1029:BU1029,"||")</f>
        <v/>
      </c>
      <c r="AZ1029" t="str">
        <f t="shared" si="374"/>
        <v/>
      </c>
      <c r="BA1029" t="str">
        <f t="shared" si="375"/>
        <v/>
      </c>
      <c r="BB1029" t="str">
        <f t="shared" si="376"/>
        <v/>
      </c>
      <c r="BC1029" t="str">
        <f t="shared" si="377"/>
        <v/>
      </c>
      <c r="BD1029" t="str">
        <f t="shared" si="378"/>
        <v/>
      </c>
      <c r="BE1029" t="str">
        <f t="shared" si="379"/>
        <v/>
      </c>
      <c r="BF1029" t="str">
        <f t="shared" si="380"/>
        <v/>
      </c>
      <c r="BG1029" t="str">
        <f t="shared" si="381"/>
        <v/>
      </c>
      <c r="BH1029" t="str">
        <f t="shared" si="382"/>
        <v/>
      </c>
      <c r="BI1029" t="str">
        <f t="shared" si="383"/>
        <v/>
      </c>
      <c r="BJ1029" t="str">
        <f t="shared" si="384"/>
        <v/>
      </c>
      <c r="BK1029" t="str">
        <f t="shared" si="385"/>
        <v/>
      </c>
      <c r="BL1029" t="str">
        <f t="shared" si="386"/>
        <v/>
      </c>
      <c r="BM1029" t="str">
        <f t="shared" si="387"/>
        <v/>
      </c>
      <c r="BN1029" t="str">
        <f t="shared" si="388"/>
        <v/>
      </c>
      <c r="BO1029" t="str">
        <f t="shared" si="389"/>
        <v/>
      </c>
      <c r="BP1029" t="str">
        <f t="shared" si="390"/>
        <v/>
      </c>
      <c r="BQ1029" t="str">
        <f t="shared" si="391"/>
        <v/>
      </c>
      <c r="BR1029" t="str">
        <f t="shared" si="392"/>
        <v/>
      </c>
      <c r="BS1029" t="str">
        <f t="shared" si="393"/>
        <v/>
      </c>
      <c r="BT1029" t="str">
        <f t="shared" si="394"/>
        <v/>
      </c>
      <c r="BU1029" t="str">
        <f t="shared" si="395"/>
        <v/>
      </c>
    </row>
    <row r="1030" spans="1:73">
      <c r="A1030" s="1">
        <v>107018</v>
      </c>
      <c r="B1030" t="str">
        <f>VLOOKUP($A1030,[1]Table!$A$2:$N1184,B$1,FALSE)</f>
        <v>L04AA06</v>
      </c>
      <c r="C1030" t="str">
        <f>VLOOKUP($A1030,[1]Table!$A$2:$N1184,C$1,FALSE)</f>
        <v>IMMUNOSUPPRESSIVA</v>
      </c>
      <c r="D1030" t="str">
        <f>VLOOKUP($A1030,[1]Table!$A$2:$N1184,D$1,FALSE)</f>
        <v>IMMUNOSUPPRESSIVA</v>
      </c>
      <c r="E1030" t="str">
        <f>VLOOKUP($A1030,[1]Table!$A$2:$N1184,E$1,FALSE)</f>
        <v>MYCOFENOLAAT MOFETIL</v>
      </c>
      <c r="F1030" t="str">
        <f>VLOOKUP($A1030,[1]Table!$A$2:$N1184,F$1,FALSE)</f>
        <v>CELLCEPT 200 MG/ML SUSPENSIE</v>
      </c>
      <c r="G1030" t="str">
        <f>VLOOKUP($A1030,[1]Table!$A$2:$N1184,G$1,FALSE)</f>
        <v>MYCOFENOLAA MOF 200MG/ML SU</v>
      </c>
      <c r="H1030" t="str">
        <f>VLOOKUP($A1030,[1]Table!$A$2:$N1184,H$1,FALSE)</f>
        <v>suspensie voor oraal gebruik</v>
      </c>
      <c r="I1030" t="str">
        <f>VLOOKUP($A1030,[1]Table!$A$2:$N1184,I$1,FALSE)</f>
        <v>or</v>
      </c>
      <c r="J1030">
        <f>VLOOKUP($A1030,[1]Table!$A$2:$N1184,J$1,FALSE)</f>
        <v>200</v>
      </c>
      <c r="K1030" t="str">
        <f>VLOOKUP($A1030,[1]Table!$A$2:$N1184,K$1,FALSE)</f>
        <v>mg/ml</v>
      </c>
      <c r="L1030">
        <f>VLOOKUP($A1030,[1]Table!$A$2:$N1184,L$1,FALSE)</f>
        <v>200</v>
      </c>
      <c r="M1030" t="str">
        <f>VLOOKUP($A1030,[1]Table!$A$2:$N1184,M$1,FALSE)</f>
        <v>mg</v>
      </c>
      <c r="N1030" t="str">
        <f>VLOOKUP($A1030,[1]Table!$A$2:$N1184,N$1,FALSE)</f>
        <v>Profylaxe afstoting niertransplantaat||Profylaxe transplantatieziekte na SCT</v>
      </c>
      <c r="O1030" t="str">
        <f>ConcatenateRange(AZ1030:BU1030,"||")</f>
        <v/>
      </c>
      <c r="AZ1030" t="str">
        <f t="shared" si="374"/>
        <v/>
      </c>
      <c r="BA1030" t="str">
        <f t="shared" si="375"/>
        <v/>
      </c>
      <c r="BB1030" t="str">
        <f t="shared" si="376"/>
        <v/>
      </c>
      <c r="BC1030" t="str">
        <f t="shared" si="377"/>
        <v/>
      </c>
      <c r="BD1030" t="str">
        <f t="shared" si="378"/>
        <v/>
      </c>
      <c r="BE1030" t="str">
        <f t="shared" si="379"/>
        <v/>
      </c>
      <c r="BF1030" t="str">
        <f t="shared" si="380"/>
        <v/>
      </c>
      <c r="BG1030" t="str">
        <f t="shared" si="381"/>
        <v/>
      </c>
      <c r="BH1030" t="str">
        <f t="shared" si="382"/>
        <v/>
      </c>
      <c r="BI1030" t="str">
        <f t="shared" si="383"/>
        <v/>
      </c>
      <c r="BJ1030" t="str">
        <f t="shared" si="384"/>
        <v/>
      </c>
      <c r="BK1030" t="str">
        <f t="shared" si="385"/>
        <v/>
      </c>
      <c r="BL1030" t="str">
        <f t="shared" si="386"/>
        <v/>
      </c>
      <c r="BM1030" t="str">
        <f t="shared" si="387"/>
        <v/>
      </c>
      <c r="BN1030" t="str">
        <f t="shared" si="388"/>
        <v/>
      </c>
      <c r="BO1030" t="str">
        <f t="shared" si="389"/>
        <v/>
      </c>
      <c r="BP1030" t="str">
        <f t="shared" si="390"/>
        <v/>
      </c>
      <c r="BQ1030" t="str">
        <f t="shared" si="391"/>
        <v/>
      </c>
      <c r="BR1030" t="str">
        <f t="shared" si="392"/>
        <v/>
      </c>
      <c r="BS1030" t="str">
        <f t="shared" si="393"/>
        <v/>
      </c>
      <c r="BT1030" t="str">
        <f t="shared" si="394"/>
        <v/>
      </c>
      <c r="BU1030" t="str">
        <f t="shared" si="395"/>
        <v/>
      </c>
    </row>
    <row r="1031" spans="1:73">
      <c r="A1031" s="1">
        <v>101680</v>
      </c>
      <c r="B1031" t="str">
        <f>VLOOKUP($A1031,[1]Table!$A$2:$N1185,B$1,FALSE)</f>
        <v>L04AA06</v>
      </c>
      <c r="C1031" t="str">
        <f>VLOOKUP($A1031,[1]Table!$A$2:$N1185,C$1,FALSE)</f>
        <v>IMMUNOSUPPRESSIVA</v>
      </c>
      <c r="D1031" t="str">
        <f>VLOOKUP($A1031,[1]Table!$A$2:$N1185,D$1,FALSE)</f>
        <v>IMMUNOSUPPRESSIVA</v>
      </c>
      <c r="E1031" t="str">
        <f>VLOOKUP($A1031,[1]Table!$A$2:$N1185,E$1,FALSE)</f>
        <v>MYCOFENOLAAT MOFETIL</v>
      </c>
      <c r="F1031" t="str">
        <f>VLOOKUP($A1031,[1]Table!$A$2:$N1185,F$1,FALSE)</f>
        <v>CELLCEPT 500 MG TABLET</v>
      </c>
      <c r="G1031" t="str">
        <f>VLOOKUP($A1031,[1]Table!$A$2:$N1185,G$1,FALSE)</f>
        <v>MYCOFENOLAAT MOFE 500MG TAB</v>
      </c>
      <c r="H1031" t="str">
        <f>VLOOKUP($A1031,[1]Table!$A$2:$N1185,H$1,FALSE)</f>
        <v>tablet</v>
      </c>
      <c r="I1031" t="str">
        <f>VLOOKUP($A1031,[1]Table!$A$2:$N1185,I$1,FALSE)</f>
        <v>or</v>
      </c>
      <c r="J1031">
        <f>VLOOKUP($A1031,[1]Table!$A$2:$N1185,J$1,FALSE)</f>
        <v>500</v>
      </c>
      <c r="K1031" t="str">
        <f>VLOOKUP($A1031,[1]Table!$A$2:$N1185,K$1,FALSE)</f>
        <v>mg/stuk</v>
      </c>
      <c r="L1031">
        <f>VLOOKUP($A1031,[1]Table!$A$2:$N1185,L$1,FALSE)</f>
        <v>500</v>
      </c>
      <c r="M1031" t="str">
        <f>VLOOKUP($A1031,[1]Table!$A$2:$N1185,M$1,FALSE)</f>
        <v>mg</v>
      </c>
      <c r="N1031" t="str">
        <f>VLOOKUP($A1031,[1]Table!$A$2:$N1185,N$1,FALSE)</f>
        <v>Profylaxe afstoting niertransplantaat||Profylaxe transplantatieziekte na SCT</v>
      </c>
      <c r="O1031" t="str">
        <f>ConcatenateRange(AZ1031:BU1031,"||")</f>
        <v/>
      </c>
      <c r="AZ1031" t="str">
        <f t="shared" si="374"/>
        <v/>
      </c>
      <c r="BA1031" t="str">
        <f t="shared" si="375"/>
        <v/>
      </c>
      <c r="BB1031" t="str">
        <f t="shared" si="376"/>
        <v/>
      </c>
      <c r="BC1031" t="str">
        <f t="shared" si="377"/>
        <v/>
      </c>
      <c r="BD1031" t="str">
        <f t="shared" si="378"/>
        <v/>
      </c>
      <c r="BE1031" t="str">
        <f t="shared" si="379"/>
        <v/>
      </c>
      <c r="BF1031" t="str">
        <f t="shared" si="380"/>
        <v/>
      </c>
      <c r="BG1031" t="str">
        <f t="shared" si="381"/>
        <v/>
      </c>
      <c r="BH1031" t="str">
        <f t="shared" si="382"/>
        <v/>
      </c>
      <c r="BI1031" t="str">
        <f t="shared" si="383"/>
        <v/>
      </c>
      <c r="BJ1031" t="str">
        <f t="shared" si="384"/>
        <v/>
      </c>
      <c r="BK1031" t="str">
        <f t="shared" si="385"/>
        <v/>
      </c>
      <c r="BL1031" t="str">
        <f t="shared" si="386"/>
        <v/>
      </c>
      <c r="BM1031" t="str">
        <f t="shared" si="387"/>
        <v/>
      </c>
      <c r="BN1031" t="str">
        <f t="shared" si="388"/>
        <v/>
      </c>
      <c r="BO1031" t="str">
        <f t="shared" si="389"/>
        <v/>
      </c>
      <c r="BP1031" t="str">
        <f t="shared" si="390"/>
        <v/>
      </c>
      <c r="BQ1031" t="str">
        <f t="shared" si="391"/>
        <v/>
      </c>
      <c r="BR1031" t="str">
        <f t="shared" si="392"/>
        <v/>
      </c>
      <c r="BS1031" t="str">
        <f t="shared" si="393"/>
        <v/>
      </c>
      <c r="BT1031" t="str">
        <f t="shared" si="394"/>
        <v/>
      </c>
      <c r="BU1031" t="str">
        <f t="shared" si="395"/>
        <v/>
      </c>
    </row>
    <row r="1032" spans="1:73">
      <c r="A1032" s="1">
        <v>121665</v>
      </c>
      <c r="B1032" t="str">
        <f>VLOOKUP($A1032,[1]Table!$A$2:$N1187,B$1,FALSE)</f>
        <v>L04AA06</v>
      </c>
      <c r="C1032" t="str">
        <f>VLOOKUP($A1032,[1]Table!$A$2:$N1187,C$1,FALSE)</f>
        <v>IMMUNOSUPPRESSIVA</v>
      </c>
      <c r="D1032" t="str">
        <f>VLOOKUP($A1032,[1]Table!$A$2:$N1187,D$1,FALSE)</f>
        <v>IMMUNOSUPPRESSIVA</v>
      </c>
      <c r="E1032" t="str">
        <f>VLOOKUP($A1032,[1]Table!$A$2:$N1187,E$1,FALSE)</f>
        <v>MYCOFENOLZUUR</v>
      </c>
      <c r="F1032" t="str">
        <f>VLOOKUP($A1032,[1]Table!$A$2:$N1187,F$1,FALSE)</f>
        <v>MYFORTIC 180MG TABLET MSR OMHULD</v>
      </c>
      <c r="G1032" t="str">
        <f>VLOOKUP($A1032,[1]Table!$A$2:$N1187,G$1,FALSE)</f>
        <v>MYCOFENOLZUUR 180MG TABLET</v>
      </c>
      <c r="H1032" t="str">
        <f>VLOOKUP($A1032,[1]Table!$A$2:$N1187,H$1,FALSE)</f>
        <v>maagsapresistente tablet</v>
      </c>
      <c r="I1032" t="str">
        <f>VLOOKUP($A1032,[1]Table!$A$2:$N1187,I$1,FALSE)</f>
        <v>or</v>
      </c>
      <c r="J1032">
        <f>VLOOKUP($A1032,[1]Table!$A$2:$N1187,J$1,FALSE)</f>
        <v>192.351</v>
      </c>
      <c r="K1032" t="str">
        <f>VLOOKUP($A1032,[1]Table!$A$2:$N1187,K$1,FALSE)</f>
        <v>mg/stuk</v>
      </c>
      <c r="L1032">
        <f>VLOOKUP($A1032,[1]Table!$A$2:$N1187,L$1,FALSE)</f>
        <v>192.351</v>
      </c>
      <c r="M1032" t="str">
        <f>VLOOKUP($A1032,[1]Table!$A$2:$N1187,M$1,FALSE)</f>
        <v>mg</v>
      </c>
      <c r="N1032" t="str">
        <f>VLOOKUP($A1032,[1]Table!$A$2:$N1187,N$1,FALSE)</f>
        <v>Profylaxe afstoting niertransplantaat||Profylaxe transplantatieziekte na SCT</v>
      </c>
      <c r="O1032" t="str">
        <f>ConcatenateRange(AZ1032:BU1032,"||")</f>
        <v/>
      </c>
      <c r="AZ1032" t="str">
        <f t="shared" si="374"/>
        <v/>
      </c>
      <c r="BA1032" t="str">
        <f t="shared" si="375"/>
        <v/>
      </c>
      <c r="BB1032" t="str">
        <f t="shared" si="376"/>
        <v/>
      </c>
      <c r="BC1032" t="str">
        <f t="shared" si="377"/>
        <v/>
      </c>
      <c r="BD1032" t="str">
        <f t="shared" si="378"/>
        <v/>
      </c>
      <c r="BE1032" t="str">
        <f t="shared" si="379"/>
        <v/>
      </c>
      <c r="BF1032" t="str">
        <f t="shared" si="380"/>
        <v/>
      </c>
      <c r="BG1032" t="str">
        <f t="shared" si="381"/>
        <v/>
      </c>
      <c r="BH1032" t="str">
        <f t="shared" si="382"/>
        <v/>
      </c>
      <c r="BI1032" t="str">
        <f t="shared" si="383"/>
        <v/>
      </c>
      <c r="BJ1032" t="str">
        <f t="shared" si="384"/>
        <v/>
      </c>
      <c r="BK1032" t="str">
        <f t="shared" si="385"/>
        <v/>
      </c>
      <c r="BL1032" t="str">
        <f t="shared" si="386"/>
        <v/>
      </c>
      <c r="BM1032" t="str">
        <f t="shared" si="387"/>
        <v/>
      </c>
      <c r="BN1032" t="str">
        <f t="shared" si="388"/>
        <v/>
      </c>
      <c r="BO1032" t="str">
        <f t="shared" si="389"/>
        <v/>
      </c>
      <c r="BP1032" t="str">
        <f t="shared" si="390"/>
        <v/>
      </c>
      <c r="BQ1032" t="str">
        <f t="shared" si="391"/>
        <v/>
      </c>
      <c r="BR1032" t="str">
        <f t="shared" si="392"/>
        <v/>
      </c>
      <c r="BS1032" t="str">
        <f t="shared" si="393"/>
        <v/>
      </c>
      <c r="BT1032" t="str">
        <f t="shared" si="394"/>
        <v/>
      </c>
      <c r="BU1032" t="str">
        <f t="shared" si="395"/>
        <v/>
      </c>
    </row>
    <row r="1033" spans="1:73">
      <c r="A1033" s="1">
        <v>121673</v>
      </c>
      <c r="B1033" t="str">
        <f>VLOOKUP($A1033,[1]Table!$A$2:$N1188,B$1,FALSE)</f>
        <v>L04AA06</v>
      </c>
      <c r="C1033" t="str">
        <f>VLOOKUP($A1033,[1]Table!$A$2:$N1188,C$1,FALSE)</f>
        <v>IMMUNOSUPPRESSIVA</v>
      </c>
      <c r="D1033" t="str">
        <f>VLOOKUP($A1033,[1]Table!$A$2:$N1188,D$1,FALSE)</f>
        <v>IMMUNOSUPPRESSIVA</v>
      </c>
      <c r="E1033" t="str">
        <f>VLOOKUP($A1033,[1]Table!$A$2:$N1188,E$1,FALSE)</f>
        <v>MYCOFENOLZUUR</v>
      </c>
      <c r="F1033" t="str">
        <f>VLOOKUP($A1033,[1]Table!$A$2:$N1188,F$1,FALSE)</f>
        <v>MYFORTIC 360MG TABLET MSR OMHULD</v>
      </c>
      <c r="G1033" t="str">
        <f>VLOOKUP($A1033,[1]Table!$A$2:$N1188,G$1,FALSE)</f>
        <v>MYCOFENOLZUUR 360MG TABLET</v>
      </c>
      <c r="H1033" t="str">
        <f>VLOOKUP($A1033,[1]Table!$A$2:$N1188,H$1,FALSE)</f>
        <v>maagsapresistente tablet</v>
      </c>
      <c r="I1033" t="str">
        <f>VLOOKUP($A1033,[1]Table!$A$2:$N1188,I$1,FALSE)</f>
        <v>or</v>
      </c>
      <c r="J1033">
        <f>VLOOKUP($A1033,[1]Table!$A$2:$N1188,J$1,FALSE)</f>
        <v>384.70100000000002</v>
      </c>
      <c r="K1033" t="str">
        <f>VLOOKUP($A1033,[1]Table!$A$2:$N1188,K$1,FALSE)</f>
        <v>mg/stuk</v>
      </c>
      <c r="L1033">
        <f>VLOOKUP($A1033,[1]Table!$A$2:$N1188,L$1,FALSE)</f>
        <v>384.70100000000002</v>
      </c>
      <c r="M1033" t="str">
        <f>VLOOKUP($A1033,[1]Table!$A$2:$N1188,M$1,FALSE)</f>
        <v>mg</v>
      </c>
      <c r="N1033" t="str">
        <f>VLOOKUP($A1033,[1]Table!$A$2:$N1188,N$1,FALSE)</f>
        <v>Profylaxe afstoting niertransplantaat||Profylaxe transplantatieziekte na SCT</v>
      </c>
      <c r="O1033" t="str">
        <f>ConcatenateRange(AZ1033:BU1033,"||")</f>
        <v/>
      </c>
      <c r="AZ1033" t="str">
        <f t="shared" si="374"/>
        <v/>
      </c>
      <c r="BA1033" t="str">
        <f t="shared" si="375"/>
        <v/>
      </c>
      <c r="BB1033" t="str">
        <f t="shared" si="376"/>
        <v/>
      </c>
      <c r="BC1033" t="str">
        <f t="shared" si="377"/>
        <v/>
      </c>
      <c r="BD1033" t="str">
        <f t="shared" si="378"/>
        <v/>
      </c>
      <c r="BE1033" t="str">
        <f t="shared" si="379"/>
        <v/>
      </c>
      <c r="BF1033" t="str">
        <f t="shared" si="380"/>
        <v/>
      </c>
      <c r="BG1033" t="str">
        <f t="shared" si="381"/>
        <v/>
      </c>
      <c r="BH1033" t="str">
        <f t="shared" si="382"/>
        <v/>
      </c>
      <c r="BI1033" t="str">
        <f t="shared" si="383"/>
        <v/>
      </c>
      <c r="BJ1033" t="str">
        <f t="shared" si="384"/>
        <v/>
      </c>
      <c r="BK1033" t="str">
        <f t="shared" si="385"/>
        <v/>
      </c>
      <c r="BL1033" t="str">
        <f t="shared" si="386"/>
        <v/>
      </c>
      <c r="BM1033" t="str">
        <f t="shared" si="387"/>
        <v/>
      </c>
      <c r="BN1033" t="str">
        <f t="shared" si="388"/>
        <v/>
      </c>
      <c r="BO1033" t="str">
        <f t="shared" si="389"/>
        <v/>
      </c>
      <c r="BP1033" t="str">
        <f t="shared" si="390"/>
        <v/>
      </c>
      <c r="BQ1033" t="str">
        <f t="shared" si="391"/>
        <v/>
      </c>
      <c r="BR1033" t="str">
        <f t="shared" si="392"/>
        <v/>
      </c>
      <c r="BS1033" t="str">
        <f t="shared" si="393"/>
        <v/>
      </c>
      <c r="BT1033" t="str">
        <f t="shared" si="394"/>
        <v/>
      </c>
      <c r="BU1033" t="str">
        <f t="shared" si="395"/>
        <v/>
      </c>
    </row>
    <row r="1034" spans="1:73">
      <c r="A1034" s="1">
        <v>103136</v>
      </c>
      <c r="B1034" t="str">
        <f>VLOOKUP($A1034,[1]Table!$A$2:$N1189,B$1,FALSE)</f>
        <v>B01AB06</v>
      </c>
      <c r="C1034" t="str">
        <f>VLOOKUP($A1034,[1]Table!$A$2:$N1189,C$1,FALSE)</f>
        <v>ANTITHROMBOTICA</v>
      </c>
      <c r="D1034" t="str">
        <f>VLOOKUP($A1034,[1]Table!$A$2:$N1189,D$1,FALSE)</f>
        <v>ANTITHROMBOTICA</v>
      </c>
      <c r="E1034" t="str">
        <f>VLOOKUP($A1034,[1]Table!$A$2:$N1189,E$1,FALSE)</f>
        <v>NADROPARINE</v>
      </c>
      <c r="F1034" t="str">
        <f>VLOOKUP($A1034,[1]Table!$A$2:$N1189,F$1,FALSE)</f>
        <v>FRAXIPARINE 2850IE/0.3ML WEGWERPSPUIT</v>
      </c>
      <c r="G1034" t="str">
        <f>VLOOKUP($A1034,[1]Table!$A$2:$N1189,G$1,FALSE)</f>
        <v>NADROPARINE 9500IE/ML INJVL</v>
      </c>
      <c r="H1034" t="str">
        <f>VLOOKUP($A1034,[1]Table!$A$2:$N1189,H$1,FALSE)</f>
        <v>injectievloeistof</v>
      </c>
      <c r="I1034" t="str">
        <f>VLOOKUP($A1034,[1]Table!$A$2:$N1189,I$1,FALSE)</f>
        <v>sc</v>
      </c>
      <c r="J1034">
        <f>VLOOKUP($A1034,[1]Table!$A$2:$N1189,J$1,FALSE)</f>
        <v>9500</v>
      </c>
      <c r="K1034" t="str">
        <f>VLOOKUP($A1034,[1]Table!$A$2:$N1189,K$1,FALSE)</f>
        <v>IE/ml</v>
      </c>
      <c r="L1034">
        <f>VLOOKUP($A1034,[1]Table!$A$2:$N1189,L$1,FALSE)</f>
        <v>9500</v>
      </c>
      <c r="M1034" t="str">
        <f>VLOOKUP($A1034,[1]Table!$A$2:$N1189,M$1,FALSE)</f>
        <v>IE</v>
      </c>
      <c r="N1034" t="str">
        <f>VLOOKUP($A1034,[1]Table!$A$2:$N1189,N$1,FALSE)</f>
        <v>Profylaxe trombo-embolische complicaties||Diep veneuze trombose</v>
      </c>
      <c r="O1034" t="str">
        <f>ConcatenateRange(AZ1034:BU1034,"||")</f>
        <v/>
      </c>
      <c r="AZ1034" t="str">
        <f t="shared" si="374"/>
        <v/>
      </c>
      <c r="BA1034" t="str">
        <f t="shared" si="375"/>
        <v/>
      </c>
      <c r="BB1034" t="str">
        <f t="shared" si="376"/>
        <v/>
      </c>
      <c r="BC1034" t="str">
        <f t="shared" si="377"/>
        <v/>
      </c>
      <c r="BD1034" t="str">
        <f t="shared" si="378"/>
        <v/>
      </c>
      <c r="BE1034" t="str">
        <f t="shared" si="379"/>
        <v/>
      </c>
      <c r="BF1034" t="str">
        <f t="shared" si="380"/>
        <v/>
      </c>
      <c r="BG1034" t="str">
        <f t="shared" si="381"/>
        <v/>
      </c>
      <c r="BH1034" t="str">
        <f t="shared" si="382"/>
        <v/>
      </c>
      <c r="BI1034" t="str">
        <f t="shared" si="383"/>
        <v/>
      </c>
      <c r="BJ1034" t="str">
        <f t="shared" si="384"/>
        <v/>
      </c>
      <c r="BK1034" t="str">
        <f t="shared" si="385"/>
        <v/>
      </c>
      <c r="BL1034" t="str">
        <f t="shared" si="386"/>
        <v/>
      </c>
      <c r="BM1034" t="str">
        <f t="shared" si="387"/>
        <v/>
      </c>
      <c r="BN1034" t="str">
        <f t="shared" si="388"/>
        <v/>
      </c>
      <c r="BO1034" t="str">
        <f t="shared" si="389"/>
        <v/>
      </c>
      <c r="BP1034" t="str">
        <f t="shared" si="390"/>
        <v/>
      </c>
      <c r="BQ1034" t="str">
        <f t="shared" si="391"/>
        <v/>
      </c>
      <c r="BR1034" t="str">
        <f t="shared" si="392"/>
        <v/>
      </c>
      <c r="BS1034" t="str">
        <f t="shared" si="393"/>
        <v/>
      </c>
      <c r="BT1034" t="str">
        <f t="shared" si="394"/>
        <v/>
      </c>
      <c r="BU1034" t="str">
        <f t="shared" si="395"/>
        <v/>
      </c>
    </row>
    <row r="1035" spans="1:73">
      <c r="A1035" s="1">
        <v>108278</v>
      </c>
      <c r="B1035" t="str">
        <f>VLOOKUP($A1035,[1]Table!$A$2:$N1190,B$1,FALSE)</f>
        <v>B01AB06</v>
      </c>
      <c r="C1035" t="str">
        <f>VLOOKUP($A1035,[1]Table!$A$2:$N1190,C$1,FALSE)</f>
        <v>ANTITHROMBOTICA</v>
      </c>
      <c r="D1035" t="str">
        <f>VLOOKUP($A1035,[1]Table!$A$2:$N1190,D$1,FALSE)</f>
        <v>ANTITHROMBOTICA</v>
      </c>
      <c r="E1035" t="str">
        <f>VLOOKUP($A1035,[1]Table!$A$2:$N1190,E$1,FALSE)</f>
        <v>NADROPARINE</v>
      </c>
      <c r="F1035" t="str">
        <f>VLOOKUP($A1035,[1]Table!$A$2:$N1190,F$1,FALSE)</f>
        <v>FRAXODI 11400 IE/0,6 ML WEGWERPSPUIT</v>
      </c>
      <c r="G1035" t="str">
        <f>VLOOKUP($A1035,[1]Table!$A$2:$N1190,G$1,FALSE)</f>
        <v>NADROPARINE 19000IE/ML INJV</v>
      </c>
      <c r="H1035" t="str">
        <f>VLOOKUP($A1035,[1]Table!$A$2:$N1190,H$1,FALSE)</f>
        <v>injectievloeistof</v>
      </c>
      <c r="I1035" t="str">
        <f>VLOOKUP($A1035,[1]Table!$A$2:$N1190,I$1,FALSE)</f>
        <v>sc</v>
      </c>
      <c r="J1035">
        <f>VLOOKUP($A1035,[1]Table!$A$2:$N1190,J$1,FALSE)</f>
        <v>19000</v>
      </c>
      <c r="K1035" t="str">
        <f>VLOOKUP($A1035,[1]Table!$A$2:$N1190,K$1,FALSE)</f>
        <v>IE/ml</v>
      </c>
      <c r="L1035">
        <f>VLOOKUP($A1035,[1]Table!$A$2:$N1190,L$1,FALSE)</f>
        <v>19000</v>
      </c>
      <c r="M1035" t="str">
        <f>VLOOKUP($A1035,[1]Table!$A$2:$N1190,M$1,FALSE)</f>
        <v>IE</v>
      </c>
      <c r="N1035" t="str">
        <f>VLOOKUP($A1035,[1]Table!$A$2:$N1190,N$1,FALSE)</f>
        <v>Profylaxe trombo-embolische complicaties||Diep veneuze trombose</v>
      </c>
      <c r="O1035" t="str">
        <f>ConcatenateRange(AZ1035:BU1035,"||")</f>
        <v/>
      </c>
      <c r="AZ1035" t="str">
        <f t="shared" si="374"/>
        <v/>
      </c>
      <c r="BA1035" t="str">
        <f t="shared" si="375"/>
        <v/>
      </c>
      <c r="BB1035" t="str">
        <f t="shared" si="376"/>
        <v/>
      </c>
      <c r="BC1035" t="str">
        <f t="shared" si="377"/>
        <v/>
      </c>
      <c r="BD1035" t="str">
        <f t="shared" si="378"/>
        <v/>
      </c>
      <c r="BE1035" t="str">
        <f t="shared" si="379"/>
        <v/>
      </c>
      <c r="BF1035" t="str">
        <f t="shared" si="380"/>
        <v/>
      </c>
      <c r="BG1035" t="str">
        <f t="shared" si="381"/>
        <v/>
      </c>
      <c r="BH1035" t="str">
        <f t="shared" si="382"/>
        <v/>
      </c>
      <c r="BI1035" t="str">
        <f t="shared" si="383"/>
        <v/>
      </c>
      <c r="BJ1035" t="str">
        <f t="shared" si="384"/>
        <v/>
      </c>
      <c r="BK1035" t="str">
        <f t="shared" si="385"/>
        <v/>
      </c>
      <c r="BL1035" t="str">
        <f t="shared" si="386"/>
        <v/>
      </c>
      <c r="BM1035" t="str">
        <f t="shared" si="387"/>
        <v/>
      </c>
      <c r="BN1035" t="str">
        <f t="shared" si="388"/>
        <v/>
      </c>
      <c r="BO1035" t="str">
        <f t="shared" si="389"/>
        <v/>
      </c>
      <c r="BP1035" t="str">
        <f t="shared" si="390"/>
        <v/>
      </c>
      <c r="BQ1035" t="str">
        <f t="shared" si="391"/>
        <v/>
      </c>
      <c r="BR1035" t="str">
        <f t="shared" si="392"/>
        <v/>
      </c>
      <c r="BS1035" t="str">
        <f t="shared" si="393"/>
        <v/>
      </c>
      <c r="BT1035" t="str">
        <f t="shared" si="394"/>
        <v/>
      </c>
      <c r="BU1035" t="str">
        <f t="shared" si="395"/>
        <v/>
      </c>
    </row>
    <row r="1036" spans="1:73">
      <c r="A1036" s="1">
        <v>89516</v>
      </c>
      <c r="B1036" t="str">
        <f>VLOOKUP($A1036,[1]Table!$A$2:$N1191,B$1,FALSE)</f>
        <v>V03AB15</v>
      </c>
      <c r="C1036" t="str">
        <f>VLOOKUP($A1036,[1]Table!$A$2:$N1191,C$1,FALSE)</f>
        <v>ALLE OVERIGE THERAPEUTISCHE MIDDELEN</v>
      </c>
      <c r="D1036" t="str">
        <f>VLOOKUP($A1036,[1]Table!$A$2:$N1191,D$1,FALSE)</f>
        <v>ALLE OVERIGE THERAPEUTISCHE MIDDELEN</v>
      </c>
      <c r="E1036" t="str">
        <f>VLOOKUP($A1036,[1]Table!$A$2:$N1191,E$1,FALSE)</f>
        <v>NALOXON</v>
      </c>
      <c r="F1036" t="str">
        <f>VLOOKUP($A1036,[1]Table!$A$2:$N1191,F$1,FALSE)</f>
        <v>NALOXON 0,4 MG/ML INJVLST AMPUL 1 ML</v>
      </c>
      <c r="G1036" t="str">
        <f>VLOOKUP($A1036,[1]Table!$A$2:$N1191,G$1,FALSE)</f>
        <v>NALOXON 0,4MG/ML INJVLST</v>
      </c>
      <c r="H1036" t="str">
        <f>VLOOKUP($A1036,[1]Table!$A$2:$N1191,H$1,FALSE)</f>
        <v>injectievloeistof</v>
      </c>
      <c r="I1036" t="str">
        <f>VLOOKUP($A1036,[1]Table!$A$2:$N1191,I$1,FALSE)</f>
        <v>im||iv||sc</v>
      </c>
      <c r="J1036">
        <f>VLOOKUP($A1036,[1]Table!$A$2:$N1191,J$1,FALSE)</f>
        <v>0.4</v>
      </c>
      <c r="K1036" t="str">
        <f>VLOOKUP($A1036,[1]Table!$A$2:$N1191,K$1,FALSE)</f>
        <v>mg/ml</v>
      </c>
      <c r="L1036">
        <f>VLOOKUP($A1036,[1]Table!$A$2:$N1191,L$1,FALSE)</f>
        <v>0.4</v>
      </c>
      <c r="M1036" t="str">
        <f>VLOOKUP($A1036,[1]Table!$A$2:$N1191,M$1,FALSE)</f>
        <v>mg</v>
      </c>
      <c r="N1036" t="str">
        <f>VLOOKUP($A1036,[1]Table!$A$2:$N1191,N$1,FALSE)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36" t="str">
        <f>ConcatenateRange(AZ1036:BU1036,"||")</f>
        <v/>
      </c>
      <c r="AZ1036" t="str">
        <f t="shared" si="374"/>
        <v/>
      </c>
      <c r="BA1036" t="str">
        <f t="shared" si="375"/>
        <v/>
      </c>
      <c r="BB1036" t="str">
        <f t="shared" si="376"/>
        <v/>
      </c>
      <c r="BC1036" t="str">
        <f t="shared" si="377"/>
        <v/>
      </c>
      <c r="BD1036" t="str">
        <f t="shared" si="378"/>
        <v/>
      </c>
      <c r="BE1036" t="str">
        <f t="shared" si="379"/>
        <v/>
      </c>
      <c r="BF1036" t="str">
        <f t="shared" si="380"/>
        <v/>
      </c>
      <c r="BG1036" t="str">
        <f t="shared" si="381"/>
        <v/>
      </c>
      <c r="BH1036" t="str">
        <f t="shared" si="382"/>
        <v/>
      </c>
      <c r="BI1036" t="str">
        <f t="shared" si="383"/>
        <v/>
      </c>
      <c r="BJ1036" t="str">
        <f t="shared" si="384"/>
        <v/>
      </c>
      <c r="BK1036" t="str">
        <f t="shared" si="385"/>
        <v/>
      </c>
      <c r="BL1036" t="str">
        <f t="shared" si="386"/>
        <v/>
      </c>
      <c r="BM1036" t="str">
        <f t="shared" si="387"/>
        <v/>
      </c>
      <c r="BN1036" t="str">
        <f t="shared" si="388"/>
        <v/>
      </c>
      <c r="BO1036" t="str">
        <f t="shared" si="389"/>
        <v/>
      </c>
      <c r="BP1036" t="str">
        <f t="shared" si="390"/>
        <v/>
      </c>
      <c r="BQ1036" t="str">
        <f t="shared" si="391"/>
        <v/>
      </c>
      <c r="BR1036" t="str">
        <f t="shared" si="392"/>
        <v/>
      </c>
      <c r="BS1036" t="str">
        <f t="shared" si="393"/>
        <v/>
      </c>
      <c r="BT1036" t="str">
        <f t="shared" si="394"/>
        <v/>
      </c>
      <c r="BU1036" t="str">
        <f t="shared" si="395"/>
        <v/>
      </c>
    </row>
    <row r="1037" spans="1:73">
      <c r="A1037" s="1">
        <v>17922</v>
      </c>
      <c r="B1037" t="str">
        <f>VLOOKUP($A1037,[1]Table!$A$2:$N1191,B$1,FALSE)</f>
        <v>M01AE02</v>
      </c>
      <c r="C1037" t="str">
        <f>VLOOKUP($A1037,[1]Table!$A$2:$N1191,C$1,FALSE)</f>
        <v>ANTI-INFLAMMATOIRE EN ANTIREUMATISCHE MIDDELEN</v>
      </c>
      <c r="D1037" t="str">
        <f>VLOOKUP($A1037,[1]Table!$A$2:$N1191,D$1,FALSE)</f>
        <v>NIET-STEROIDE ANTI-INFLAMMATOIRE EN ANTIREUMATISCHE MIDD.</v>
      </c>
      <c r="E1037" t="str">
        <f>VLOOKUP($A1037,[1]Table!$A$2:$N1191,E$1,FALSE)</f>
        <v>NAPROXEN</v>
      </c>
      <c r="F1037" t="str">
        <f>VLOOKUP($A1037,[1]Table!$A$2:$N1191,F$1,FALSE)</f>
        <v>NAPROXEN 250 MG TABLET</v>
      </c>
      <c r="G1037" t="str">
        <f>VLOOKUP($A1037,[1]Table!$A$2:$N1191,G$1,FALSE)</f>
        <v>NAPROXEN 250MG TABLET</v>
      </c>
      <c r="H1037" t="str">
        <f>VLOOKUP($A1037,[1]Table!$A$2:$N1191,H$1,FALSE)</f>
        <v>tablet</v>
      </c>
      <c r="I1037" t="str">
        <f>VLOOKUP($A1037,[1]Table!$A$2:$N1191,I$1,FALSE)</f>
        <v>or</v>
      </c>
      <c r="J1037">
        <f>VLOOKUP($A1037,[1]Table!$A$2:$N1191,J$1,FALSE)</f>
        <v>250</v>
      </c>
      <c r="K1037" t="str">
        <f>VLOOKUP($A1037,[1]Table!$A$2:$N1191,K$1,FALSE)</f>
        <v>mg/stuk</v>
      </c>
      <c r="L1037">
        <f>VLOOKUP($A1037,[1]Table!$A$2:$N1191,L$1,FALSE)</f>
        <v>125</v>
      </c>
      <c r="M1037" t="str">
        <f>VLOOKUP($A1037,[1]Table!$A$2:$N1191,M$1,FALSE)</f>
        <v>mg</v>
      </c>
      <c r="N1037" t="str">
        <f>VLOOKUP($A1037,[1]Table!$A$2:$N1191,N$1,FALSE)</f>
        <v>Juveniele Idiopathische Arthritis (JIA); pijn</v>
      </c>
      <c r="O1037" t="str">
        <f>ConcatenateRange(AZ1037:BU1037,"||")</f>
        <v/>
      </c>
      <c r="AZ1037" t="str">
        <f t="shared" si="374"/>
        <v/>
      </c>
      <c r="BA1037" t="str">
        <f t="shared" si="375"/>
        <v/>
      </c>
      <c r="BB1037" t="str">
        <f t="shared" si="376"/>
        <v/>
      </c>
      <c r="BC1037" t="str">
        <f t="shared" si="377"/>
        <v/>
      </c>
      <c r="BD1037" t="str">
        <f t="shared" si="378"/>
        <v/>
      </c>
      <c r="BE1037" t="str">
        <f t="shared" si="379"/>
        <v/>
      </c>
      <c r="BF1037" t="str">
        <f t="shared" si="380"/>
        <v/>
      </c>
      <c r="BG1037" t="str">
        <f t="shared" si="381"/>
        <v/>
      </c>
      <c r="BH1037" t="str">
        <f t="shared" si="382"/>
        <v/>
      </c>
      <c r="BI1037" t="str">
        <f t="shared" si="383"/>
        <v/>
      </c>
      <c r="BJ1037" t="str">
        <f t="shared" si="384"/>
        <v/>
      </c>
      <c r="BK1037" t="str">
        <f t="shared" si="385"/>
        <v/>
      </c>
      <c r="BL1037" t="str">
        <f t="shared" si="386"/>
        <v/>
      </c>
      <c r="BM1037" t="str">
        <f t="shared" si="387"/>
        <v/>
      </c>
      <c r="BN1037" t="str">
        <f t="shared" si="388"/>
        <v/>
      </c>
      <c r="BO1037" t="str">
        <f t="shared" si="389"/>
        <v/>
      </c>
      <c r="BP1037" t="str">
        <f t="shared" si="390"/>
        <v/>
      </c>
      <c r="BQ1037" t="str">
        <f t="shared" si="391"/>
        <v/>
      </c>
      <c r="BR1037" t="str">
        <f t="shared" si="392"/>
        <v/>
      </c>
      <c r="BS1037" t="str">
        <f t="shared" si="393"/>
        <v/>
      </c>
      <c r="BT1037" t="str">
        <f t="shared" si="394"/>
        <v/>
      </c>
      <c r="BU1037" t="str">
        <f t="shared" si="395"/>
        <v/>
      </c>
    </row>
    <row r="1038" spans="1:73">
      <c r="A1038" s="1">
        <v>51233</v>
      </c>
      <c r="B1038" t="str">
        <f>VLOOKUP($A1038,[1]Table!$A$2:$N1192,B$1,FALSE)</f>
        <v>M01AE02</v>
      </c>
      <c r="C1038" t="str">
        <f>VLOOKUP($A1038,[1]Table!$A$2:$N1192,C$1,FALSE)</f>
        <v>ANTI-INFLAMMATOIRE EN ANTIREUMATISCHE MIDDELEN</v>
      </c>
      <c r="D1038" t="str">
        <f>VLOOKUP($A1038,[1]Table!$A$2:$N1192,D$1,FALSE)</f>
        <v>NIET-STEROIDE ANTI-INFLAMMATOIRE EN ANTIREUMATISCHE MIDD.</v>
      </c>
      <c r="E1038" t="str">
        <f>VLOOKUP($A1038,[1]Table!$A$2:$N1192,E$1,FALSE)</f>
        <v>NAPROXEN</v>
      </c>
      <c r="F1038" t="str">
        <f>VLOOKUP($A1038,[1]Table!$A$2:$N1192,F$1,FALSE)</f>
        <v>NAPROXEN 500 MG TABLET</v>
      </c>
      <c r="G1038" t="str">
        <f>VLOOKUP($A1038,[1]Table!$A$2:$N1192,G$1,FALSE)</f>
        <v>NAPROXEN 500MG TABLET</v>
      </c>
      <c r="H1038" t="str">
        <f>VLOOKUP($A1038,[1]Table!$A$2:$N1192,H$1,FALSE)</f>
        <v>tablet</v>
      </c>
      <c r="I1038" t="str">
        <f>VLOOKUP($A1038,[1]Table!$A$2:$N1192,I$1,FALSE)</f>
        <v>or</v>
      </c>
      <c r="J1038">
        <f>VLOOKUP($A1038,[1]Table!$A$2:$N1192,J$1,FALSE)</f>
        <v>500</v>
      </c>
      <c r="K1038" t="str">
        <f>VLOOKUP($A1038,[1]Table!$A$2:$N1192,K$1,FALSE)</f>
        <v>mg/stuk</v>
      </c>
      <c r="L1038">
        <f>VLOOKUP($A1038,[1]Table!$A$2:$N1192,L$1,FALSE)</f>
        <v>250</v>
      </c>
      <c r="M1038" t="str">
        <f>VLOOKUP($A1038,[1]Table!$A$2:$N1192,M$1,FALSE)</f>
        <v>mg</v>
      </c>
      <c r="N1038" t="str">
        <f>VLOOKUP($A1038,[1]Table!$A$2:$N1192,N$1,FALSE)</f>
        <v>Juveniele Idiopathische Arthritis (JIA); pijn</v>
      </c>
      <c r="O1038" t="str">
        <f>ConcatenateRange(AZ1038:BU1038,"||")</f>
        <v/>
      </c>
      <c r="AZ1038" t="str">
        <f t="shared" si="374"/>
        <v/>
      </c>
      <c r="BA1038" t="str">
        <f t="shared" si="375"/>
        <v/>
      </c>
      <c r="BB1038" t="str">
        <f t="shared" si="376"/>
        <v/>
      </c>
      <c r="BC1038" t="str">
        <f t="shared" si="377"/>
        <v/>
      </c>
      <c r="BD1038" t="str">
        <f t="shared" si="378"/>
        <v/>
      </c>
      <c r="BE1038" t="str">
        <f t="shared" si="379"/>
        <v/>
      </c>
      <c r="BF1038" t="str">
        <f t="shared" si="380"/>
        <v/>
      </c>
      <c r="BG1038" t="str">
        <f t="shared" si="381"/>
        <v/>
      </c>
      <c r="BH1038" t="str">
        <f t="shared" si="382"/>
        <v/>
      </c>
      <c r="BI1038" t="str">
        <f t="shared" si="383"/>
        <v/>
      </c>
      <c r="BJ1038" t="str">
        <f t="shared" si="384"/>
        <v/>
      </c>
      <c r="BK1038" t="str">
        <f t="shared" si="385"/>
        <v/>
      </c>
      <c r="BL1038" t="str">
        <f t="shared" si="386"/>
        <v/>
      </c>
      <c r="BM1038" t="str">
        <f t="shared" si="387"/>
        <v/>
      </c>
      <c r="BN1038" t="str">
        <f t="shared" si="388"/>
        <v/>
      </c>
      <c r="BO1038" t="str">
        <f t="shared" si="389"/>
        <v/>
      </c>
      <c r="BP1038" t="str">
        <f t="shared" si="390"/>
        <v/>
      </c>
      <c r="BQ1038" t="str">
        <f t="shared" si="391"/>
        <v/>
      </c>
      <c r="BR1038" t="str">
        <f t="shared" si="392"/>
        <v/>
      </c>
      <c r="BS1038" t="str">
        <f t="shared" si="393"/>
        <v/>
      </c>
      <c r="BT1038" t="str">
        <f t="shared" si="394"/>
        <v/>
      </c>
      <c r="BU1038" t="str">
        <f t="shared" si="395"/>
        <v/>
      </c>
    </row>
    <row r="1039" spans="1:73">
      <c r="A1039" s="1">
        <v>10391</v>
      </c>
      <c r="B1039" t="str">
        <f>VLOOKUP($A1039,[1]Table!$A$2:$N1193,B$1,FALSE)</f>
        <v>M01AE02</v>
      </c>
      <c r="C1039" t="str">
        <f>VLOOKUP($A1039,[1]Table!$A$2:$N1193,C$1,FALSE)</f>
        <v>ANTI-INFLAMMATOIRE EN ANTIREUMATISCHE MIDDELEN</v>
      </c>
      <c r="D1039" t="str">
        <f>VLOOKUP($A1039,[1]Table!$A$2:$N1193,D$1,FALSE)</f>
        <v>NIET-STEROIDE ANTI-INFLAMMATOIRE EN ANTIREUMATISCHE MIDD.</v>
      </c>
      <c r="E1039" t="str">
        <f>VLOOKUP($A1039,[1]Table!$A$2:$N1193,E$1,FALSE)</f>
        <v>NAPROXEN</v>
      </c>
      <c r="F1039" t="str">
        <f>VLOOKUP($A1039,[1]Table!$A$2:$N1193,F$1,FALSE)</f>
        <v>NAPROXEN 500 MG ZETPIL</v>
      </c>
      <c r="G1039" t="str">
        <f>VLOOKUP($A1039,[1]Table!$A$2:$N1193,G$1,FALSE)</f>
        <v>NAPROXEN 500MG ZETPIL</v>
      </c>
      <c r="H1039" t="str">
        <f>VLOOKUP($A1039,[1]Table!$A$2:$N1193,H$1,FALSE)</f>
        <v>zetpil</v>
      </c>
      <c r="I1039" t="str">
        <f>VLOOKUP($A1039,[1]Table!$A$2:$N1193,I$1,FALSE)</f>
        <v>rect</v>
      </c>
      <c r="J1039">
        <f>VLOOKUP($A1039,[1]Table!$A$2:$N1193,J$1,FALSE)</f>
        <v>500</v>
      </c>
      <c r="K1039" t="str">
        <f>VLOOKUP($A1039,[1]Table!$A$2:$N1193,K$1,FALSE)</f>
        <v>mg/stuk</v>
      </c>
      <c r="L1039">
        <f>VLOOKUP($A1039,[1]Table!$A$2:$N1193,L$1,FALSE)</f>
        <v>500</v>
      </c>
      <c r="M1039" t="str">
        <f>VLOOKUP($A1039,[1]Table!$A$2:$N1193,M$1,FALSE)</f>
        <v>mg</v>
      </c>
      <c r="N1039" t="str">
        <f>VLOOKUP($A1039,[1]Table!$A$2:$N1193,N$1,FALSE)</f>
        <v>Juveniele Idiopathische Arthritis (JIA); pijn</v>
      </c>
      <c r="O1039" t="str">
        <f>ConcatenateRange(AZ1039:BU1039,"||")</f>
        <v/>
      </c>
      <c r="AZ1039" t="str">
        <f t="shared" si="374"/>
        <v/>
      </c>
      <c r="BA1039" t="str">
        <f t="shared" si="375"/>
        <v/>
      </c>
      <c r="BB1039" t="str">
        <f t="shared" si="376"/>
        <v/>
      </c>
      <c r="BC1039" t="str">
        <f t="shared" si="377"/>
        <v/>
      </c>
      <c r="BD1039" t="str">
        <f t="shared" si="378"/>
        <v/>
      </c>
      <c r="BE1039" t="str">
        <f t="shared" si="379"/>
        <v/>
      </c>
      <c r="BF1039" t="str">
        <f t="shared" si="380"/>
        <v/>
      </c>
      <c r="BG1039" t="str">
        <f t="shared" si="381"/>
        <v/>
      </c>
      <c r="BH1039" t="str">
        <f t="shared" si="382"/>
        <v/>
      </c>
      <c r="BI1039" t="str">
        <f t="shared" si="383"/>
        <v/>
      </c>
      <c r="BJ1039" t="str">
        <f t="shared" si="384"/>
        <v/>
      </c>
      <c r="BK1039" t="str">
        <f t="shared" si="385"/>
        <v/>
      </c>
      <c r="BL1039" t="str">
        <f t="shared" si="386"/>
        <v/>
      </c>
      <c r="BM1039" t="str">
        <f t="shared" si="387"/>
        <v/>
      </c>
      <c r="BN1039" t="str">
        <f t="shared" si="388"/>
        <v/>
      </c>
      <c r="BO1039" t="str">
        <f t="shared" si="389"/>
        <v/>
      </c>
      <c r="BP1039" t="str">
        <f t="shared" si="390"/>
        <v/>
      </c>
      <c r="BQ1039" t="str">
        <f t="shared" si="391"/>
        <v/>
      </c>
      <c r="BR1039" t="str">
        <f t="shared" si="392"/>
        <v/>
      </c>
      <c r="BS1039" t="str">
        <f t="shared" si="393"/>
        <v/>
      </c>
      <c r="BT1039" t="str">
        <f t="shared" si="394"/>
        <v/>
      </c>
      <c r="BU1039" t="str">
        <f t="shared" si="395"/>
        <v/>
      </c>
    </row>
    <row r="1040" spans="1:73">
      <c r="A1040" s="1">
        <v>72656</v>
      </c>
      <c r="B1040" t="str">
        <f>VLOOKUP($A1040,[1]Table!$A$2:$N1194,B$1,FALSE)</f>
        <v>B05CB01</v>
      </c>
      <c r="C1040" t="str">
        <f>VLOOKUP($A1040,[1]Table!$A$2:$N1194,C$1,FALSE)</f>
        <v>BLOEDVERVANGINGSMIDDELEN EN PERFUSIEVLOEISTOFFEN</v>
      </c>
      <c r="D1040" t="str">
        <f>VLOOKUP($A1040,[1]Table!$A$2:$N1194,D$1,FALSE)</f>
        <v>IRRIGATIEVLOEISTOFFEN</v>
      </c>
      <c r="E1040" t="str">
        <f>VLOOKUP($A1040,[1]Table!$A$2:$N1194,E$1,FALSE)</f>
        <v>NATRIUMCHLORIDE</v>
      </c>
      <c r="F1040" t="str">
        <f>VLOOKUP($A1040,[1]Table!$A$2:$N1194,F$1,FALSE)</f>
        <v>NATRIUM CHLORIDE 0.9% 100ML BSP FB99853</v>
      </c>
      <c r="G1040" t="str">
        <f>VLOOKUP($A1040,[1]Table!$A$2:$N1194,G$1,FALSE)</f>
        <v>NATRIUMCHLOR 9MG/ML BLAASSP</v>
      </c>
      <c r="H1040" t="str">
        <f>VLOOKUP($A1040,[1]Table!$A$2:$N1194,H$1,FALSE)</f>
        <v>blaasspoeling</v>
      </c>
      <c r="I1040" t="str">
        <f>VLOOKUP($A1040,[1]Table!$A$2:$N1194,I$1,FALSE)</f>
        <v>intravesic</v>
      </c>
      <c r="J1040">
        <f>VLOOKUP($A1040,[1]Table!$A$2:$N1194,J$1,FALSE)</f>
        <v>9</v>
      </c>
      <c r="K1040" t="str">
        <f>VLOOKUP($A1040,[1]Table!$A$2:$N1194,K$1,FALSE)</f>
        <v>mg/ml</v>
      </c>
      <c r="L1040">
        <f>VLOOKUP($A1040,[1]Table!$A$2:$N1194,L$1,FALSE)</f>
        <v>9</v>
      </c>
      <c r="M1040" t="str">
        <f>VLOOKUP($A1040,[1]Table!$A$2:$N1194,M$1,FALSE)</f>
        <v>mg</v>
      </c>
      <c r="N1040" t="str">
        <f>VLOOKUP($A1040,[1]Table!$A$2:$N1194,N$1,FALSE)</f>
        <v>Blaasspoeling</v>
      </c>
      <c r="O1040" t="str">
        <f>ConcatenateRange(AZ1040:BU1040,"||")</f>
        <v/>
      </c>
      <c r="AZ1040" t="str">
        <f t="shared" si="374"/>
        <v/>
      </c>
      <c r="BA1040" t="str">
        <f t="shared" si="375"/>
        <v/>
      </c>
      <c r="BB1040" t="str">
        <f t="shared" si="376"/>
        <v/>
      </c>
      <c r="BC1040" t="str">
        <f t="shared" si="377"/>
        <v/>
      </c>
      <c r="BD1040" t="str">
        <f t="shared" si="378"/>
        <v/>
      </c>
      <c r="BE1040" t="str">
        <f t="shared" si="379"/>
        <v/>
      </c>
      <c r="BF1040" t="str">
        <f t="shared" si="380"/>
        <v/>
      </c>
      <c r="BG1040" t="str">
        <f t="shared" si="381"/>
        <v/>
      </c>
      <c r="BH1040" t="str">
        <f t="shared" si="382"/>
        <v/>
      </c>
      <c r="BI1040" t="str">
        <f t="shared" si="383"/>
        <v/>
      </c>
      <c r="BJ1040" t="str">
        <f t="shared" si="384"/>
        <v/>
      </c>
      <c r="BK1040" t="str">
        <f t="shared" si="385"/>
        <v/>
      </c>
      <c r="BL1040" t="str">
        <f t="shared" si="386"/>
        <v/>
      </c>
      <c r="BM1040" t="str">
        <f t="shared" si="387"/>
        <v/>
      </c>
      <c r="BN1040" t="str">
        <f t="shared" si="388"/>
        <v/>
      </c>
      <c r="BO1040" t="str">
        <f t="shared" si="389"/>
        <v/>
      </c>
      <c r="BP1040" t="str">
        <f t="shared" si="390"/>
        <v/>
      </c>
      <c r="BQ1040" t="str">
        <f t="shared" si="391"/>
        <v/>
      </c>
      <c r="BR1040" t="str">
        <f t="shared" si="392"/>
        <v/>
      </c>
      <c r="BS1040" t="str">
        <f t="shared" si="393"/>
        <v/>
      </c>
      <c r="BT1040" t="str">
        <f t="shared" si="394"/>
        <v/>
      </c>
      <c r="BU1040" t="str">
        <f t="shared" si="395"/>
        <v/>
      </c>
    </row>
    <row r="1041" spans="1:73">
      <c r="A1041" s="21">
        <v>98049615</v>
      </c>
      <c r="B1041" t="str">
        <f>VLOOKUP($A1041,[1]Table!$A$2:$N1702,B$1,FALSE)</f>
        <v>B05BB01</v>
      </c>
      <c r="C1041" t="str">
        <f>VLOOKUP($A1041,[1]Table!$A$2:$N1702,C$1,FALSE)</f>
        <v>BLOEDVERVANGINGSMIDDELEN EN PERFUSIEVLOEISTOFFEN</v>
      </c>
      <c r="D1041" t="str">
        <f>VLOOKUP($A1041,[1]Table!$A$2:$N1702,D$1,FALSE)</f>
        <v>INTRAVENEUZE OPLOSSINGEN</v>
      </c>
      <c r="E1041" t="s">
        <v>92</v>
      </c>
      <c r="F1041" t="str">
        <f>VLOOKUP($A1041,[1]Table!$A$2:$N1702,F$1,FALSE)</f>
        <v>NATRIUM CHLORIDE 2.9% 100 ML DRANK</v>
      </c>
      <c r="G1041" t="str">
        <f>VLOOKUP($A1041,[1]Table!$A$2:$N1702,G$1,FALSE)</f>
        <v>NATRIUM CHLORIDE 2.9% 100ML</v>
      </c>
      <c r="H1041" t="str">
        <f>VLOOKUP($A1041,[1]Table!$A$2:$N1702,H$1,FALSE)</f>
        <v>drank</v>
      </c>
      <c r="I1041" t="str">
        <f>VLOOKUP($A1041,[1]Table!$A$2:$N1702,I$1,FALSE)</f>
        <v>or</v>
      </c>
      <c r="J1041">
        <f>VLOOKUP($A1041,[1]Table!$A$2:$N1702,J$1,FALSE)</f>
        <v>0.5</v>
      </c>
      <c r="K1041" t="str">
        <f>VLOOKUP($A1041,[1]Table!$A$2:$N1702,K$1,FALSE)</f>
        <v>mmol/ml</v>
      </c>
      <c r="L1041">
        <f>VLOOKUP($A1041,[1]Table!$A$2:$N1702,L$1,FALSE)</f>
        <v>0.5</v>
      </c>
      <c r="M1041" t="str">
        <f>VLOOKUP($A1041,[1]Table!$A$2:$N1702,M$1,FALSE)</f>
        <v>mmol</v>
      </c>
      <c r="N1041" t="str">
        <f>VLOOKUP($A1041,[1]Table!$A$2:$N1702,N$1,FALSE)</f>
        <v>Hyponatriemie</v>
      </c>
      <c r="AZ1041" t="str">
        <f t="shared" si="374"/>
        <v/>
      </c>
      <c r="BA1041" t="str">
        <f t="shared" si="375"/>
        <v/>
      </c>
      <c r="BB1041" t="str">
        <f t="shared" si="376"/>
        <v/>
      </c>
      <c r="BC1041" t="str">
        <f t="shared" si="377"/>
        <v/>
      </c>
      <c r="BD1041" t="str">
        <f t="shared" si="378"/>
        <v/>
      </c>
      <c r="BE1041" t="str">
        <f t="shared" si="379"/>
        <v/>
      </c>
      <c r="BF1041" t="str">
        <f t="shared" si="380"/>
        <v/>
      </c>
      <c r="BG1041" t="str">
        <f t="shared" si="381"/>
        <v/>
      </c>
      <c r="BH1041" t="str">
        <f t="shared" si="382"/>
        <v/>
      </c>
      <c r="BI1041" t="str">
        <f t="shared" si="383"/>
        <v/>
      </c>
      <c r="BJ1041" t="str">
        <f t="shared" si="384"/>
        <v/>
      </c>
      <c r="BK1041" t="str">
        <f t="shared" si="385"/>
        <v/>
      </c>
      <c r="BL1041" t="str">
        <f t="shared" si="386"/>
        <v/>
      </c>
      <c r="BM1041" t="str">
        <f t="shared" si="387"/>
        <v/>
      </c>
      <c r="BN1041" t="str">
        <f t="shared" si="388"/>
        <v/>
      </c>
      <c r="BO1041" t="str">
        <f t="shared" si="389"/>
        <v/>
      </c>
      <c r="BP1041" t="str">
        <f t="shared" si="390"/>
        <v/>
      </c>
      <c r="BQ1041" t="str">
        <f t="shared" si="391"/>
        <v/>
      </c>
      <c r="BR1041" t="str">
        <f t="shared" si="392"/>
        <v/>
      </c>
      <c r="BS1041" t="str">
        <f t="shared" si="393"/>
        <v/>
      </c>
      <c r="BT1041" t="str">
        <f t="shared" si="394"/>
        <v/>
      </c>
      <c r="BU1041" t="str">
        <f t="shared" si="395"/>
        <v/>
      </c>
    </row>
    <row r="1042" spans="1:73">
      <c r="A1042" s="17">
        <v>98007572</v>
      </c>
      <c r="B1042" t="s">
        <v>89</v>
      </c>
      <c r="C1042" t="str">
        <f>VLOOKUP($A1042,[1]Table!$A$2:$N1699,C$1,FALSE)</f>
        <v>BLOEDVERVANGINGSMIDDELEN EN PERFUSIEVLOEISTOFFEN</v>
      </c>
      <c r="D1042" t="str">
        <f>VLOOKUP($A1042,[1]Table!$A$2:$N1699,D$1,FALSE)</f>
        <v>INTRAVENEUZE OPLOSSINGEN</v>
      </c>
      <c r="E1042" t="s">
        <v>92</v>
      </c>
      <c r="F1042" t="str">
        <f>VLOOKUP($A1042,[1]Table!$A$2:$N1699,F$1,FALSE)</f>
        <v>NATRIUM CHLORIDE 2.9% 1000ML INFUSIEZAK</v>
      </c>
      <c r="G1042" t="str">
        <f>VLOOKUP($A1042,[1]Table!$A$2:$N1699,G$1,FALSE)</f>
        <v>NATRIUM CHLORIDE 2.9% 1000M</v>
      </c>
      <c r="H1042" t="str">
        <f>VLOOKUP($A1042,[1]Table!$A$2:$N1699,H$1,FALSE)</f>
        <v>infusievloeistof</v>
      </c>
      <c r="I1042" t="str">
        <f>VLOOKUP($A1042,[1]Table!$A$2:$N1699,I$1,FALSE)</f>
        <v>iv||inh||or</v>
      </c>
      <c r="J1042">
        <f>VLOOKUP($A1042,[1]Table!$A$2:$N1699,J$1,FALSE)</f>
        <v>0.5</v>
      </c>
      <c r="K1042" t="str">
        <f>VLOOKUP($A1042,[1]Table!$A$2:$N1699,K$1,FALSE)</f>
        <v>mmol/ml</v>
      </c>
      <c r="L1042">
        <f>VLOOKUP($A1042,[1]Table!$A$2:$N1699,L$1,FALSE)</f>
        <v>0.5</v>
      </c>
      <c r="M1042" t="str">
        <f>VLOOKUP($A1042,[1]Table!$A$2:$N1699,M$1,FALSE)</f>
        <v>mmol</v>
      </c>
      <c r="N1042" t="str">
        <f>VLOOKUP($A1042,[1]Table!$A$2:$N1699,N$1,FALSE)</f>
        <v>Hyponatriemie||Mucolyticum bij Cystische Fibrose</v>
      </c>
      <c r="AZ1042" t="str">
        <f t="shared" si="374"/>
        <v/>
      </c>
      <c r="BA1042" t="str">
        <f t="shared" si="375"/>
        <v/>
      </c>
      <c r="BB1042" t="str">
        <f t="shared" si="376"/>
        <v/>
      </c>
      <c r="BC1042" t="str">
        <f t="shared" si="377"/>
        <v/>
      </c>
      <c r="BD1042" t="str">
        <f t="shared" si="378"/>
        <v/>
      </c>
      <c r="BE1042" t="str">
        <f t="shared" si="379"/>
        <v/>
      </c>
      <c r="BF1042" t="str">
        <f t="shared" si="380"/>
        <v/>
      </c>
      <c r="BG1042" t="str">
        <f t="shared" si="381"/>
        <v/>
      </c>
      <c r="BH1042" t="str">
        <f t="shared" si="382"/>
        <v/>
      </c>
      <c r="BI1042" t="str">
        <f t="shared" si="383"/>
        <v/>
      </c>
      <c r="BJ1042" t="str">
        <f t="shared" si="384"/>
        <v/>
      </c>
      <c r="BK1042" t="str">
        <f t="shared" si="385"/>
        <v/>
      </c>
      <c r="BL1042" t="str">
        <f t="shared" si="386"/>
        <v/>
      </c>
      <c r="BM1042" t="str">
        <f t="shared" si="387"/>
        <v/>
      </c>
      <c r="BN1042" t="str">
        <f t="shared" si="388"/>
        <v/>
      </c>
      <c r="BO1042" t="str">
        <f t="shared" si="389"/>
        <v/>
      </c>
      <c r="BP1042" t="str">
        <f t="shared" si="390"/>
        <v/>
      </c>
      <c r="BQ1042" t="str">
        <f t="shared" si="391"/>
        <v/>
      </c>
      <c r="BR1042" t="str">
        <f t="shared" si="392"/>
        <v/>
      </c>
      <c r="BS1042" t="str">
        <f t="shared" si="393"/>
        <v/>
      </c>
      <c r="BT1042" t="str">
        <f t="shared" si="394"/>
        <v/>
      </c>
      <c r="BU1042" t="str">
        <f t="shared" si="395"/>
        <v/>
      </c>
    </row>
    <row r="1043" spans="1:73">
      <c r="A1043" s="17">
        <v>98000411</v>
      </c>
      <c r="B1043" t="s">
        <v>89</v>
      </c>
      <c r="C1043" t="str">
        <f>VLOOKUP($A1043,[1]Table!$A$2:$N1700,C$1,FALSE)</f>
        <v>BLOEDVERVANGINGSMIDDELEN EN PERFUSIEVLOEISTOFFEN</v>
      </c>
      <c r="D1043" t="str">
        <f>VLOOKUP($A1043,[1]Table!$A$2:$N1700,D$1,FALSE)</f>
        <v>INTRAVENEUZE OPLOSSINGEN</v>
      </c>
      <c r="E1043" t="s">
        <v>92</v>
      </c>
      <c r="F1043" t="str">
        <f>VLOOKUP($A1043,[1]Table!$A$2:$N1700,F$1,FALSE)</f>
        <v>NATRIUM CHLORIDE 2.9% 100ML INFUSIEZAK</v>
      </c>
      <c r="G1043" t="str">
        <f>VLOOKUP($A1043,[1]Table!$A$2:$N1700,G$1,FALSE)</f>
        <v>NATRIUM CHLORIDE 2.9% 100ML</v>
      </c>
      <c r="H1043" t="str">
        <f>VLOOKUP($A1043,[1]Table!$A$2:$N1700,H$1,FALSE)</f>
        <v>infusievloeistof</v>
      </c>
      <c r="I1043" t="str">
        <f>VLOOKUP($A1043,[1]Table!$A$2:$N1700,I$1,FALSE)</f>
        <v>iv||inh||or</v>
      </c>
      <c r="J1043">
        <f>VLOOKUP($A1043,[1]Table!$A$2:$N1700,J$1,FALSE)</f>
        <v>0.5</v>
      </c>
      <c r="K1043" t="str">
        <f>VLOOKUP($A1043,[1]Table!$A$2:$N1700,K$1,FALSE)</f>
        <v>mmol/ml</v>
      </c>
      <c r="L1043">
        <f>VLOOKUP($A1043,[1]Table!$A$2:$N1700,L$1,FALSE)</f>
        <v>0.5</v>
      </c>
      <c r="M1043" t="str">
        <f>VLOOKUP($A1043,[1]Table!$A$2:$N1700,M$1,FALSE)</f>
        <v>mmol</v>
      </c>
      <c r="N1043" t="str">
        <f>VLOOKUP($A1043,[1]Table!$A$2:$N1700,N$1,FALSE)</f>
        <v>Hyponatriemie||Mucolyticum bij Cystische Fibrose</v>
      </c>
      <c r="AZ1043" t="str">
        <f t="shared" si="374"/>
        <v/>
      </c>
      <c r="BA1043" t="str">
        <f t="shared" si="375"/>
        <v/>
      </c>
      <c r="BB1043" t="str">
        <f t="shared" si="376"/>
        <v/>
      </c>
      <c r="BC1043" t="str">
        <f t="shared" si="377"/>
        <v/>
      </c>
      <c r="BD1043" t="str">
        <f t="shared" si="378"/>
        <v/>
      </c>
      <c r="BE1043" t="str">
        <f t="shared" si="379"/>
        <v/>
      </c>
      <c r="BF1043" t="str">
        <f t="shared" si="380"/>
        <v/>
      </c>
      <c r="BG1043" t="str">
        <f t="shared" si="381"/>
        <v/>
      </c>
      <c r="BH1043" t="str">
        <f t="shared" si="382"/>
        <v/>
      </c>
      <c r="BI1043" t="str">
        <f t="shared" si="383"/>
        <v/>
      </c>
      <c r="BJ1043" t="str">
        <f t="shared" si="384"/>
        <v/>
      </c>
      <c r="BK1043" t="str">
        <f t="shared" si="385"/>
        <v/>
      </c>
      <c r="BL1043" t="str">
        <f t="shared" si="386"/>
        <v/>
      </c>
      <c r="BM1043" t="str">
        <f t="shared" si="387"/>
        <v/>
      </c>
      <c r="BN1043" t="str">
        <f t="shared" si="388"/>
        <v/>
      </c>
      <c r="BO1043" t="str">
        <f t="shared" si="389"/>
        <v/>
      </c>
      <c r="BP1043" t="str">
        <f t="shared" si="390"/>
        <v/>
      </c>
      <c r="BQ1043" t="str">
        <f t="shared" si="391"/>
        <v/>
      </c>
      <c r="BR1043" t="str">
        <f t="shared" si="392"/>
        <v/>
      </c>
      <c r="BS1043" t="str">
        <f t="shared" si="393"/>
        <v/>
      </c>
      <c r="BT1043" t="str">
        <f t="shared" si="394"/>
        <v/>
      </c>
      <c r="BU1043" t="str">
        <f t="shared" si="395"/>
        <v/>
      </c>
    </row>
    <row r="1044" spans="1:73">
      <c r="A1044" s="17">
        <v>98017969</v>
      </c>
      <c r="B1044" t="s">
        <v>89</v>
      </c>
      <c r="C1044" t="str">
        <f>VLOOKUP($A1044,[1]Table!$A$2:$N1701,C$1,FALSE)</f>
        <v>BLOEDVERVANGINGSMIDDELEN EN PERFUSIEVLOEISTOFFEN</v>
      </c>
      <c r="D1044" t="str">
        <f>VLOOKUP($A1044,[1]Table!$A$2:$N1701,D$1,FALSE)</f>
        <v>INTRAVENEUZE OPLOSSINGEN</v>
      </c>
      <c r="E1044" t="s">
        <v>92</v>
      </c>
      <c r="F1044" t="str">
        <f>VLOOKUP($A1044,[1]Table!$A$2:$N1701,F$1,FALSE)</f>
        <v>NATRIUM CHLORIDE 5% 300ML IN INFUSIEZAK</v>
      </c>
      <c r="G1044" t="str">
        <f>VLOOKUP($A1044,[1]Table!$A$2:$N1701,G$1,FALSE)</f>
        <v>NATRIUM CHLORIDE 5% 300ML F</v>
      </c>
      <c r="H1044" t="str">
        <f>VLOOKUP($A1044,[1]Table!$A$2:$N1701,H$1,FALSE)</f>
        <v>infusievloeistof</v>
      </c>
      <c r="I1044" t="str">
        <f>VLOOKUP($A1044,[1]Table!$A$2:$N1701,I$1,FALSE)</f>
        <v>iv||inh||or</v>
      </c>
      <c r="J1044">
        <f>VLOOKUP($A1044,[1]Table!$A$2:$N1701,J$1,FALSE)</f>
        <v>0.9</v>
      </c>
      <c r="K1044" t="str">
        <f>VLOOKUP($A1044,[1]Table!$A$2:$N1701,K$1,FALSE)</f>
        <v>mmol/ml</v>
      </c>
      <c r="L1044">
        <f>VLOOKUP($A1044,[1]Table!$A$2:$N1701,L$1,FALSE)</f>
        <v>0.9</v>
      </c>
      <c r="M1044" t="str">
        <f>VLOOKUP($A1044,[1]Table!$A$2:$N1701,M$1,FALSE)</f>
        <v>mmol</v>
      </c>
      <c r="N1044" t="str">
        <f>VLOOKUP($A1044,[1]Table!$A$2:$N1701,N$1,FALSE)</f>
        <v>Hyponatriemie||Mucolyticum bij Cystische Fibrose</v>
      </c>
      <c r="AZ1044" t="str">
        <f t="shared" ref="AZ1044:AZ1107" si="396">IF(AA1044&lt;&gt;0,AA$2,"")</f>
        <v/>
      </c>
      <c r="BA1044" t="str">
        <f t="shared" ref="BA1044:BA1107" si="397">IF(AB1044&lt;&gt;0,AB$2,"")</f>
        <v/>
      </c>
      <c r="BB1044" t="str">
        <f t="shared" ref="BB1044:BB1107" si="398">IF(AC1044&lt;&gt;0,AC$2,"")</f>
        <v/>
      </c>
      <c r="BC1044" t="str">
        <f t="shared" ref="BC1044:BC1107" si="399">IF(AD1044&lt;&gt;0,AD$2,"")</f>
        <v/>
      </c>
      <c r="BD1044" t="str">
        <f t="shared" ref="BD1044:BD1107" si="400">IF(AE1044&lt;&gt;0,AE$2,"")</f>
        <v/>
      </c>
      <c r="BE1044" t="str">
        <f t="shared" ref="BE1044:BE1107" si="401">IF(AF1044&lt;&gt;0,AF$2,"")</f>
        <v/>
      </c>
      <c r="BF1044" t="str">
        <f t="shared" ref="BF1044:BF1107" si="402">IF(AG1044&lt;&gt;0,AG$2,"")</f>
        <v/>
      </c>
      <c r="BG1044" t="str">
        <f t="shared" ref="BG1044:BG1107" si="403">IF(AH1044&lt;&gt;0,AH$2,"")</f>
        <v/>
      </c>
      <c r="BH1044" t="str">
        <f t="shared" ref="BH1044:BH1107" si="404">IF(AI1044&lt;&gt;0,AI$2,"")</f>
        <v/>
      </c>
      <c r="BI1044" t="str">
        <f t="shared" ref="BI1044:BI1107" si="405">IF(AJ1044&lt;&gt;0,AJ$2,"")</f>
        <v/>
      </c>
      <c r="BJ1044" t="str">
        <f t="shared" ref="BJ1044:BJ1107" si="406">IF(AK1044&lt;&gt;0,AK$2,"")</f>
        <v/>
      </c>
      <c r="BK1044" t="str">
        <f t="shared" ref="BK1044:BK1107" si="407">IF(AL1044&lt;&gt;0,AL$2,"")</f>
        <v/>
      </c>
      <c r="BL1044" t="str">
        <f t="shared" ref="BL1044:BL1107" si="408">IF(AM1044&lt;&gt;0,AM$2,"")</f>
        <v/>
      </c>
      <c r="BM1044" t="str">
        <f t="shared" ref="BM1044:BM1107" si="409">IF(AN1044&lt;&gt;0,AN$2,"")</f>
        <v/>
      </c>
      <c r="BN1044" t="str">
        <f t="shared" ref="BN1044:BN1107" si="410">IF(AO1044&lt;&gt;0,AO$2,"")</f>
        <v/>
      </c>
      <c r="BO1044" t="str">
        <f t="shared" ref="BO1044:BO1107" si="411">IF(AP1044&lt;&gt;0,AP$2,"")</f>
        <v/>
      </c>
      <c r="BP1044" t="str">
        <f t="shared" ref="BP1044:BP1107" si="412">IF(AQ1044&lt;&gt;0,AQ$2,"")</f>
        <v/>
      </c>
      <c r="BQ1044" t="str">
        <f t="shared" ref="BQ1044:BQ1107" si="413">IF(AR1044&lt;&gt;0,AR$2,"")</f>
        <v/>
      </c>
      <c r="BR1044" t="str">
        <f t="shared" ref="BR1044:BR1107" si="414">IF(AS1044&lt;&gt;0,AS$2,"")</f>
        <v/>
      </c>
      <c r="BS1044" t="str">
        <f t="shared" ref="BS1044:BS1107" si="415">IF(AT1044&lt;&gt;0,AT$2,"")</f>
        <v/>
      </c>
      <c r="BT1044" t="str">
        <f t="shared" ref="BT1044:BT1107" si="416">IF(AU1044&lt;&gt;0,AU$2,"")</f>
        <v/>
      </c>
      <c r="BU1044" t="str">
        <f t="shared" ref="BU1044:BU1107" si="417">IF(AV1044&lt;&gt;0,AV$2,"")</f>
        <v/>
      </c>
    </row>
    <row r="1045" spans="1:73">
      <c r="A1045" s="1">
        <v>42005</v>
      </c>
      <c r="B1045" t="str">
        <f>VLOOKUP($A1045,[1]Table!$A$2:$N1195,B$1,FALSE)</f>
        <v>B05BB01</v>
      </c>
      <c r="C1045" t="str">
        <f>VLOOKUP($A1045,[1]Table!$A$2:$N1195,C$1,FALSE)</f>
        <v>BLOEDVERVANGINGSMIDDELEN EN PERFUSIEVLOEISTOFFEN</v>
      </c>
      <c r="D1045" t="str">
        <f>VLOOKUP($A1045,[1]Table!$A$2:$N1195,D$1,FALSE)</f>
        <v>INTRAVENEUZE OPLOSSINGEN</v>
      </c>
      <c r="E1045" t="str">
        <f>VLOOKUP($A1045,[1]Table!$A$2:$N1195,E$1,FALSE)</f>
        <v>NATRIUMCHLORIDE</v>
      </c>
      <c r="F1045" t="str">
        <f>VLOOKUP($A1045,[1]Table!$A$2:$N1195,F$1,FALSE)</f>
        <v>NATRIUM CHLOR 0,65 %  INFUSIEZAK  FREEFLEX 500 ML</v>
      </c>
      <c r="G1045" t="str">
        <f>VLOOKUP($A1045,[1]Table!$A$2:$N1195,G$1,FALSE)</f>
        <v>NATRIUMCHLOR 6,5MG/ML INFVL</v>
      </c>
      <c r="H1045" t="str">
        <f>VLOOKUP($A1045,[1]Table!$A$2:$N1195,H$1,FALSE)</f>
        <v>infusievloeistof</v>
      </c>
      <c r="I1045" t="str">
        <f>VLOOKUP($A1045,[1]Table!$A$2:$N1195,I$1,FALSE)</f>
        <v>iv</v>
      </c>
      <c r="J1045">
        <f>VLOOKUP($A1045,[1]Table!$A$2:$N1195,J$1,FALSE)</f>
        <v>6.5</v>
      </c>
      <c r="K1045" t="str">
        <f>VLOOKUP($A1045,[1]Table!$A$2:$N1195,K$1,FALSE)</f>
        <v>mg/ml</v>
      </c>
      <c r="L1045">
        <f>VLOOKUP($A1045,[1]Table!$A$2:$N1195,L$1,FALSE)</f>
        <v>6.5</v>
      </c>
      <c r="M1045" t="str">
        <f>VLOOKUP($A1045,[1]Table!$A$2:$N1195,M$1,FALSE)</f>
        <v>mg</v>
      </c>
      <c r="N1045" t="str">
        <f>VLOOKUP($A1045,[1]Table!$A$2:$N1195,N$1,FALSE)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5" t="str">
        <f>ConcatenateRange(AZ1045:BU1045,"||")</f>
        <v/>
      </c>
      <c r="AZ1045" t="str">
        <f t="shared" si="396"/>
        <v/>
      </c>
      <c r="BA1045" t="str">
        <f t="shared" si="397"/>
        <v/>
      </c>
      <c r="BB1045" t="str">
        <f t="shared" si="398"/>
        <v/>
      </c>
      <c r="BC1045" t="str">
        <f t="shared" si="399"/>
        <v/>
      </c>
      <c r="BD1045" t="str">
        <f t="shared" si="400"/>
        <v/>
      </c>
      <c r="BE1045" t="str">
        <f t="shared" si="401"/>
        <v/>
      </c>
      <c r="BF1045" t="str">
        <f t="shared" si="402"/>
        <v/>
      </c>
      <c r="BG1045" t="str">
        <f t="shared" si="403"/>
        <v/>
      </c>
      <c r="BH1045" t="str">
        <f t="shared" si="404"/>
        <v/>
      </c>
      <c r="BI1045" t="str">
        <f t="shared" si="405"/>
        <v/>
      </c>
      <c r="BJ1045" t="str">
        <f t="shared" si="406"/>
        <v/>
      </c>
      <c r="BK1045" t="str">
        <f t="shared" si="407"/>
        <v/>
      </c>
      <c r="BL1045" t="str">
        <f t="shared" si="408"/>
        <v/>
      </c>
      <c r="BM1045" t="str">
        <f t="shared" si="409"/>
        <v/>
      </c>
      <c r="BN1045" t="str">
        <f t="shared" si="410"/>
        <v/>
      </c>
      <c r="BO1045" t="str">
        <f t="shared" si="411"/>
        <v/>
      </c>
      <c r="BP1045" t="str">
        <f t="shared" si="412"/>
        <v/>
      </c>
      <c r="BQ1045" t="str">
        <f t="shared" si="413"/>
        <v/>
      </c>
      <c r="BR1045" t="str">
        <f t="shared" si="414"/>
        <v/>
      </c>
      <c r="BS1045" t="str">
        <f t="shared" si="415"/>
        <v/>
      </c>
      <c r="BT1045" t="str">
        <f t="shared" si="416"/>
        <v/>
      </c>
      <c r="BU1045" t="str">
        <f t="shared" si="417"/>
        <v/>
      </c>
    </row>
    <row r="1046" spans="1:73">
      <c r="A1046" s="1">
        <v>19100</v>
      </c>
      <c r="B1046" t="str">
        <f>VLOOKUP($A1046,[1]Table!$A$2:$N1196,B$1,FALSE)</f>
        <v>B05BB01</v>
      </c>
      <c r="C1046" t="str">
        <f>VLOOKUP($A1046,[1]Table!$A$2:$N1196,C$1,FALSE)</f>
        <v>BLOEDVERVANGINGSMIDDELEN EN PERFUSIEVLOEISTOFFEN</v>
      </c>
      <c r="D1046" t="str">
        <f>VLOOKUP($A1046,[1]Table!$A$2:$N1196,D$1,FALSE)</f>
        <v>INTRAVENEUZE OPLOSSINGEN</v>
      </c>
      <c r="E1046" t="str">
        <f>VLOOKUP($A1046,[1]Table!$A$2:$N1196,E$1,FALSE)</f>
        <v>NATRIUMCHLORIDE</v>
      </c>
      <c r="F1046" t="str">
        <f>VLOOKUP($A1046,[1]Table!$A$2:$N1196,F$1,FALSE)</f>
        <v>NATRIUM CHLOR 0,9 % FREEFLEX INFUSIEZAK  100 ML</v>
      </c>
      <c r="G1046" t="str">
        <f>VLOOKUP($A1046,[1]Table!$A$2:$N1196,G$1,FALSE)</f>
        <v>NATRIUMCHLOR 9MG/ML INFVLST</v>
      </c>
      <c r="H1046" t="str">
        <f>VLOOKUP($A1046,[1]Table!$A$2:$N1196,H$1,FALSE)</f>
        <v>infusievloeistof</v>
      </c>
      <c r="I1046" t="s">
        <v>76</v>
      </c>
      <c r="J1046">
        <f>VLOOKUP($A1046,[1]Table!$A$2:$N1196,J$1,FALSE)</f>
        <v>9</v>
      </c>
      <c r="K1046" t="str">
        <f>VLOOKUP($A1046,[1]Table!$A$2:$N1196,K$1,FALSE)</f>
        <v>mg/ml</v>
      </c>
      <c r="L1046">
        <f>VLOOKUP($A1046,[1]Table!$A$2:$N1196,L$1,FALSE)</f>
        <v>9</v>
      </c>
      <c r="M1046" t="str">
        <f>VLOOKUP($A1046,[1]Table!$A$2:$N1196,M$1,FALSE)</f>
        <v>mg</v>
      </c>
      <c r="N1046" t="s">
        <v>77</v>
      </c>
      <c r="O1046" t="str">
        <f>ConcatenateRange(AZ1046:BU1046,"||")</f>
        <v/>
      </c>
      <c r="AZ1046" t="str">
        <f t="shared" si="396"/>
        <v/>
      </c>
      <c r="BA1046" t="str">
        <f t="shared" si="397"/>
        <v/>
      </c>
      <c r="BB1046" t="str">
        <f t="shared" si="398"/>
        <v/>
      </c>
      <c r="BC1046" t="str">
        <f t="shared" si="399"/>
        <v/>
      </c>
      <c r="BD1046" t="str">
        <f t="shared" si="400"/>
        <v/>
      </c>
      <c r="BE1046" t="str">
        <f t="shared" si="401"/>
        <v/>
      </c>
      <c r="BF1046" t="str">
        <f t="shared" si="402"/>
        <v/>
      </c>
      <c r="BG1046" t="str">
        <f t="shared" si="403"/>
        <v/>
      </c>
      <c r="BH1046" t="str">
        <f t="shared" si="404"/>
        <v/>
      </c>
      <c r="BI1046" t="str">
        <f t="shared" si="405"/>
        <v/>
      </c>
      <c r="BJ1046" t="str">
        <f t="shared" si="406"/>
        <v/>
      </c>
      <c r="BK1046" t="str">
        <f t="shared" si="407"/>
        <v/>
      </c>
      <c r="BL1046" t="str">
        <f t="shared" si="408"/>
        <v/>
      </c>
      <c r="BM1046" t="str">
        <f t="shared" si="409"/>
        <v/>
      </c>
      <c r="BN1046" t="str">
        <f t="shared" si="410"/>
        <v/>
      </c>
      <c r="BO1046" t="str">
        <f t="shared" si="411"/>
        <v/>
      </c>
      <c r="BP1046" t="str">
        <f t="shared" si="412"/>
        <v/>
      </c>
      <c r="BQ1046" t="str">
        <f t="shared" si="413"/>
        <v/>
      </c>
      <c r="BR1046" t="str">
        <f t="shared" si="414"/>
        <v/>
      </c>
      <c r="BS1046" t="str">
        <f t="shared" si="415"/>
        <v/>
      </c>
      <c r="BT1046" t="str">
        <f t="shared" si="416"/>
        <v/>
      </c>
      <c r="BU1046" t="str">
        <f t="shared" si="417"/>
        <v/>
      </c>
    </row>
    <row r="1047" spans="1:73">
      <c r="A1047" s="1">
        <v>39144</v>
      </c>
      <c r="B1047" t="str">
        <f>VLOOKUP($A1047,[1]Table!$A$2:$N1197,B$1,FALSE)</f>
        <v>B05BB01</v>
      </c>
      <c r="C1047" t="str">
        <f>VLOOKUP($A1047,[1]Table!$A$2:$N1197,C$1,FALSE)</f>
        <v>BLOEDVERVANGINGSMIDDELEN EN PERFUSIEVLOEISTOFFEN</v>
      </c>
      <c r="D1047" t="str">
        <f>VLOOKUP($A1047,[1]Table!$A$2:$N1197,D$1,FALSE)</f>
        <v>INTRAVENEUZE OPLOSSINGEN</v>
      </c>
      <c r="E1047" t="str">
        <f>VLOOKUP($A1047,[1]Table!$A$2:$N1197,E$1,FALSE)</f>
        <v>NATRIUMCHLORIDE</v>
      </c>
      <c r="F1047" t="str">
        <f>VLOOKUP($A1047,[1]Table!$A$2:$N1197,F$1,FALSE)</f>
        <v>NATRIUM CHLORIDE 0.9% 10ML AMPUL</v>
      </c>
      <c r="G1047" t="str">
        <f>VLOOKUP($A1047,[1]Table!$A$2:$N1197,G$1,FALSE)</f>
        <v>NATRIUMCHLOR 9MG/ML INJVLST</v>
      </c>
      <c r="H1047" t="str">
        <f>VLOOKUP($A1047,[1]Table!$A$2:$N1197,H$1,FALSE)</f>
        <v>injectievloeistof</v>
      </c>
      <c r="I1047" t="str">
        <f>VLOOKUP($A1047,[1]Table!$A$2:$N1197,I$1,FALSE)</f>
        <v>iv||extracorp||nvt</v>
      </c>
      <c r="J1047">
        <f>VLOOKUP($A1047,[1]Table!$A$2:$N1197,J$1,FALSE)</f>
        <v>9</v>
      </c>
      <c r="K1047" t="str">
        <f>VLOOKUP($A1047,[1]Table!$A$2:$N1197,K$1,FALSE)</f>
        <v>mg/ml</v>
      </c>
      <c r="L1047">
        <f>VLOOKUP($A1047,[1]Table!$A$2:$N1197,L$1,FALSE)</f>
        <v>9</v>
      </c>
      <c r="M1047" t="str">
        <f>VLOOKUP($A1047,[1]Table!$A$2:$N1197,M$1,FALSE)</f>
        <v>mg</v>
      </c>
      <c r="N1047" t="str">
        <f>VLOOKUP($A1047,[1]Table!$A$2:$N1197,N$1,FALSE)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7" t="str">
        <f>ConcatenateRange(AZ1047:BU1047,"||")</f>
        <v/>
      </c>
      <c r="AZ1047" t="str">
        <f t="shared" si="396"/>
        <v/>
      </c>
      <c r="BA1047" t="str">
        <f t="shared" si="397"/>
        <v/>
      </c>
      <c r="BB1047" t="str">
        <f t="shared" si="398"/>
        <v/>
      </c>
      <c r="BC1047" t="str">
        <f t="shared" si="399"/>
        <v/>
      </c>
      <c r="BD1047" t="str">
        <f t="shared" si="400"/>
        <v/>
      </c>
      <c r="BE1047" t="str">
        <f t="shared" si="401"/>
        <v/>
      </c>
      <c r="BF1047" t="str">
        <f t="shared" si="402"/>
        <v/>
      </c>
      <c r="BG1047" t="str">
        <f t="shared" si="403"/>
        <v/>
      </c>
      <c r="BH1047" t="str">
        <f t="shared" si="404"/>
        <v/>
      </c>
      <c r="BI1047" t="str">
        <f t="shared" si="405"/>
        <v/>
      </c>
      <c r="BJ1047" t="str">
        <f t="shared" si="406"/>
        <v/>
      </c>
      <c r="BK1047" t="str">
        <f t="shared" si="407"/>
        <v/>
      </c>
      <c r="BL1047" t="str">
        <f t="shared" si="408"/>
        <v/>
      </c>
      <c r="BM1047" t="str">
        <f t="shared" si="409"/>
        <v/>
      </c>
      <c r="BN1047" t="str">
        <f t="shared" si="410"/>
        <v/>
      </c>
      <c r="BO1047" t="str">
        <f t="shared" si="411"/>
        <v/>
      </c>
      <c r="BP1047" t="str">
        <f t="shared" si="412"/>
        <v/>
      </c>
      <c r="BQ1047" t="str">
        <f t="shared" si="413"/>
        <v/>
      </c>
      <c r="BR1047" t="str">
        <f t="shared" si="414"/>
        <v/>
      </c>
      <c r="BS1047" t="str">
        <f t="shared" si="415"/>
        <v/>
      </c>
      <c r="BT1047" t="str">
        <f t="shared" si="416"/>
        <v/>
      </c>
      <c r="BU1047" t="str">
        <f t="shared" si="417"/>
        <v/>
      </c>
    </row>
    <row r="1048" spans="1:73">
      <c r="A1048" s="1">
        <v>47848</v>
      </c>
      <c r="B1048" t="str">
        <f>VLOOKUP($A1048,[1]Table!$A$2:$N1198,B$1,FALSE)</f>
        <v>R01AX10</v>
      </c>
      <c r="C1048" t="str">
        <f>VLOOKUP($A1048,[1]Table!$A$2:$N1198,C$1,FALSE)</f>
        <v>MIDDELEN VOOR NASAAL GEBRUIK</v>
      </c>
      <c r="D1048" t="str">
        <f>VLOOKUP($A1048,[1]Table!$A$2:$N1198,D$1,FALSE)</f>
        <v>DECONGESTIVA EN ANDERE LOKALE MIDDELEN VOOR NASAAL GEBRUIK</v>
      </c>
      <c r="E1048" t="s">
        <v>92</v>
      </c>
      <c r="F1048" t="str">
        <f>VLOOKUP($A1048,[1]Table!$A$2:$N1198,F$1,FALSE)</f>
        <v>NATRIUM CHLORIDE NEUSDRUPPELS 0,9%          FAGRON</v>
      </c>
      <c r="G1048" t="str">
        <f>VLOOKUP($A1048,[1]Table!$A$2:$N1198,G$1,FALSE)</f>
        <v>NATRIUM CHLORIDE NEUSDRUPPELS 0,9%          FAGRON</v>
      </c>
      <c r="H1048" t="str">
        <f>VLOOKUP($A1048,[1]Table!$A$2:$N1198,H$1,FALSE)</f>
        <v>neusdruppels</v>
      </c>
      <c r="I1048" t="str">
        <f>VLOOKUP($A1048,[1]Table!$A$2:$N1198,I$1,FALSE)</f>
        <v>nasaal</v>
      </c>
      <c r="J1048">
        <f>VLOOKUP($A1048,[1]Table!$A$2:$N1198,J$1,FALSE)</f>
        <v>8</v>
      </c>
      <c r="K1048" t="str">
        <f>VLOOKUP($A1048,[1]Table!$A$2:$N1198,K$1,FALSE)</f>
        <v>mg/ml</v>
      </c>
      <c r="L1048">
        <f>VLOOKUP($A1048,[1]Table!$A$2:$N1198,L$1,FALSE)</f>
        <v>1</v>
      </c>
      <c r="M1048" t="str">
        <f>VLOOKUP($A1048,[1]Table!$A$2:$N1198,M$1,FALSE)</f>
        <v>dr</v>
      </c>
      <c r="N1048" t="str">
        <f>VLOOKUP($A1048,[1]Table!$A$2:$N1198,N$1,FALSE)</f>
        <v>Verstopte neus</v>
      </c>
      <c r="O1048" t="str">
        <f>ConcatenateRange(AZ1048:BU1048,"||")</f>
        <v/>
      </c>
      <c r="AZ1048" t="str">
        <f t="shared" si="396"/>
        <v/>
      </c>
      <c r="BA1048" t="str">
        <f t="shared" si="397"/>
        <v/>
      </c>
      <c r="BB1048" t="str">
        <f t="shared" si="398"/>
        <v/>
      </c>
      <c r="BC1048" t="str">
        <f t="shared" si="399"/>
        <v/>
      </c>
      <c r="BD1048" t="str">
        <f t="shared" si="400"/>
        <v/>
      </c>
      <c r="BE1048" t="str">
        <f t="shared" si="401"/>
        <v/>
      </c>
      <c r="BF1048" t="str">
        <f t="shared" si="402"/>
        <v/>
      </c>
      <c r="BG1048" t="str">
        <f t="shared" si="403"/>
        <v/>
      </c>
      <c r="BH1048" t="str">
        <f t="shared" si="404"/>
        <v/>
      </c>
      <c r="BI1048" t="str">
        <f t="shared" si="405"/>
        <v/>
      </c>
      <c r="BJ1048" t="str">
        <f t="shared" si="406"/>
        <v/>
      </c>
      <c r="BK1048" t="str">
        <f t="shared" si="407"/>
        <v/>
      </c>
      <c r="BL1048" t="str">
        <f t="shared" si="408"/>
        <v/>
      </c>
      <c r="BM1048" t="str">
        <f t="shared" si="409"/>
        <v/>
      </c>
      <c r="BN1048" t="str">
        <f t="shared" si="410"/>
        <v/>
      </c>
      <c r="BO1048" t="str">
        <f t="shared" si="411"/>
        <v/>
      </c>
      <c r="BP1048" t="str">
        <f t="shared" si="412"/>
        <v/>
      </c>
      <c r="BQ1048" t="str">
        <f t="shared" si="413"/>
        <v/>
      </c>
      <c r="BR1048" t="str">
        <f t="shared" si="414"/>
        <v/>
      </c>
      <c r="BS1048" t="str">
        <f t="shared" si="415"/>
        <v/>
      </c>
      <c r="BT1048" t="str">
        <f t="shared" si="416"/>
        <v/>
      </c>
      <c r="BU1048" t="str">
        <f t="shared" si="417"/>
        <v/>
      </c>
    </row>
    <row r="1049" spans="1:73">
      <c r="A1049" s="1">
        <v>55328</v>
      </c>
      <c r="B1049" t="str">
        <f>VLOOKUP($A1049,[1]Table!$A$2:$N1199,B$1,FALSE)</f>
        <v>B05CB01</v>
      </c>
      <c r="C1049" t="str">
        <f>VLOOKUP($A1049,[1]Table!$A$2:$N1199,C$1,FALSE)</f>
        <v>BLOEDVERVANGINGSMIDDELEN EN PERFUSIEVLOEISTOFFEN</v>
      </c>
      <c r="D1049" t="str">
        <f>VLOOKUP($A1049,[1]Table!$A$2:$N1199,D$1,FALSE)</f>
        <v>IRRIGATIEVLOEISTOFFEN</v>
      </c>
      <c r="E1049" t="str">
        <f>VLOOKUP($A1049,[1]Table!$A$2:$N1199,E$1,FALSE)</f>
        <v>NATRIUMCHLORIDE</v>
      </c>
      <c r="F1049" t="str">
        <f>VLOOKUP($A1049,[1]Table!$A$2:$N1199,F$1,FALSE)</f>
        <v>NATRIUM CHLORIDE 0.9% 1000ML SPVL</v>
      </c>
      <c r="G1049" t="str">
        <f>VLOOKUP($A1049,[1]Table!$A$2:$N1199,G$1,FALSE)</f>
        <v>NATRIUMCHLOR 9MG/ML SPOELVL</v>
      </c>
      <c r="H1049" t="str">
        <f>VLOOKUP($A1049,[1]Table!$A$2:$N1199,H$1,FALSE)</f>
        <v>spoeling</v>
      </c>
      <c r="I1049" t="s">
        <v>70</v>
      </c>
      <c r="J1049">
        <f>VLOOKUP($A1049,[1]Table!$A$2:$N1199,J$1,FALSE)</f>
        <v>9</v>
      </c>
      <c r="K1049" t="str">
        <f>VLOOKUP($A1049,[1]Table!$A$2:$N1199,K$1,FALSE)</f>
        <v>mg/ml</v>
      </c>
      <c r="L1049">
        <f>VLOOKUP($A1049,[1]Table!$A$2:$N1199,L$1,FALSE)</f>
        <v>9</v>
      </c>
      <c r="M1049" t="str">
        <f>VLOOKUP($A1049,[1]Table!$A$2:$N1199,M$1,FALSE)</f>
        <v>mg</v>
      </c>
      <c r="N1049" t="str">
        <f>VLOOKUP($A1049,[1]Table!$A$2:$N1199,N$1,FALSE)</f>
        <v>Blaasspoeling</v>
      </c>
      <c r="O1049" t="str">
        <f>ConcatenateRange(AZ1049:BU1049,"||")</f>
        <v/>
      </c>
      <c r="AZ1049" t="str">
        <f t="shared" si="396"/>
        <v/>
      </c>
      <c r="BA1049" t="str">
        <f t="shared" si="397"/>
        <v/>
      </c>
      <c r="BB1049" t="str">
        <f t="shared" si="398"/>
        <v/>
      </c>
      <c r="BC1049" t="str">
        <f t="shared" si="399"/>
        <v/>
      </c>
      <c r="BD1049" t="str">
        <f t="shared" si="400"/>
        <v/>
      </c>
      <c r="BE1049" t="str">
        <f t="shared" si="401"/>
        <v/>
      </c>
      <c r="BF1049" t="str">
        <f t="shared" si="402"/>
        <v/>
      </c>
      <c r="BG1049" t="str">
        <f t="shared" si="403"/>
        <v/>
      </c>
      <c r="BH1049" t="str">
        <f t="shared" si="404"/>
        <v/>
      </c>
      <c r="BI1049" t="str">
        <f t="shared" si="405"/>
        <v/>
      </c>
      <c r="BJ1049" t="str">
        <f t="shared" si="406"/>
        <v/>
      </c>
      <c r="BK1049" t="str">
        <f t="shared" si="407"/>
        <v/>
      </c>
      <c r="BL1049" t="str">
        <f t="shared" si="408"/>
        <v/>
      </c>
      <c r="BM1049" t="str">
        <f t="shared" si="409"/>
        <v/>
      </c>
      <c r="BN1049" t="str">
        <f t="shared" si="410"/>
        <v/>
      </c>
      <c r="BO1049" t="str">
        <f t="shared" si="411"/>
        <v/>
      </c>
      <c r="BP1049" t="str">
        <f t="shared" si="412"/>
        <v/>
      </c>
      <c r="BQ1049" t="str">
        <f t="shared" si="413"/>
        <v/>
      </c>
      <c r="BR1049" t="str">
        <f t="shared" si="414"/>
        <v/>
      </c>
      <c r="BS1049" t="str">
        <f t="shared" si="415"/>
        <v/>
      </c>
      <c r="BT1049" t="str">
        <f t="shared" si="416"/>
        <v/>
      </c>
      <c r="BU1049" t="str">
        <f t="shared" si="417"/>
        <v/>
      </c>
    </row>
    <row r="1050" spans="1:73">
      <c r="A1050" s="1">
        <v>136468</v>
      </c>
      <c r="B1050" t="str">
        <f>VLOOKUP($A1050,[1]Table!$A$2:$N1200,B$1,FALSE)</f>
        <v>A06AG01</v>
      </c>
      <c r="C1050" t="str">
        <f>VLOOKUP($A1050,[1]Table!$A$2:$N1200,C$1,FALSE)</f>
        <v>MIDDELEN BIJ OBSTIPATIE</v>
      </c>
      <c r="D1050" t="str">
        <f>VLOOKUP($A1050,[1]Table!$A$2:$N1200,D$1,FALSE)</f>
        <v>MIDDELEN BIJ OBSTIPATIE</v>
      </c>
      <c r="E1050" t="str">
        <f>VLOOKUP($A1050,[1]Table!$A$2:$N1200,E$1,FALSE)</f>
        <v>NATRIUMFOSFATEN</v>
      </c>
      <c r="F1050" t="str">
        <f>VLOOKUP($A1050,[1]Table!$A$2:$N1200,F$1,FALSE)</f>
        <v>FOSFAATCLYSMA CLYSSIE 120ML</v>
      </c>
      <c r="G1050" t="str">
        <f>VLOOKUP($A1050,[1]Table!$A$2:$N1200,G$1,FALSE)</f>
        <v>NATRIUMFOSF KLYSMA (CLYSSIE</v>
      </c>
      <c r="H1050" t="str">
        <f>VLOOKUP($A1050,[1]Table!$A$2:$N1200,H$1,FALSE)</f>
        <v>klysma</v>
      </c>
      <c r="I1050" t="str">
        <f>VLOOKUP($A1050,[1]Table!$A$2:$N1200,I$1,FALSE)</f>
        <v>rect</v>
      </c>
      <c r="J1050">
        <f>VLOOKUP($A1050,[1]Table!$A$2:$N1200,J$1,FALSE)</f>
        <v>123</v>
      </c>
      <c r="K1050" t="str">
        <f>VLOOKUP($A1050,[1]Table!$A$2:$N1200,K$1,FALSE)</f>
        <v>mg/ml</v>
      </c>
      <c r="L1050">
        <f>VLOOKUP($A1050,[1]Table!$A$2:$N1200,L$1,FALSE)</f>
        <v>123</v>
      </c>
      <c r="M1050" t="str">
        <f>VLOOKUP($A1050,[1]Table!$A$2:$N1200,M$1,FALSE)</f>
        <v>mg</v>
      </c>
      <c r="N1050" t="str">
        <f>VLOOKUP($A1050,[1]Table!$A$2:$N1200,N$1,FALSE)</f>
        <v>Hypofosfatemie||Lediging van het rectum, sigmoid en het onderste gedeelte van het colon descendens</v>
      </c>
      <c r="O1050" t="str">
        <f>ConcatenateRange(AZ1050:BU1050,"||")</f>
        <v/>
      </c>
      <c r="AZ1050" t="str">
        <f t="shared" si="396"/>
        <v/>
      </c>
      <c r="BA1050" t="str">
        <f t="shared" si="397"/>
        <v/>
      </c>
      <c r="BB1050" t="str">
        <f t="shared" si="398"/>
        <v/>
      </c>
      <c r="BC1050" t="str">
        <f t="shared" si="399"/>
        <v/>
      </c>
      <c r="BD1050" t="str">
        <f t="shared" si="400"/>
        <v/>
      </c>
      <c r="BE1050" t="str">
        <f t="shared" si="401"/>
        <v/>
      </c>
      <c r="BF1050" t="str">
        <f t="shared" si="402"/>
        <v/>
      </c>
      <c r="BG1050" t="str">
        <f t="shared" si="403"/>
        <v/>
      </c>
      <c r="BH1050" t="str">
        <f t="shared" si="404"/>
        <v/>
      </c>
      <c r="BI1050" t="str">
        <f t="shared" si="405"/>
        <v/>
      </c>
      <c r="BJ1050" t="str">
        <f t="shared" si="406"/>
        <v/>
      </c>
      <c r="BK1050" t="str">
        <f t="shared" si="407"/>
        <v/>
      </c>
      <c r="BL1050" t="str">
        <f t="shared" si="408"/>
        <v/>
      </c>
      <c r="BM1050" t="str">
        <f t="shared" si="409"/>
        <v/>
      </c>
      <c r="BN1050" t="str">
        <f t="shared" si="410"/>
        <v/>
      </c>
      <c r="BO1050" t="str">
        <f t="shared" si="411"/>
        <v/>
      </c>
      <c r="BP1050" t="str">
        <f t="shared" si="412"/>
        <v/>
      </c>
      <c r="BQ1050" t="str">
        <f t="shared" si="413"/>
        <v/>
      </c>
      <c r="BR1050" t="str">
        <f t="shared" si="414"/>
        <v/>
      </c>
      <c r="BS1050" t="str">
        <f t="shared" si="415"/>
        <v/>
      </c>
      <c r="BT1050" t="str">
        <f t="shared" si="416"/>
        <v/>
      </c>
      <c r="BU1050" t="str">
        <f t="shared" si="417"/>
        <v/>
      </c>
    </row>
    <row r="1051" spans="1:73">
      <c r="A1051" s="1">
        <v>15415</v>
      </c>
      <c r="B1051" t="str">
        <f>VLOOKUP($A1051,[1]Table!$A$2:$N1201,B$1,FALSE)</f>
        <v>A06AG01</v>
      </c>
      <c r="C1051" t="str">
        <f>VLOOKUP($A1051,[1]Table!$A$2:$N1201,C$1,FALSE)</f>
        <v>MIDDELEN BIJ OBSTIPATIE</v>
      </c>
      <c r="D1051" t="str">
        <f>VLOOKUP($A1051,[1]Table!$A$2:$N1201,D$1,FALSE)</f>
        <v>MIDDELEN BIJ OBSTIPATIE</v>
      </c>
      <c r="E1051" t="str">
        <f>VLOOKUP($A1051,[1]Table!$A$2:$N1201,E$1,FALSE)</f>
        <v>NATRIUMFOSFATEN</v>
      </c>
      <c r="F1051" t="str">
        <f>VLOOKUP($A1051,[1]Table!$A$2:$N1201,F$1,FALSE)</f>
        <v>COLEX  FOSFAATKLYSMA (FLEET)</v>
      </c>
      <c r="G1051" t="str">
        <f>VLOOKUP($A1051,[1]Table!$A$2:$N1201,G$1,FALSE)</f>
        <v>NATRIUMFOSF KLYSMA (COLEX)</v>
      </c>
      <c r="H1051" t="str">
        <f>VLOOKUP($A1051,[1]Table!$A$2:$N1201,H$1,FALSE)</f>
        <v>klysma</v>
      </c>
      <c r="I1051" t="str">
        <f>VLOOKUP($A1051,[1]Table!$A$2:$N1201,I$1,FALSE)</f>
        <v>rect</v>
      </c>
      <c r="J1051">
        <f>VLOOKUP($A1051,[1]Table!$A$2:$N1201,J$1,FALSE)</f>
        <v>160</v>
      </c>
      <c r="K1051" t="str">
        <f>VLOOKUP($A1051,[1]Table!$A$2:$N1201,K$1,FALSE)</f>
        <v>mg/ml</v>
      </c>
      <c r="L1051">
        <f>VLOOKUP($A1051,[1]Table!$A$2:$N1201,L$1,FALSE)</f>
        <v>160</v>
      </c>
      <c r="M1051" t="str">
        <f>VLOOKUP($A1051,[1]Table!$A$2:$N1201,M$1,FALSE)</f>
        <v>mg</v>
      </c>
      <c r="N1051" t="str">
        <f>VLOOKUP($A1051,[1]Table!$A$2:$N1201,N$1,FALSE)</f>
        <v>Hypofosfatemie||Lediging van het rectum, sigmoid en het onderste gedeelte van het colon descendens</v>
      </c>
      <c r="O1051" t="str">
        <f>ConcatenateRange(AZ1051:BU1051,"||")</f>
        <v/>
      </c>
      <c r="AZ1051" t="str">
        <f t="shared" si="396"/>
        <v/>
      </c>
      <c r="BA1051" t="str">
        <f t="shared" si="397"/>
        <v/>
      </c>
      <c r="BB1051" t="str">
        <f t="shared" si="398"/>
        <v/>
      </c>
      <c r="BC1051" t="str">
        <f t="shared" si="399"/>
        <v/>
      </c>
      <c r="BD1051" t="str">
        <f t="shared" si="400"/>
        <v/>
      </c>
      <c r="BE1051" t="str">
        <f t="shared" si="401"/>
        <v/>
      </c>
      <c r="BF1051" t="str">
        <f t="shared" si="402"/>
        <v/>
      </c>
      <c r="BG1051" t="str">
        <f t="shared" si="403"/>
        <v/>
      </c>
      <c r="BH1051" t="str">
        <f t="shared" si="404"/>
        <v/>
      </c>
      <c r="BI1051" t="str">
        <f t="shared" si="405"/>
        <v/>
      </c>
      <c r="BJ1051" t="str">
        <f t="shared" si="406"/>
        <v/>
      </c>
      <c r="BK1051" t="str">
        <f t="shared" si="407"/>
        <v/>
      </c>
      <c r="BL1051" t="str">
        <f t="shared" si="408"/>
        <v/>
      </c>
      <c r="BM1051" t="str">
        <f t="shared" si="409"/>
        <v/>
      </c>
      <c r="BN1051" t="str">
        <f t="shared" si="410"/>
        <v/>
      </c>
      <c r="BO1051" t="str">
        <f t="shared" si="411"/>
        <v/>
      </c>
      <c r="BP1051" t="str">
        <f t="shared" si="412"/>
        <v/>
      </c>
      <c r="BQ1051" t="str">
        <f t="shared" si="413"/>
        <v/>
      </c>
      <c r="BR1051" t="str">
        <f t="shared" si="414"/>
        <v/>
      </c>
      <c r="BS1051" t="str">
        <f t="shared" si="415"/>
        <v/>
      </c>
      <c r="BT1051" t="str">
        <f t="shared" si="416"/>
        <v/>
      </c>
      <c r="BU1051" t="str">
        <f t="shared" si="417"/>
        <v/>
      </c>
    </row>
    <row r="1052" spans="1:73">
      <c r="A1052" s="1">
        <v>81493</v>
      </c>
      <c r="B1052" t="str">
        <f>VLOOKUP($A1052,[1]Table!$A$2:$N1516,B$1,FALSE)</f>
        <v>A06AG11</v>
      </c>
      <c r="C1052" t="str">
        <f>VLOOKUP($A1052,[1]Table!$A$2:$N1516,C$1,FALSE)</f>
        <v>MIDDELEN BIJ OBSTIPATIE</v>
      </c>
      <c r="D1052" t="str">
        <f>VLOOKUP($A1052,[1]Table!$A$2:$N1516,D$1,FALSE)</f>
        <v>MIDDELEN BIJ OBSTIPATIE</v>
      </c>
      <c r="E1052" t="str">
        <f>VLOOKUP($A1052,[1]Table!$A$2:$N1516,E$1,FALSE)</f>
        <v>NATRIUMLAURYLSULFOACETAAT/SORBITOL</v>
      </c>
      <c r="F1052" t="str">
        <f>VLOOKUP($A1052,[1]Table!$A$2:$N1516,F$1,FALSE)</f>
        <v>MICROLAX 5ML</v>
      </c>
      <c r="G1052" t="str">
        <f>VLOOKUP($A1052,[1]Table!$A$2:$N1516,G$1,FALSE)</f>
        <v>NALAURSULFO/SORBITOL KLYSMA</v>
      </c>
      <c r="H1052" t="str">
        <f>VLOOKUP($A1052,[1]Table!$A$2:$N1516,H$1,FALSE)</f>
        <v>klysma</v>
      </c>
      <c r="I1052" t="str">
        <f>VLOOKUP($A1052,[1]Table!$A$2:$N1516,I$1,FALSE)</f>
        <v>rect</v>
      </c>
      <c r="J1052">
        <f>VLOOKUP($A1052,[1]Table!$A$2:$N1516,J$1,FALSE)</f>
        <v>625</v>
      </c>
      <c r="K1052" t="str">
        <f>VLOOKUP($A1052,[1]Table!$A$2:$N1516,K$1,FALSE)</f>
        <v>mg/ml</v>
      </c>
      <c r="L1052">
        <f>VLOOKUP($A1052,[1]Table!$A$2:$N1516,L$1,FALSE)</f>
        <v>625</v>
      </c>
      <c r="M1052" t="str">
        <f>VLOOKUP($A1052,[1]Table!$A$2:$N1516,M$1,FALSE)</f>
        <v>mg</v>
      </c>
      <c r="N1052" t="str">
        <f>VLOOKUP($A1052,[1]Table!$A$2:$N1516,N$1,FALSE)</f>
        <v>Obstipatie</v>
      </c>
      <c r="O1052" t="str">
        <f>ConcatenateRange(AZ1052:BU1052,"||")</f>
        <v/>
      </c>
      <c r="AZ1052" t="str">
        <f t="shared" si="396"/>
        <v/>
      </c>
      <c r="BA1052" t="str">
        <f t="shared" si="397"/>
        <v/>
      </c>
      <c r="BB1052" t="str">
        <f t="shared" si="398"/>
        <v/>
      </c>
      <c r="BC1052" t="str">
        <f t="shared" si="399"/>
        <v/>
      </c>
      <c r="BD1052" t="str">
        <f t="shared" si="400"/>
        <v/>
      </c>
      <c r="BE1052" t="str">
        <f t="shared" si="401"/>
        <v/>
      </c>
      <c r="BF1052" t="str">
        <f t="shared" si="402"/>
        <v/>
      </c>
      <c r="BG1052" t="str">
        <f t="shared" si="403"/>
        <v/>
      </c>
      <c r="BH1052" t="str">
        <f t="shared" si="404"/>
        <v/>
      </c>
      <c r="BI1052" t="str">
        <f t="shared" si="405"/>
        <v/>
      </c>
      <c r="BJ1052" t="str">
        <f t="shared" si="406"/>
        <v/>
      </c>
      <c r="BK1052" t="str">
        <f t="shared" si="407"/>
        <v/>
      </c>
      <c r="BL1052" t="str">
        <f t="shared" si="408"/>
        <v/>
      </c>
      <c r="BM1052" t="str">
        <f t="shared" si="409"/>
        <v/>
      </c>
      <c r="BN1052" t="str">
        <f t="shared" si="410"/>
        <v/>
      </c>
      <c r="BO1052" t="str">
        <f t="shared" si="411"/>
        <v/>
      </c>
      <c r="BP1052" t="str">
        <f t="shared" si="412"/>
        <v/>
      </c>
      <c r="BQ1052" t="str">
        <f t="shared" si="413"/>
        <v/>
      </c>
      <c r="BR1052" t="str">
        <f t="shared" si="414"/>
        <v/>
      </c>
      <c r="BS1052" t="str">
        <f t="shared" si="415"/>
        <v/>
      </c>
      <c r="BT1052" t="str">
        <f t="shared" si="416"/>
        <v/>
      </c>
      <c r="BU1052" t="str">
        <f t="shared" si="417"/>
        <v/>
      </c>
    </row>
    <row r="1053" spans="1:73">
      <c r="A1053" s="1">
        <v>116491</v>
      </c>
      <c r="B1053" t="str">
        <f>VLOOKUP($A1053,[1]Table!$A$2:$N1202,B$1,FALSE)</f>
        <v>A12CE02</v>
      </c>
      <c r="C1053" t="str">
        <f>VLOOKUP($A1053,[1]Table!$A$2:$N1202,C$1,FALSE)</f>
        <v>MINERAALSUPPLEMENTEN</v>
      </c>
      <c r="D1053" t="str">
        <f>VLOOKUP($A1053,[1]Table!$A$2:$N1202,D$1,FALSE)</f>
        <v>OVERIGE MINERAALSUPPLEMENTEN</v>
      </c>
      <c r="E1053" t="str">
        <f>VLOOKUP($A1053,[1]Table!$A$2:$N1202,E$1,FALSE)</f>
        <v>NATRIUMSELENIET</v>
      </c>
      <c r="F1053" t="str">
        <f>VLOOKUP($A1053,[1]Table!$A$2:$N1202,F$1,FALSE)</f>
        <v>SELENASE INJECTIEVLST (500 MCG SE/10ML)</v>
      </c>
      <c r="G1053" t="str">
        <f>VLOOKUP($A1053,[1]Table!$A$2:$N1202,G$1,FALSE)</f>
        <v>NATRIUMSELENIE 166UG/ML INJ</v>
      </c>
      <c r="H1053" t="str">
        <f>VLOOKUP($A1053,[1]Table!$A$2:$N1202,H$1,FALSE)</f>
        <v>injectievloeistof</v>
      </c>
      <c r="I1053" t="str">
        <f>VLOOKUP($A1053,[1]Table!$A$2:$N1202,I$1,FALSE)</f>
        <v>im||iv</v>
      </c>
      <c r="J1053">
        <f>VLOOKUP($A1053,[1]Table!$A$2:$N1202,J$1,FALSE)</f>
        <v>166</v>
      </c>
      <c r="K1053" t="str">
        <f>VLOOKUP($A1053,[1]Table!$A$2:$N1202,K$1,FALSE)</f>
        <v>mcg/ml</v>
      </c>
      <c r="L1053">
        <f>VLOOKUP($A1053,[1]Table!$A$2:$N1202,L$1,FALSE)</f>
        <v>166</v>
      </c>
      <c r="M1053" t="str">
        <f>VLOOKUP($A1053,[1]Table!$A$2:$N1202,M$1,FALSE)</f>
        <v>mcg</v>
      </c>
      <c r="N1053" t="str">
        <f>VLOOKUP($A1053,[1]Table!$A$2:$N1202,N$1,FALSE)</f>
        <v>Deficientie||Onderhoudsbehoefte seleen in TPV</v>
      </c>
      <c r="O1053" t="str">
        <f>ConcatenateRange(AZ1053:BU1053,"||")</f>
        <v/>
      </c>
      <c r="AZ1053" t="str">
        <f t="shared" si="396"/>
        <v/>
      </c>
      <c r="BA1053" t="str">
        <f t="shared" si="397"/>
        <v/>
      </c>
      <c r="BB1053" t="str">
        <f t="shared" si="398"/>
        <v/>
      </c>
      <c r="BC1053" t="str">
        <f t="shared" si="399"/>
        <v/>
      </c>
      <c r="BD1053" t="str">
        <f t="shared" si="400"/>
        <v/>
      </c>
      <c r="BE1053" t="str">
        <f t="shared" si="401"/>
        <v/>
      </c>
      <c r="BF1053" t="str">
        <f t="shared" si="402"/>
        <v/>
      </c>
      <c r="BG1053" t="str">
        <f t="shared" si="403"/>
        <v/>
      </c>
      <c r="BH1053" t="str">
        <f t="shared" si="404"/>
        <v/>
      </c>
      <c r="BI1053" t="str">
        <f t="shared" si="405"/>
        <v/>
      </c>
      <c r="BJ1053" t="str">
        <f t="shared" si="406"/>
        <v/>
      </c>
      <c r="BK1053" t="str">
        <f t="shared" si="407"/>
        <v/>
      </c>
      <c r="BL1053" t="str">
        <f t="shared" si="408"/>
        <v/>
      </c>
      <c r="BM1053" t="str">
        <f t="shared" si="409"/>
        <v/>
      </c>
      <c r="BN1053" t="str">
        <f t="shared" si="410"/>
        <v/>
      </c>
      <c r="BO1053" t="str">
        <f t="shared" si="411"/>
        <v/>
      </c>
      <c r="BP1053" t="str">
        <f t="shared" si="412"/>
        <v/>
      </c>
      <c r="BQ1053" t="str">
        <f t="shared" si="413"/>
        <v/>
      </c>
      <c r="BR1053" t="str">
        <f t="shared" si="414"/>
        <v/>
      </c>
      <c r="BS1053" t="str">
        <f t="shared" si="415"/>
        <v/>
      </c>
      <c r="BT1053" t="str">
        <f t="shared" si="416"/>
        <v/>
      </c>
      <c r="BU1053" t="str">
        <f t="shared" si="417"/>
        <v/>
      </c>
    </row>
    <row r="1054" spans="1:73">
      <c r="A1054" s="1">
        <v>39314</v>
      </c>
      <c r="B1054" t="str">
        <f>VLOOKUP($A1054,[1]Table!$A$2:$N1203,B$1,FALSE)</f>
        <v>B05BB01</v>
      </c>
      <c r="C1054" t="str">
        <f>VLOOKUP($A1054,[1]Table!$A$2:$N1203,C$1,FALSE)</f>
        <v>BLOEDVERVANGINGSMIDDELEN EN PERFUSIEVLOEISTOFFEN</v>
      </c>
      <c r="D1054" t="str">
        <f>VLOOKUP($A1054,[1]Table!$A$2:$N1203,D$1,FALSE)</f>
        <v>INTRAVENEUZE OPLOSSINGEN</v>
      </c>
      <c r="E1054" t="str">
        <f>VLOOKUP($A1054,[1]Table!$A$2:$N1203,E$1,FALSE)</f>
        <v>NATRIUMWATERSTOFCARBONAAT</v>
      </c>
      <c r="F1054" t="str">
        <f>VLOOKUP($A1054,[1]Table!$A$2:$N1203,F$1,FALSE)</f>
        <v>NATRIUMBICARBONAAT 1,4% 500ML INFUUS</v>
      </c>
      <c r="G1054" t="str">
        <f>VLOOKUP($A1054,[1]Table!$A$2:$N1203,G$1,FALSE)</f>
        <v>NACARBONAAT 14MG/ML INFVLST</v>
      </c>
      <c r="H1054" t="str">
        <f>VLOOKUP($A1054,[1]Table!$A$2:$N1203,H$1,FALSE)</f>
        <v>infusievloeistof</v>
      </c>
      <c r="I1054" t="str">
        <f>VLOOKUP($A1054,[1]Table!$A$2:$N1203,I$1,FALSE)</f>
        <v>iv</v>
      </c>
      <c r="J1054">
        <f>VLOOKUP($A1054,[1]Table!$A$2:$N1203,J$1,FALSE)</f>
        <v>14</v>
      </c>
      <c r="K1054" t="str">
        <f>VLOOKUP($A1054,[1]Table!$A$2:$N1203,K$1,FALSE)</f>
        <v>mg/ml</v>
      </c>
      <c r="L1054">
        <f>VLOOKUP($A1054,[1]Table!$A$2:$N1203,L$1,FALSE)</f>
        <v>14</v>
      </c>
      <c r="M1054" t="str">
        <f>VLOOKUP($A1054,[1]Table!$A$2:$N1203,M$1,FALSE)</f>
        <v>mg</v>
      </c>
      <c r="N1054" t="str">
        <f>VLOOKUP($A1054,[1]Table!$A$2:$N1203,N$1,FALSE)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4" t="str">
        <f>ConcatenateRange(AZ1054:BU1054,"||")</f>
        <v/>
      </c>
      <c r="AZ1054" t="str">
        <f t="shared" si="396"/>
        <v/>
      </c>
      <c r="BA1054" t="str">
        <f t="shared" si="397"/>
        <v/>
      </c>
      <c r="BB1054" t="str">
        <f t="shared" si="398"/>
        <v/>
      </c>
      <c r="BC1054" t="str">
        <f t="shared" si="399"/>
        <v/>
      </c>
      <c r="BD1054" t="str">
        <f t="shared" si="400"/>
        <v/>
      </c>
      <c r="BE1054" t="str">
        <f t="shared" si="401"/>
        <v/>
      </c>
      <c r="BF1054" t="str">
        <f t="shared" si="402"/>
        <v/>
      </c>
      <c r="BG1054" t="str">
        <f t="shared" si="403"/>
        <v/>
      </c>
      <c r="BH1054" t="str">
        <f t="shared" si="404"/>
        <v/>
      </c>
      <c r="BI1054" t="str">
        <f t="shared" si="405"/>
        <v/>
      </c>
      <c r="BJ1054" t="str">
        <f t="shared" si="406"/>
        <v/>
      </c>
      <c r="BK1054" t="str">
        <f t="shared" si="407"/>
        <v/>
      </c>
      <c r="BL1054" t="str">
        <f t="shared" si="408"/>
        <v/>
      </c>
      <c r="BM1054" t="str">
        <f t="shared" si="409"/>
        <v/>
      </c>
      <c r="BN1054" t="str">
        <f t="shared" si="410"/>
        <v/>
      </c>
      <c r="BO1054" t="str">
        <f t="shared" si="411"/>
        <v/>
      </c>
      <c r="BP1054" t="str">
        <f t="shared" si="412"/>
        <v/>
      </c>
      <c r="BQ1054" t="str">
        <f t="shared" si="413"/>
        <v/>
      </c>
      <c r="BR1054" t="str">
        <f t="shared" si="414"/>
        <v/>
      </c>
      <c r="BS1054" t="str">
        <f t="shared" si="415"/>
        <v/>
      </c>
      <c r="BT1054" t="str">
        <f t="shared" si="416"/>
        <v/>
      </c>
      <c r="BU1054" t="str">
        <f t="shared" si="417"/>
        <v/>
      </c>
    </row>
    <row r="1055" spans="1:73">
      <c r="A1055" s="1">
        <v>39306</v>
      </c>
      <c r="B1055" t="str">
        <f>VLOOKUP($A1055,[1]Table!$A$2:$N1204,B$1,FALSE)</f>
        <v>B05BB01</v>
      </c>
      <c r="C1055" t="str">
        <f>VLOOKUP($A1055,[1]Table!$A$2:$N1204,C$1,FALSE)</f>
        <v>BLOEDVERVANGINGSMIDDELEN EN PERFUSIEVLOEISTOFFEN</v>
      </c>
      <c r="D1055" t="str">
        <f>VLOOKUP($A1055,[1]Table!$A$2:$N1204,D$1,FALSE)</f>
        <v>INTRAVENEUZE OPLOSSINGEN</v>
      </c>
      <c r="E1055" t="str">
        <f>VLOOKUP($A1055,[1]Table!$A$2:$N1204,E$1,FALSE)</f>
        <v>NATRIUMWATERSTOFCARBONAAT</v>
      </c>
      <c r="F1055" t="str">
        <f>VLOOKUP($A1055,[1]Table!$A$2:$N1204,F$1,FALSE)</f>
        <v>NATRIUMBICARBONAAT 4,2% 100ML FRESENIUS</v>
      </c>
      <c r="G1055" t="str">
        <f>VLOOKUP($A1055,[1]Table!$A$2:$N1204,G$1,FALSE)</f>
        <v>NACARBONAAT 42MG/ML INFVLST</v>
      </c>
      <c r="H1055" t="str">
        <f>VLOOKUP($A1055,[1]Table!$A$2:$N1204,H$1,FALSE)</f>
        <v>infusievloeistof</v>
      </c>
      <c r="I1055" t="str">
        <f>VLOOKUP($A1055,[1]Table!$A$2:$N1204,I$1,FALSE)</f>
        <v>iv||or</v>
      </c>
      <c r="J1055">
        <f>VLOOKUP($A1055,[1]Table!$A$2:$N1204,J$1,FALSE)</f>
        <v>42</v>
      </c>
      <c r="K1055" t="str">
        <f>VLOOKUP($A1055,[1]Table!$A$2:$N1204,K$1,FALSE)</f>
        <v>mg/ml</v>
      </c>
      <c r="L1055">
        <v>1</v>
      </c>
      <c r="M1055" t="s">
        <v>71</v>
      </c>
      <c r="N1055" t="str">
        <f>VLOOKUP($A1055,[1]Table!$A$2:$N1204,N$1,FALSE)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5" t="str">
        <f>ConcatenateRange(AZ1055:BU1055,"||")</f>
        <v/>
      </c>
      <c r="AZ1055" t="str">
        <f t="shared" si="396"/>
        <v/>
      </c>
      <c r="BA1055" t="str">
        <f t="shared" si="397"/>
        <v/>
      </c>
      <c r="BB1055" t="str">
        <f t="shared" si="398"/>
        <v/>
      </c>
      <c r="BC1055" t="str">
        <f t="shared" si="399"/>
        <v/>
      </c>
      <c r="BD1055" t="str">
        <f t="shared" si="400"/>
        <v/>
      </c>
      <c r="BE1055" t="str">
        <f t="shared" si="401"/>
        <v/>
      </c>
      <c r="BF1055" t="str">
        <f t="shared" si="402"/>
        <v/>
      </c>
      <c r="BG1055" t="str">
        <f t="shared" si="403"/>
        <v/>
      </c>
      <c r="BH1055" t="str">
        <f t="shared" si="404"/>
        <v/>
      </c>
      <c r="BI1055" t="str">
        <f t="shared" si="405"/>
        <v/>
      </c>
      <c r="BJ1055" t="str">
        <f t="shared" si="406"/>
        <v/>
      </c>
      <c r="BK1055" t="str">
        <f t="shared" si="407"/>
        <v/>
      </c>
      <c r="BL1055" t="str">
        <f t="shared" si="408"/>
        <v/>
      </c>
      <c r="BM1055" t="str">
        <f t="shared" si="409"/>
        <v/>
      </c>
      <c r="BN1055" t="str">
        <f t="shared" si="410"/>
        <v/>
      </c>
      <c r="BO1055" t="str">
        <f t="shared" si="411"/>
        <v/>
      </c>
      <c r="BP1055" t="str">
        <f t="shared" si="412"/>
        <v/>
      </c>
      <c r="BQ1055" t="str">
        <f t="shared" si="413"/>
        <v/>
      </c>
      <c r="BR1055" t="str">
        <f t="shared" si="414"/>
        <v/>
      </c>
      <c r="BS1055" t="str">
        <f t="shared" si="415"/>
        <v/>
      </c>
      <c r="BT1055" t="str">
        <f t="shared" si="416"/>
        <v/>
      </c>
      <c r="BU1055" t="str">
        <f t="shared" si="417"/>
        <v/>
      </c>
    </row>
    <row r="1056" spans="1:73">
      <c r="A1056" s="1">
        <v>39292</v>
      </c>
      <c r="B1056" t="str">
        <f>VLOOKUP($A1056,[1]Table!$A$2:$N1205,B$1,FALSE)</f>
        <v>B05BB01</v>
      </c>
      <c r="C1056" t="str">
        <f>VLOOKUP($A1056,[1]Table!$A$2:$N1205,C$1,FALSE)</f>
        <v>BLOEDVERVANGINGSMIDDELEN EN PERFUSIEVLOEISTOFFEN</v>
      </c>
      <c r="D1056" t="str">
        <f>VLOOKUP($A1056,[1]Table!$A$2:$N1205,D$1,FALSE)</f>
        <v>INTRAVENEUZE OPLOSSINGEN</v>
      </c>
      <c r="E1056" t="str">
        <f>VLOOKUP($A1056,[1]Table!$A$2:$N1205,E$1,FALSE)</f>
        <v>NATRIUMWATERSTOFCARBONAAT</v>
      </c>
      <c r="F1056" t="str">
        <f>VLOOKUP($A1056,[1]Table!$A$2:$N1205,F$1,FALSE)</f>
        <v>NATRIUMBICARBONAAT 8,4% 100ML INFUUS</v>
      </c>
      <c r="G1056" t="str">
        <f>VLOOKUP($A1056,[1]Table!$A$2:$N1205,G$1,FALSE)</f>
        <v>NACARBONAAT 84MG/ML INFVLST</v>
      </c>
      <c r="H1056" t="str">
        <f>VLOOKUP($A1056,[1]Table!$A$2:$N1205,H$1,FALSE)</f>
        <v>infusievloeistof</v>
      </c>
      <c r="I1056" t="str">
        <f>VLOOKUP($A1056,[1]Table!$A$2:$N1205,I$1,FALSE)</f>
        <v>iv</v>
      </c>
      <c r="J1056">
        <f>VLOOKUP($A1056,[1]Table!$A$2:$N1205,J$1,FALSE)</f>
        <v>84</v>
      </c>
      <c r="K1056" t="str">
        <f>VLOOKUP($A1056,[1]Table!$A$2:$N1205,K$1,FALSE)</f>
        <v>mg/ml</v>
      </c>
      <c r="L1056">
        <f>VLOOKUP($A1056,[1]Table!$A$2:$N1205,L$1,FALSE)</f>
        <v>84</v>
      </c>
      <c r="M1056" t="str">
        <f>VLOOKUP($A1056,[1]Table!$A$2:$N1205,M$1,FALSE)</f>
        <v>mg</v>
      </c>
      <c r="N1056" t="str">
        <f>VLOOKUP($A1056,[1]Table!$A$2:$N1205,N$1,FALSE)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6" t="str">
        <f>ConcatenateRange(AZ1056:BU1056,"||")</f>
        <v/>
      </c>
      <c r="AZ1056" t="str">
        <f t="shared" si="396"/>
        <v/>
      </c>
      <c r="BA1056" t="str">
        <f t="shared" si="397"/>
        <v/>
      </c>
      <c r="BB1056" t="str">
        <f t="shared" si="398"/>
        <v/>
      </c>
      <c r="BC1056" t="str">
        <f t="shared" si="399"/>
        <v/>
      </c>
      <c r="BD1056" t="str">
        <f t="shared" si="400"/>
        <v/>
      </c>
      <c r="BE1056" t="str">
        <f t="shared" si="401"/>
        <v/>
      </c>
      <c r="BF1056" t="str">
        <f t="shared" si="402"/>
        <v/>
      </c>
      <c r="BG1056" t="str">
        <f t="shared" si="403"/>
        <v/>
      </c>
      <c r="BH1056" t="str">
        <f t="shared" si="404"/>
        <v/>
      </c>
      <c r="BI1056" t="str">
        <f t="shared" si="405"/>
        <v/>
      </c>
      <c r="BJ1056" t="str">
        <f t="shared" si="406"/>
        <v/>
      </c>
      <c r="BK1056" t="str">
        <f t="shared" si="407"/>
        <v/>
      </c>
      <c r="BL1056" t="str">
        <f t="shared" si="408"/>
        <v/>
      </c>
      <c r="BM1056" t="str">
        <f t="shared" si="409"/>
        <v/>
      </c>
      <c r="BN1056" t="str">
        <f t="shared" si="410"/>
        <v/>
      </c>
      <c r="BO1056" t="str">
        <f t="shared" si="411"/>
        <v/>
      </c>
      <c r="BP1056" t="str">
        <f t="shared" si="412"/>
        <v/>
      </c>
      <c r="BQ1056" t="str">
        <f t="shared" si="413"/>
        <v/>
      </c>
      <c r="BR1056" t="str">
        <f t="shared" si="414"/>
        <v/>
      </c>
      <c r="BS1056" t="str">
        <f t="shared" si="415"/>
        <v/>
      </c>
      <c r="BT1056" t="str">
        <f t="shared" si="416"/>
        <v/>
      </c>
      <c r="BU1056" t="str">
        <f t="shared" si="417"/>
        <v/>
      </c>
    </row>
    <row r="1057" spans="1:73">
      <c r="A1057" s="1">
        <v>96032</v>
      </c>
      <c r="B1057" t="str">
        <f>VLOOKUP($A1057,[1]Table!$A$2:$N1208,B$1,FALSE)</f>
        <v>A07AA01</v>
      </c>
      <c r="C1057" t="str">
        <f>VLOOKUP($A1057,[1]Table!$A$2:$N1208,C$1,FALSE)</f>
        <v>ANTIDIARRHOICA, ANTI-INFLAMM./ANTIMICROBIELE DARMMIDDELEN</v>
      </c>
      <c r="D1057" t="str">
        <f>VLOOKUP($A1057,[1]Table!$A$2:$N1208,D$1,FALSE)</f>
        <v>ANTIMICROBIELE DARMMIDDELEN</v>
      </c>
      <c r="E1057" t="str">
        <f>VLOOKUP($A1057,[1]Table!$A$2:$N1208,E$1,FALSE)</f>
        <v>NEOMYCINE</v>
      </c>
      <c r="F1057" t="str">
        <f>VLOOKUP($A1057,[1]Table!$A$2:$N1208,F$1,FALSE)</f>
        <v>NEOMYCINESULFAAT 375 MG TABLET</v>
      </c>
      <c r="G1057" t="str">
        <f>VLOOKUP($A1057,[1]Table!$A$2:$N1208,G$1,FALSE)</f>
        <v>NEOMYCINE 375MG TABLET</v>
      </c>
      <c r="H1057" t="str">
        <f>VLOOKUP($A1057,[1]Table!$A$2:$N1208,H$1,FALSE)</f>
        <v>tablet</v>
      </c>
      <c r="I1057" t="str">
        <f>VLOOKUP($A1057,[1]Table!$A$2:$N1208,I$1,FALSE)</f>
        <v>or</v>
      </c>
      <c r="J1057">
        <f>VLOOKUP($A1057,[1]Table!$A$2:$N1208,J$1,FALSE)</f>
        <v>375</v>
      </c>
      <c r="K1057" t="str">
        <f>VLOOKUP($A1057,[1]Table!$A$2:$N1208,K$1,FALSE)</f>
        <v>mg/stuk</v>
      </c>
      <c r="L1057">
        <f>VLOOKUP($A1057,[1]Table!$A$2:$N1208,L$1,FALSE)</f>
        <v>187.5</v>
      </c>
      <c r="M1057" t="str">
        <f>VLOOKUP($A1057,[1]Table!$A$2:$N1208,M$1,FALSE)</f>
        <v>mg</v>
      </c>
      <c r="N1057" t="str">
        <f>VLOOKUP($A1057,[1]Table!$A$2:$N1208,N$1,FALSE)</f>
        <v>Selectieve darmdecontaminatie||Hepatisch coma</v>
      </c>
      <c r="O1057" t="str">
        <f>ConcatenateRange(AZ1057:BU1057,"||")</f>
        <v/>
      </c>
      <c r="AZ1057" t="str">
        <f t="shared" si="396"/>
        <v/>
      </c>
      <c r="BA1057" t="str">
        <f t="shared" si="397"/>
        <v/>
      </c>
      <c r="BB1057" t="str">
        <f t="shared" si="398"/>
        <v/>
      </c>
      <c r="BC1057" t="str">
        <f t="shared" si="399"/>
        <v/>
      </c>
      <c r="BD1057" t="str">
        <f t="shared" si="400"/>
        <v/>
      </c>
      <c r="BE1057" t="str">
        <f t="shared" si="401"/>
        <v/>
      </c>
      <c r="BF1057" t="str">
        <f t="shared" si="402"/>
        <v/>
      </c>
      <c r="BG1057" t="str">
        <f t="shared" si="403"/>
        <v/>
      </c>
      <c r="BH1057" t="str">
        <f t="shared" si="404"/>
        <v/>
      </c>
      <c r="BI1057" t="str">
        <f t="shared" si="405"/>
        <v/>
      </c>
      <c r="BJ1057" t="str">
        <f t="shared" si="406"/>
        <v/>
      </c>
      <c r="BK1057" t="str">
        <f t="shared" si="407"/>
        <v/>
      </c>
      <c r="BL1057" t="str">
        <f t="shared" si="408"/>
        <v/>
      </c>
      <c r="BM1057" t="str">
        <f t="shared" si="409"/>
        <v/>
      </c>
      <c r="BN1057" t="str">
        <f t="shared" si="410"/>
        <v/>
      </c>
      <c r="BO1057" t="str">
        <f t="shared" si="411"/>
        <v/>
      </c>
      <c r="BP1057" t="str">
        <f t="shared" si="412"/>
        <v/>
      </c>
      <c r="BQ1057" t="str">
        <f t="shared" si="413"/>
        <v/>
      </c>
      <c r="BR1057" t="str">
        <f t="shared" si="414"/>
        <v/>
      </c>
      <c r="BS1057" t="str">
        <f t="shared" si="415"/>
        <v/>
      </c>
      <c r="BT1057" t="str">
        <f t="shared" si="416"/>
        <v/>
      </c>
      <c r="BU1057" t="str">
        <f t="shared" si="417"/>
        <v/>
      </c>
    </row>
    <row r="1058" spans="1:73">
      <c r="A1058" s="1">
        <v>426</v>
      </c>
      <c r="B1058" t="str">
        <f>VLOOKUP($A1058,[1]Table!$A$2:$N1209,B$1,FALSE)</f>
        <v>N07AA01</v>
      </c>
      <c r="C1058" t="str">
        <f>VLOOKUP($A1058,[1]Table!$A$2:$N1209,C$1,FALSE)</f>
        <v>OVERIGE MIDDELEN WERKZAAM OP HET ZENUWSTELSEL</v>
      </c>
      <c r="D1058" t="str">
        <f>VLOOKUP($A1058,[1]Table!$A$2:$N1209,D$1,FALSE)</f>
        <v>PARASYMPATHICOMIMETICA</v>
      </c>
      <c r="E1058" t="str">
        <f>VLOOKUP($A1058,[1]Table!$A$2:$N1209,E$1,FALSE)</f>
        <v>NEOSTIGMINE</v>
      </c>
      <c r="F1058" t="str">
        <f>VLOOKUP($A1058,[1]Table!$A$2:$N1209,F$1,FALSE)</f>
        <v>NEOSTIGMINE METHYLSULFAAT 0.5 MG/ML 1ML</v>
      </c>
      <c r="G1058" t="str">
        <f>VLOOKUP($A1058,[1]Table!$A$2:$N1209,G$1,FALSE)</f>
        <v>NEOSTIGMINE 0,5MG/ML INJVLS</v>
      </c>
      <c r="H1058" t="str">
        <f>VLOOKUP($A1058,[1]Table!$A$2:$N1209,H$1,FALSE)</f>
        <v>injectievloeistof</v>
      </c>
      <c r="I1058" t="str">
        <f>VLOOKUP($A1058,[1]Table!$A$2:$N1209,I$1,FALSE)</f>
        <v>im||iv||sc</v>
      </c>
      <c r="J1058">
        <f>VLOOKUP($A1058,[1]Table!$A$2:$N1209,J$1,FALSE)</f>
        <v>0.5</v>
      </c>
      <c r="K1058" t="str">
        <f>VLOOKUP($A1058,[1]Table!$A$2:$N1209,K$1,FALSE)</f>
        <v>mg/ml</v>
      </c>
      <c r="L1058">
        <f>VLOOKUP($A1058,[1]Table!$A$2:$N1209,L$1,FALSE)</f>
        <v>0.5</v>
      </c>
      <c r="M1058" t="str">
        <f>VLOOKUP($A1058,[1]Table!$A$2:$N1209,M$1,FALSE)</f>
        <v>mg</v>
      </c>
      <c r="N1058" t="str">
        <f>VLOOKUP($A1058,[1]Table!$A$2:$N1209,N$1,FALSE)</f>
        <v>Antagoneren van niet-depoliserende spierverslappers||Myasthenia Gravis</v>
      </c>
      <c r="O1058" t="str">
        <f>ConcatenateRange(AZ1058:BU1058,"||")</f>
        <v/>
      </c>
      <c r="AZ1058" t="str">
        <f t="shared" si="396"/>
        <v/>
      </c>
      <c r="BA1058" t="str">
        <f t="shared" si="397"/>
        <v/>
      </c>
      <c r="BB1058" t="str">
        <f t="shared" si="398"/>
        <v/>
      </c>
      <c r="BC1058" t="str">
        <f t="shared" si="399"/>
        <v/>
      </c>
      <c r="BD1058" t="str">
        <f t="shared" si="400"/>
        <v/>
      </c>
      <c r="BE1058" t="str">
        <f t="shared" si="401"/>
        <v/>
      </c>
      <c r="BF1058" t="str">
        <f t="shared" si="402"/>
        <v/>
      </c>
      <c r="BG1058" t="str">
        <f t="shared" si="403"/>
        <v/>
      </c>
      <c r="BH1058" t="str">
        <f t="shared" si="404"/>
        <v/>
      </c>
      <c r="BI1058" t="str">
        <f t="shared" si="405"/>
        <v/>
      </c>
      <c r="BJ1058" t="str">
        <f t="shared" si="406"/>
        <v/>
      </c>
      <c r="BK1058" t="str">
        <f t="shared" si="407"/>
        <v/>
      </c>
      <c r="BL1058" t="str">
        <f t="shared" si="408"/>
        <v/>
      </c>
      <c r="BM1058" t="str">
        <f t="shared" si="409"/>
        <v/>
      </c>
      <c r="BN1058" t="str">
        <f t="shared" si="410"/>
        <v/>
      </c>
      <c r="BO1058" t="str">
        <f t="shared" si="411"/>
        <v/>
      </c>
      <c r="BP1058" t="str">
        <f t="shared" si="412"/>
        <v/>
      </c>
      <c r="BQ1058" t="str">
        <f t="shared" si="413"/>
        <v/>
      </c>
      <c r="BR1058" t="str">
        <f t="shared" si="414"/>
        <v/>
      </c>
      <c r="BS1058" t="str">
        <f t="shared" si="415"/>
        <v/>
      </c>
      <c r="BT1058" t="str">
        <f t="shared" si="416"/>
        <v/>
      </c>
      <c r="BU1058" t="str">
        <f t="shared" si="417"/>
        <v/>
      </c>
    </row>
    <row r="1059" spans="1:73">
      <c r="A1059" s="1">
        <v>110221</v>
      </c>
      <c r="B1059" t="str">
        <f>VLOOKUP($A1059,[1]Table!$A$2:$N1210,B$1,FALSE)</f>
        <v>J05AG01</v>
      </c>
      <c r="C1059" t="str">
        <f>VLOOKUP($A1059,[1]Table!$A$2:$N1210,C$1,FALSE)</f>
        <v>ANTIVIRALE MIDDELEN VOOR SYSTEMISCH GEBRUIK</v>
      </c>
      <c r="D1059" t="str">
        <f>VLOOKUP($A1059,[1]Table!$A$2:$N1210,D$1,FALSE)</f>
        <v>DIRECT WERKENDE ANTIVIRALE MIDDELEN</v>
      </c>
      <c r="E1059" t="str">
        <f>VLOOKUP($A1059,[1]Table!$A$2:$N1210,E$1,FALSE)</f>
        <v>NEVIRAPINE</v>
      </c>
      <c r="F1059" t="str">
        <f>VLOOKUP($A1059,[1]Table!$A$2:$N1210,F$1,FALSE)</f>
        <v>VIRAMUNE 10 MG/ML SUSPENSIE</v>
      </c>
      <c r="G1059" t="str">
        <f>VLOOKUP($A1059,[1]Table!$A$2:$N1210,G$1,FALSE)</f>
        <v>NEVIRAPINE 10MG/ML SUSP</v>
      </c>
      <c r="H1059" t="str">
        <f>VLOOKUP($A1059,[1]Table!$A$2:$N1210,H$1,FALSE)</f>
        <v>suspensie voor oraal gebruik</v>
      </c>
      <c r="I1059" t="str">
        <f>VLOOKUP($A1059,[1]Table!$A$2:$N1210,I$1,FALSE)</f>
        <v>or</v>
      </c>
      <c r="J1059">
        <f>VLOOKUP($A1059,[1]Table!$A$2:$N1210,J$1,FALSE)</f>
        <v>10</v>
      </c>
      <c r="K1059" t="str">
        <f>VLOOKUP($A1059,[1]Table!$A$2:$N1210,K$1,FALSE)</f>
        <v>mg/ml</v>
      </c>
      <c r="L1059">
        <f>VLOOKUP($A1059,[1]Table!$A$2:$N1210,L$1,FALSE)</f>
        <v>10</v>
      </c>
      <c r="M1059" t="str">
        <f>VLOOKUP($A1059,[1]Table!$A$2:$N1210,M$1,FALSE)</f>
        <v>mg</v>
      </c>
      <c r="N1059" t="str">
        <f>VLOOKUP($A1059,[1]Table!$A$2:$N1210,N$1,FALSE)</f>
        <v>Neonatale profylaxe bij HIV positieve moeder||HIV</v>
      </c>
      <c r="O1059" t="str">
        <f>ConcatenateRange(AZ1059:BU1059,"||")</f>
        <v/>
      </c>
      <c r="AZ1059" t="str">
        <f t="shared" si="396"/>
        <v/>
      </c>
      <c r="BA1059" t="str">
        <f t="shared" si="397"/>
        <v/>
      </c>
      <c r="BB1059" t="str">
        <f t="shared" si="398"/>
        <v/>
      </c>
      <c r="BC1059" t="str">
        <f t="shared" si="399"/>
        <v/>
      </c>
      <c r="BD1059" t="str">
        <f t="shared" si="400"/>
        <v/>
      </c>
      <c r="BE1059" t="str">
        <f t="shared" si="401"/>
        <v/>
      </c>
      <c r="BF1059" t="str">
        <f t="shared" si="402"/>
        <v/>
      </c>
      <c r="BG1059" t="str">
        <f t="shared" si="403"/>
        <v/>
      </c>
      <c r="BH1059" t="str">
        <f t="shared" si="404"/>
        <v/>
      </c>
      <c r="BI1059" t="str">
        <f t="shared" si="405"/>
        <v/>
      </c>
      <c r="BJ1059" t="str">
        <f t="shared" si="406"/>
        <v/>
      </c>
      <c r="BK1059" t="str">
        <f t="shared" si="407"/>
        <v/>
      </c>
      <c r="BL1059" t="str">
        <f t="shared" si="408"/>
        <v/>
      </c>
      <c r="BM1059" t="str">
        <f t="shared" si="409"/>
        <v/>
      </c>
      <c r="BN1059" t="str">
        <f t="shared" si="410"/>
        <v/>
      </c>
      <c r="BO1059" t="str">
        <f t="shared" si="411"/>
        <v/>
      </c>
      <c r="BP1059" t="str">
        <f t="shared" si="412"/>
        <v/>
      </c>
      <c r="BQ1059" t="str">
        <f t="shared" si="413"/>
        <v/>
      </c>
      <c r="BR1059" t="str">
        <f t="shared" si="414"/>
        <v/>
      </c>
      <c r="BS1059" t="str">
        <f t="shared" si="415"/>
        <v/>
      </c>
      <c r="BT1059" t="str">
        <f t="shared" si="416"/>
        <v/>
      </c>
      <c r="BU1059" t="str">
        <f t="shared" si="417"/>
        <v/>
      </c>
    </row>
    <row r="1060" spans="1:73">
      <c r="A1060" s="1">
        <v>103586</v>
      </c>
      <c r="B1060" t="str">
        <f>VLOOKUP($A1060,[1]Table!$A$2:$N1211,B$1,FALSE)</f>
        <v>J05AG01</v>
      </c>
      <c r="C1060" t="str">
        <f>VLOOKUP($A1060,[1]Table!$A$2:$N1211,C$1,FALSE)</f>
        <v>ANTIVIRALE MIDDELEN VOOR SYSTEMISCH GEBRUIK</v>
      </c>
      <c r="D1060" t="str">
        <f>VLOOKUP($A1060,[1]Table!$A$2:$N1211,D$1,FALSE)</f>
        <v>DIRECT WERKENDE ANTIVIRALE MIDDELEN</v>
      </c>
      <c r="E1060" t="str">
        <f>VLOOKUP($A1060,[1]Table!$A$2:$N1211,E$1,FALSE)</f>
        <v>NEVIRAPINE</v>
      </c>
      <c r="F1060" t="str">
        <f>VLOOKUP($A1060,[1]Table!$A$2:$N1211,F$1,FALSE)</f>
        <v>VIRAMUNE 200 MG TABLET</v>
      </c>
      <c r="G1060" t="str">
        <f>VLOOKUP($A1060,[1]Table!$A$2:$N1211,G$1,FALSE)</f>
        <v>NEVIRAPINE 200MG TABLET</v>
      </c>
      <c r="H1060" t="str">
        <f>VLOOKUP($A1060,[1]Table!$A$2:$N1211,H$1,FALSE)</f>
        <v>tablet</v>
      </c>
      <c r="I1060" t="str">
        <f>VLOOKUP($A1060,[1]Table!$A$2:$N1211,I$1,FALSE)</f>
        <v>or</v>
      </c>
      <c r="J1060">
        <f>VLOOKUP($A1060,[1]Table!$A$2:$N1211,J$1,FALSE)</f>
        <v>200</v>
      </c>
      <c r="K1060" t="str">
        <f>VLOOKUP($A1060,[1]Table!$A$2:$N1211,K$1,FALSE)</f>
        <v>mg/stuk</v>
      </c>
      <c r="L1060">
        <f>VLOOKUP($A1060,[1]Table!$A$2:$N1211,L$1,FALSE)</f>
        <v>100</v>
      </c>
      <c r="M1060" t="str">
        <f>VLOOKUP($A1060,[1]Table!$A$2:$N1211,M$1,FALSE)</f>
        <v>mg</v>
      </c>
      <c r="N1060" t="str">
        <f>VLOOKUP($A1060,[1]Table!$A$2:$N1211,N$1,FALSE)</f>
        <v>Neonatale profylaxe bij HIV positieve moeder||HIV</v>
      </c>
      <c r="O1060" t="str">
        <f>ConcatenateRange(AZ1060:BU1060,"||")</f>
        <v/>
      </c>
      <c r="AZ1060" t="str">
        <f t="shared" si="396"/>
        <v/>
      </c>
      <c r="BA1060" t="str">
        <f t="shared" si="397"/>
        <v/>
      </c>
      <c r="BB1060" t="str">
        <f t="shared" si="398"/>
        <v/>
      </c>
      <c r="BC1060" t="str">
        <f t="shared" si="399"/>
        <v/>
      </c>
      <c r="BD1060" t="str">
        <f t="shared" si="400"/>
        <v/>
      </c>
      <c r="BE1060" t="str">
        <f t="shared" si="401"/>
        <v/>
      </c>
      <c r="BF1060" t="str">
        <f t="shared" si="402"/>
        <v/>
      </c>
      <c r="BG1060" t="str">
        <f t="shared" si="403"/>
        <v/>
      </c>
      <c r="BH1060" t="str">
        <f t="shared" si="404"/>
        <v/>
      </c>
      <c r="BI1060" t="str">
        <f t="shared" si="405"/>
        <v/>
      </c>
      <c r="BJ1060" t="str">
        <f t="shared" si="406"/>
        <v/>
      </c>
      <c r="BK1060" t="str">
        <f t="shared" si="407"/>
        <v/>
      </c>
      <c r="BL1060" t="str">
        <f t="shared" si="408"/>
        <v/>
      </c>
      <c r="BM1060" t="str">
        <f t="shared" si="409"/>
        <v/>
      </c>
      <c r="BN1060" t="str">
        <f t="shared" si="410"/>
        <v/>
      </c>
      <c r="BO1060" t="str">
        <f t="shared" si="411"/>
        <v/>
      </c>
      <c r="BP1060" t="str">
        <f t="shared" si="412"/>
        <v/>
      </c>
      <c r="BQ1060" t="str">
        <f t="shared" si="413"/>
        <v/>
      </c>
      <c r="BR1060" t="str">
        <f t="shared" si="414"/>
        <v/>
      </c>
      <c r="BS1060" t="str">
        <f t="shared" si="415"/>
        <v/>
      </c>
      <c r="BT1060" t="str">
        <f t="shared" si="416"/>
        <v/>
      </c>
      <c r="BU1060" t="str">
        <f t="shared" si="417"/>
        <v/>
      </c>
    </row>
    <row r="1061" spans="1:73">
      <c r="A1061" s="1">
        <v>137499</v>
      </c>
      <c r="B1061" t="str">
        <f>VLOOKUP($A1061,[1]Table!$A$2:$N1212,B$1,FALSE)</f>
        <v>J05AG01</v>
      </c>
      <c r="C1061" t="str">
        <f>VLOOKUP($A1061,[1]Table!$A$2:$N1212,C$1,FALSE)</f>
        <v>ANTIVIRALE MIDDELEN VOOR SYSTEMISCH GEBRUIK</v>
      </c>
      <c r="D1061" t="str">
        <f>VLOOKUP($A1061,[1]Table!$A$2:$N1212,D$1,FALSE)</f>
        <v>DIRECT WERKENDE ANTIVIRALE MIDDELEN</v>
      </c>
      <c r="E1061" t="str">
        <f>VLOOKUP($A1061,[1]Table!$A$2:$N1212,E$1,FALSE)</f>
        <v>NEVIRAPINE</v>
      </c>
      <c r="F1061" t="str">
        <f>VLOOKUP($A1061,[1]Table!$A$2:$N1212,F$1,FALSE)</f>
        <v>VIRAMUNE 400 MG TABLET MVA (RETARD)</v>
      </c>
      <c r="G1061" t="str">
        <f>VLOOKUP($A1061,[1]Table!$A$2:$N1212,G$1,FALSE)</f>
        <v>NEVIRAPINE 400MG TABLET MGA</v>
      </c>
      <c r="H1061" t="str">
        <f>VLOOKUP($A1061,[1]Table!$A$2:$N1212,H$1,FALSE)</f>
        <v>tablet met gereguleerde afgifte</v>
      </c>
      <c r="I1061" t="str">
        <f>VLOOKUP($A1061,[1]Table!$A$2:$N1212,I$1,FALSE)</f>
        <v>or</v>
      </c>
      <c r="J1061">
        <f>VLOOKUP($A1061,[1]Table!$A$2:$N1212,J$1,FALSE)</f>
        <v>400</v>
      </c>
      <c r="K1061" t="str">
        <f>VLOOKUP($A1061,[1]Table!$A$2:$N1212,K$1,FALSE)</f>
        <v>mg/stuk</v>
      </c>
      <c r="L1061">
        <f>VLOOKUP($A1061,[1]Table!$A$2:$N1212,L$1,FALSE)</f>
        <v>400</v>
      </c>
      <c r="M1061" t="str">
        <f>VLOOKUP($A1061,[1]Table!$A$2:$N1212,M$1,FALSE)</f>
        <v>mg</v>
      </c>
      <c r="N1061" t="str">
        <f>VLOOKUP($A1061,[1]Table!$A$2:$N1212,N$1,FALSE)</f>
        <v>Neonatale profylaxe bij HIV positieve moeder||HIV</v>
      </c>
      <c r="O1061" t="str">
        <f>ConcatenateRange(AZ1061:BU1061,"||")</f>
        <v/>
      </c>
      <c r="AZ1061" t="str">
        <f t="shared" si="396"/>
        <v/>
      </c>
      <c r="BA1061" t="str">
        <f t="shared" si="397"/>
        <v/>
      </c>
      <c r="BB1061" t="str">
        <f t="shared" si="398"/>
        <v/>
      </c>
      <c r="BC1061" t="str">
        <f t="shared" si="399"/>
        <v/>
      </c>
      <c r="BD1061" t="str">
        <f t="shared" si="400"/>
        <v/>
      </c>
      <c r="BE1061" t="str">
        <f t="shared" si="401"/>
        <v/>
      </c>
      <c r="BF1061" t="str">
        <f t="shared" si="402"/>
        <v/>
      </c>
      <c r="BG1061" t="str">
        <f t="shared" si="403"/>
        <v/>
      </c>
      <c r="BH1061" t="str">
        <f t="shared" si="404"/>
        <v/>
      </c>
      <c r="BI1061" t="str">
        <f t="shared" si="405"/>
        <v/>
      </c>
      <c r="BJ1061" t="str">
        <f t="shared" si="406"/>
        <v/>
      </c>
      <c r="BK1061" t="str">
        <f t="shared" si="407"/>
        <v/>
      </c>
      <c r="BL1061" t="str">
        <f t="shared" si="408"/>
        <v/>
      </c>
      <c r="BM1061" t="str">
        <f t="shared" si="409"/>
        <v/>
      </c>
      <c r="BN1061" t="str">
        <f t="shared" si="410"/>
        <v/>
      </c>
      <c r="BO1061" t="str">
        <f t="shared" si="411"/>
        <v/>
      </c>
      <c r="BP1061" t="str">
        <f t="shared" si="412"/>
        <v/>
      </c>
      <c r="BQ1061" t="str">
        <f t="shared" si="413"/>
        <v/>
      </c>
      <c r="BR1061" t="str">
        <f t="shared" si="414"/>
        <v/>
      </c>
      <c r="BS1061" t="str">
        <f t="shared" si="415"/>
        <v/>
      </c>
      <c r="BT1061" t="str">
        <f t="shared" si="416"/>
        <v/>
      </c>
      <c r="BU1061" t="str">
        <f t="shared" si="417"/>
        <v/>
      </c>
    </row>
    <row r="1062" spans="1:73">
      <c r="A1062" s="1">
        <v>89648</v>
      </c>
      <c r="B1062" t="str">
        <f>VLOOKUP($A1062,[1]Table!$A$2:$N1213,B$1,FALSE)</f>
        <v>C08CA04</v>
      </c>
      <c r="C1062" t="str">
        <f>VLOOKUP($A1062,[1]Table!$A$2:$N1213,C$1,FALSE)</f>
        <v>CALCIUMANTAGONISTEN</v>
      </c>
      <c r="D1062" t="str">
        <f>VLOOKUP($A1062,[1]Table!$A$2:$N1213,D$1,FALSE)</f>
        <v>SELECTIEVE CALCIUMANTAGONISTEN MET VNL VASCULAIRE WERKING</v>
      </c>
      <c r="E1062" t="str">
        <f>VLOOKUP($A1062,[1]Table!$A$2:$N1213,E$1,FALSE)</f>
        <v>NICARDIPINE</v>
      </c>
      <c r="F1062" t="str">
        <f>VLOOKUP($A1062,[1]Table!$A$2:$N1213,F$1,FALSE)</f>
        <v>CARDENE 1MG/ML AMPUL 5ML</v>
      </c>
      <c r="G1062" t="str">
        <f>VLOOKUP($A1062,[1]Table!$A$2:$N1213,G$1,FALSE)</f>
        <v>NICARDIPINE 1MG/ML INF CONC</v>
      </c>
      <c r="H1062" t="str">
        <f>VLOOKUP($A1062,[1]Table!$A$2:$N1213,H$1,FALSE)</f>
        <v>concentraat voor oplossing voor infusie</v>
      </c>
      <c r="I1062" t="str">
        <f>VLOOKUP($A1062,[1]Table!$A$2:$N1213,I$1,FALSE)</f>
        <v>iv</v>
      </c>
      <c r="J1062">
        <f>VLOOKUP($A1062,[1]Table!$A$2:$N1213,J$1,FALSE)</f>
        <v>1</v>
      </c>
      <c r="K1062" t="str">
        <f>VLOOKUP($A1062,[1]Table!$A$2:$N1213,K$1,FALSE)</f>
        <v>mg/ml</v>
      </c>
      <c r="L1062">
        <f>VLOOKUP($A1062,[1]Table!$A$2:$N1213,L$1,FALSE)</f>
        <v>1</v>
      </c>
      <c r="M1062" t="str">
        <f>VLOOKUP($A1062,[1]Table!$A$2:$N1213,M$1,FALSE)</f>
        <v>mg</v>
      </c>
      <c r="N1062" t="str">
        <f>VLOOKUP($A1062,[1]Table!$A$2:$N1213,N$1,FALSE)</f>
        <v>Hypertensieve crisis||Acute hypertensie</v>
      </c>
      <c r="O1062" t="str">
        <f>ConcatenateRange(AZ1062:BU1062,"||")</f>
        <v/>
      </c>
      <c r="AZ1062" t="str">
        <f t="shared" si="396"/>
        <v/>
      </c>
      <c r="BA1062" t="str">
        <f t="shared" si="397"/>
        <v/>
      </c>
      <c r="BB1062" t="str">
        <f t="shared" si="398"/>
        <v/>
      </c>
      <c r="BC1062" t="str">
        <f t="shared" si="399"/>
        <v/>
      </c>
      <c r="BD1062" t="str">
        <f t="shared" si="400"/>
        <v/>
      </c>
      <c r="BE1062" t="str">
        <f t="shared" si="401"/>
        <v/>
      </c>
      <c r="BF1062" t="str">
        <f t="shared" si="402"/>
        <v/>
      </c>
      <c r="BG1062" t="str">
        <f t="shared" si="403"/>
        <v/>
      </c>
      <c r="BH1062" t="str">
        <f t="shared" si="404"/>
        <v/>
      </c>
      <c r="BI1062" t="str">
        <f t="shared" si="405"/>
        <v/>
      </c>
      <c r="BJ1062" t="str">
        <f t="shared" si="406"/>
        <v/>
      </c>
      <c r="BK1062" t="str">
        <f t="shared" si="407"/>
        <v/>
      </c>
      <c r="BL1062" t="str">
        <f t="shared" si="408"/>
        <v/>
      </c>
      <c r="BM1062" t="str">
        <f t="shared" si="409"/>
        <v/>
      </c>
      <c r="BN1062" t="str">
        <f t="shared" si="410"/>
        <v/>
      </c>
      <c r="BO1062" t="str">
        <f t="shared" si="411"/>
        <v/>
      </c>
      <c r="BP1062" t="str">
        <f t="shared" si="412"/>
        <v/>
      </c>
      <c r="BQ1062" t="str">
        <f t="shared" si="413"/>
        <v/>
      </c>
      <c r="BR1062" t="str">
        <f t="shared" si="414"/>
        <v/>
      </c>
      <c r="BS1062" t="str">
        <f t="shared" si="415"/>
        <v/>
      </c>
      <c r="BT1062" t="str">
        <f t="shared" si="416"/>
        <v/>
      </c>
      <c r="BU1062" t="str">
        <f t="shared" si="417"/>
        <v/>
      </c>
    </row>
    <row r="1063" spans="1:73">
      <c r="A1063" s="1">
        <v>54046</v>
      </c>
      <c r="B1063" t="str">
        <f>VLOOKUP($A1063,[1]Table!$A$2:$N1214,B$1,FALSE)</f>
        <v>C08CA05</v>
      </c>
      <c r="C1063" t="str">
        <f>VLOOKUP($A1063,[1]Table!$A$2:$N1214,C$1,FALSE)</f>
        <v>CALCIUMANTAGONISTEN</v>
      </c>
      <c r="D1063" t="str">
        <f>VLOOKUP($A1063,[1]Table!$A$2:$N1214,D$1,FALSE)</f>
        <v>SELECTIEVE CALCIUMANTAGONISTEN MET VNL VASCULAIRE WERKING</v>
      </c>
      <c r="E1063" t="str">
        <f>VLOOKUP($A1063,[1]Table!$A$2:$N1214,E$1,FALSE)</f>
        <v>NIFEDIPINE</v>
      </c>
      <c r="F1063" t="str">
        <f>VLOOKUP($A1063,[1]Table!$A$2:$N1214,F$1,FALSE)</f>
        <v>NIFEDIPINE 5 MG CAPSULE</v>
      </c>
      <c r="G1063" t="str">
        <f>VLOOKUP($A1063,[1]Table!$A$2:$N1214,G$1,FALSE)</f>
        <v>NIFEDIPINE 5MG CAPSULE</v>
      </c>
      <c r="H1063" t="str">
        <f>VLOOKUP($A1063,[1]Table!$A$2:$N1214,H$1,FALSE)</f>
        <v>capsule</v>
      </c>
      <c r="I1063" t="str">
        <f>VLOOKUP($A1063,[1]Table!$A$2:$N1214,I$1,FALSE)</f>
        <v>or</v>
      </c>
      <c r="J1063">
        <f>VLOOKUP($A1063,[1]Table!$A$2:$N1214,J$1,FALSE)</f>
        <v>5</v>
      </c>
      <c r="K1063" t="str">
        <f>VLOOKUP($A1063,[1]Table!$A$2:$N1214,K$1,FALSE)</f>
        <v>mg/stuk</v>
      </c>
      <c r="L1063">
        <f>VLOOKUP($A1063,[1]Table!$A$2:$N1214,L$1,FALSE)</f>
        <v>5</v>
      </c>
      <c r="M1063" t="str">
        <f>VLOOKUP($A1063,[1]Table!$A$2:$N1214,M$1,FALSE)</f>
        <v>mg</v>
      </c>
      <c r="N1063" t="str">
        <f>VLOOKUP($A1063,[1]Table!$A$2:$N1214,N$1,FALSE)</f>
        <v>Hypertensie||Fenomeen van Raynaud</v>
      </c>
      <c r="O1063" t="str">
        <f>ConcatenateRange(AZ1063:BU1063,"||")</f>
        <v/>
      </c>
      <c r="AZ1063" t="str">
        <f t="shared" si="396"/>
        <v/>
      </c>
      <c r="BA1063" t="str">
        <f t="shared" si="397"/>
        <v/>
      </c>
      <c r="BB1063" t="str">
        <f t="shared" si="398"/>
        <v/>
      </c>
      <c r="BC1063" t="str">
        <f t="shared" si="399"/>
        <v/>
      </c>
      <c r="BD1063" t="str">
        <f t="shared" si="400"/>
        <v/>
      </c>
      <c r="BE1063" t="str">
        <f t="shared" si="401"/>
        <v/>
      </c>
      <c r="BF1063" t="str">
        <f t="shared" si="402"/>
        <v/>
      </c>
      <c r="BG1063" t="str">
        <f t="shared" si="403"/>
        <v/>
      </c>
      <c r="BH1063" t="str">
        <f t="shared" si="404"/>
        <v/>
      </c>
      <c r="BI1063" t="str">
        <f t="shared" si="405"/>
        <v/>
      </c>
      <c r="BJ1063" t="str">
        <f t="shared" si="406"/>
        <v/>
      </c>
      <c r="BK1063" t="str">
        <f t="shared" si="407"/>
        <v/>
      </c>
      <c r="BL1063" t="str">
        <f t="shared" si="408"/>
        <v/>
      </c>
      <c r="BM1063" t="str">
        <f t="shared" si="409"/>
        <v/>
      </c>
      <c r="BN1063" t="str">
        <f t="shared" si="410"/>
        <v/>
      </c>
      <c r="BO1063" t="str">
        <f t="shared" si="411"/>
        <v/>
      </c>
      <c r="BP1063" t="str">
        <f t="shared" si="412"/>
        <v/>
      </c>
      <c r="BQ1063" t="str">
        <f t="shared" si="413"/>
        <v/>
      </c>
      <c r="BR1063" t="str">
        <f t="shared" si="414"/>
        <v/>
      </c>
      <c r="BS1063" t="str">
        <f t="shared" si="415"/>
        <v/>
      </c>
      <c r="BT1063" t="str">
        <f t="shared" si="416"/>
        <v/>
      </c>
      <c r="BU1063" t="str">
        <f t="shared" si="417"/>
        <v/>
      </c>
    </row>
    <row r="1064" spans="1:73">
      <c r="A1064" s="1">
        <v>37834</v>
      </c>
      <c r="B1064" t="str">
        <f>VLOOKUP($A1064,[1]Table!$A$2:$N1215,B$1,FALSE)</f>
        <v>C08CA05</v>
      </c>
      <c r="C1064" t="str">
        <f>VLOOKUP($A1064,[1]Table!$A$2:$N1215,C$1,FALSE)</f>
        <v>CALCIUMANTAGONISTEN</v>
      </c>
      <c r="D1064" t="str">
        <f>VLOOKUP($A1064,[1]Table!$A$2:$N1215,D$1,FALSE)</f>
        <v>SELECTIEVE CALCIUMANTAGONISTEN MET VNL VASCULAIRE WERKING</v>
      </c>
      <c r="E1064" t="str">
        <f>VLOOKUP($A1064,[1]Table!$A$2:$N1215,E$1,FALSE)</f>
        <v>NIFEDIPINE</v>
      </c>
      <c r="F1064" t="str">
        <f>VLOOKUP($A1064,[1]Table!$A$2:$N1215,F$1,FALSE)</f>
        <v>NIFEDIPINE 10 MG CAPSULE</v>
      </c>
      <c r="G1064" t="str">
        <f>VLOOKUP($A1064,[1]Table!$A$2:$N1215,G$1,FALSE)</f>
        <v>NIFEDIPINE 10MG CAPSULE</v>
      </c>
      <c r="H1064" t="str">
        <f>VLOOKUP($A1064,[1]Table!$A$2:$N1215,H$1,FALSE)</f>
        <v>capsule</v>
      </c>
      <c r="I1064" t="str">
        <f>VLOOKUP($A1064,[1]Table!$A$2:$N1215,I$1,FALSE)</f>
        <v>or</v>
      </c>
      <c r="J1064">
        <f>VLOOKUP($A1064,[1]Table!$A$2:$N1215,J$1,FALSE)</f>
        <v>10</v>
      </c>
      <c r="K1064" t="str">
        <f>VLOOKUP($A1064,[1]Table!$A$2:$N1215,K$1,FALSE)</f>
        <v>mg/stuk</v>
      </c>
      <c r="L1064">
        <f>VLOOKUP($A1064,[1]Table!$A$2:$N1215,L$1,FALSE)</f>
        <v>10</v>
      </c>
      <c r="M1064" t="str">
        <f>VLOOKUP($A1064,[1]Table!$A$2:$N1215,M$1,FALSE)</f>
        <v>mg</v>
      </c>
      <c r="N1064" t="str">
        <f>VLOOKUP($A1064,[1]Table!$A$2:$N1215,N$1,FALSE)</f>
        <v>Hypertensie||Fenomeen van Raynaud</v>
      </c>
      <c r="O1064" t="str">
        <f>ConcatenateRange(AZ1064:BU1064,"||")</f>
        <v/>
      </c>
      <c r="AZ1064" t="str">
        <f t="shared" si="396"/>
        <v/>
      </c>
      <c r="BA1064" t="str">
        <f t="shared" si="397"/>
        <v/>
      </c>
      <c r="BB1064" t="str">
        <f t="shared" si="398"/>
        <v/>
      </c>
      <c r="BC1064" t="str">
        <f t="shared" si="399"/>
        <v/>
      </c>
      <c r="BD1064" t="str">
        <f t="shared" si="400"/>
        <v/>
      </c>
      <c r="BE1064" t="str">
        <f t="shared" si="401"/>
        <v/>
      </c>
      <c r="BF1064" t="str">
        <f t="shared" si="402"/>
        <v/>
      </c>
      <c r="BG1064" t="str">
        <f t="shared" si="403"/>
        <v/>
      </c>
      <c r="BH1064" t="str">
        <f t="shared" si="404"/>
        <v/>
      </c>
      <c r="BI1064" t="str">
        <f t="shared" si="405"/>
        <v/>
      </c>
      <c r="BJ1064" t="str">
        <f t="shared" si="406"/>
        <v/>
      </c>
      <c r="BK1064" t="str">
        <f t="shared" si="407"/>
        <v/>
      </c>
      <c r="BL1064" t="str">
        <f t="shared" si="408"/>
        <v/>
      </c>
      <c r="BM1064" t="str">
        <f t="shared" si="409"/>
        <v/>
      </c>
      <c r="BN1064" t="str">
        <f t="shared" si="410"/>
        <v/>
      </c>
      <c r="BO1064" t="str">
        <f t="shared" si="411"/>
        <v/>
      </c>
      <c r="BP1064" t="str">
        <f t="shared" si="412"/>
        <v/>
      </c>
      <c r="BQ1064" t="str">
        <f t="shared" si="413"/>
        <v/>
      </c>
      <c r="BR1064" t="str">
        <f t="shared" si="414"/>
        <v/>
      </c>
      <c r="BS1064" t="str">
        <f t="shared" si="415"/>
        <v/>
      </c>
      <c r="BT1064" t="str">
        <f t="shared" si="416"/>
        <v/>
      </c>
      <c r="BU1064" t="str">
        <f t="shared" si="417"/>
        <v/>
      </c>
    </row>
    <row r="1065" spans="1:73">
      <c r="A1065" s="1">
        <v>71412</v>
      </c>
      <c r="B1065" t="str">
        <f>VLOOKUP($A1065,[1]Table!$A$2:$N1216,B$1,FALSE)</f>
        <v>C08CA05</v>
      </c>
      <c r="C1065" t="str">
        <f>VLOOKUP($A1065,[1]Table!$A$2:$N1216,C$1,FALSE)</f>
        <v>CALCIUMANTAGONISTEN</v>
      </c>
      <c r="D1065" t="str">
        <f>VLOOKUP($A1065,[1]Table!$A$2:$N1216,D$1,FALSE)</f>
        <v>SELECTIEVE CALCIUMANTAGONISTEN MET VNL VASCULAIRE WERKING</v>
      </c>
      <c r="E1065" t="s">
        <v>115</v>
      </c>
      <c r="F1065" t="str">
        <f>VLOOKUP($A1065,[1]Table!$A$2:$N1216,F$1,FALSE)</f>
        <v>NIFEDIPINE 10 MG TABLET RETARD</v>
      </c>
      <c r="G1065" t="str">
        <f>VLOOKUP($A1065,[1]Table!$A$2:$N1216,G$1,FALSE)</f>
        <v>NIFEDIPINE 10MG TABLET RET</v>
      </c>
      <c r="H1065" t="str">
        <f>VLOOKUP($A1065,[1]Table!$A$2:$N1216,H$1,FALSE)</f>
        <v>tablet</v>
      </c>
      <c r="I1065" t="str">
        <f>VLOOKUP($A1065,[1]Table!$A$2:$N1216,I$1,FALSE)</f>
        <v>or</v>
      </c>
      <c r="J1065">
        <f>VLOOKUP($A1065,[1]Table!$A$2:$N1216,J$1,FALSE)</f>
        <v>10</v>
      </c>
      <c r="K1065" t="str">
        <f>VLOOKUP($A1065,[1]Table!$A$2:$N1216,K$1,FALSE)</f>
        <v>mg/stuk</v>
      </c>
      <c r="L1065">
        <f>VLOOKUP($A1065,[1]Table!$A$2:$N1216,L$1,FALSE)</f>
        <v>10</v>
      </c>
      <c r="M1065" t="str">
        <f>VLOOKUP($A1065,[1]Table!$A$2:$N1216,M$1,FALSE)</f>
        <v>mg</v>
      </c>
      <c r="N1065" t="str">
        <f>VLOOKUP($A1065,[1]Table!$A$2:$N1216,N$1,FALSE)</f>
        <v>Hypertensie||Fenomeen van Raynaud</v>
      </c>
      <c r="O1065" t="str">
        <f>ConcatenateRange(AZ1065:BU1065,"||")</f>
        <v/>
      </c>
      <c r="AZ1065" t="str">
        <f t="shared" si="396"/>
        <v/>
      </c>
      <c r="BA1065" t="str">
        <f t="shared" si="397"/>
        <v/>
      </c>
      <c r="BB1065" t="str">
        <f t="shared" si="398"/>
        <v/>
      </c>
      <c r="BC1065" t="str">
        <f t="shared" si="399"/>
        <v/>
      </c>
      <c r="BD1065" t="str">
        <f t="shared" si="400"/>
        <v/>
      </c>
      <c r="BE1065" t="str">
        <f t="shared" si="401"/>
        <v/>
      </c>
      <c r="BF1065" t="str">
        <f t="shared" si="402"/>
        <v/>
      </c>
      <c r="BG1065" t="str">
        <f t="shared" si="403"/>
        <v/>
      </c>
      <c r="BH1065" t="str">
        <f t="shared" si="404"/>
        <v/>
      </c>
      <c r="BI1065" t="str">
        <f t="shared" si="405"/>
        <v/>
      </c>
      <c r="BJ1065" t="str">
        <f t="shared" si="406"/>
        <v/>
      </c>
      <c r="BK1065" t="str">
        <f t="shared" si="407"/>
        <v/>
      </c>
      <c r="BL1065" t="str">
        <f t="shared" si="408"/>
        <v/>
      </c>
      <c r="BM1065" t="str">
        <f t="shared" si="409"/>
        <v/>
      </c>
      <c r="BN1065" t="str">
        <f t="shared" si="410"/>
        <v/>
      </c>
      <c r="BO1065" t="str">
        <f t="shared" si="411"/>
        <v/>
      </c>
      <c r="BP1065" t="str">
        <f t="shared" si="412"/>
        <v/>
      </c>
      <c r="BQ1065" t="str">
        <f t="shared" si="413"/>
        <v/>
      </c>
      <c r="BR1065" t="str">
        <f t="shared" si="414"/>
        <v/>
      </c>
      <c r="BS1065" t="str">
        <f t="shared" si="415"/>
        <v/>
      </c>
      <c r="BT1065" t="str">
        <f t="shared" si="416"/>
        <v/>
      </c>
      <c r="BU1065" t="str">
        <f t="shared" si="417"/>
        <v/>
      </c>
    </row>
    <row r="1066" spans="1:73">
      <c r="A1066" s="1">
        <v>71404</v>
      </c>
      <c r="B1066" t="str">
        <f>VLOOKUP($A1066,[1]Table!$A$2:$N1217,B$1,FALSE)</f>
        <v>C08CA05</v>
      </c>
      <c r="C1066" t="str">
        <f>VLOOKUP($A1066,[1]Table!$A$2:$N1217,C$1,FALSE)</f>
        <v>CALCIUMANTAGONISTEN</v>
      </c>
      <c r="D1066" t="str">
        <f>VLOOKUP($A1066,[1]Table!$A$2:$N1217,D$1,FALSE)</f>
        <v>SELECTIEVE CALCIUMANTAGONISTEN MET VNL VASCULAIRE WERKING</v>
      </c>
      <c r="E1066" t="str">
        <f>VLOOKUP($A1066,[1]Table!$A$2:$N1217,E$1,FALSE)</f>
        <v>NIFEDIPINE</v>
      </c>
      <c r="F1066" t="str">
        <f>VLOOKUP($A1066,[1]Table!$A$2:$N1217,F$1,FALSE)</f>
        <v>NIFEDIPINE 20 MG TABLET RETARD</v>
      </c>
      <c r="G1066" t="str">
        <f>VLOOKUP($A1066,[1]Table!$A$2:$N1217,G$1,FALSE)</f>
        <v>NIFEDIPINE 20MG TABLET RET</v>
      </c>
      <c r="H1066" t="str">
        <f>VLOOKUP($A1066,[1]Table!$A$2:$N1217,H$1,FALSE)</f>
        <v>tablet</v>
      </c>
      <c r="I1066" t="str">
        <f>VLOOKUP($A1066,[1]Table!$A$2:$N1217,I$1,FALSE)</f>
        <v>or</v>
      </c>
      <c r="J1066">
        <f>VLOOKUP($A1066,[1]Table!$A$2:$N1217,J$1,FALSE)</f>
        <v>20</v>
      </c>
      <c r="K1066" t="str">
        <f>VLOOKUP($A1066,[1]Table!$A$2:$N1217,K$1,FALSE)</f>
        <v>mg/stuk</v>
      </c>
      <c r="L1066">
        <f>VLOOKUP($A1066,[1]Table!$A$2:$N1217,L$1,FALSE)</f>
        <v>10</v>
      </c>
      <c r="M1066" t="str">
        <f>VLOOKUP($A1066,[1]Table!$A$2:$N1217,M$1,FALSE)</f>
        <v>mg</v>
      </c>
      <c r="N1066" t="str">
        <f>VLOOKUP($A1066,[1]Table!$A$2:$N1217,N$1,FALSE)</f>
        <v>Hypertensie||Fenomeen van Raynaud</v>
      </c>
      <c r="O1066" t="str">
        <f>ConcatenateRange(AZ1066:BU1066,"||")</f>
        <v/>
      </c>
      <c r="AZ1066" t="str">
        <f t="shared" si="396"/>
        <v/>
      </c>
      <c r="BA1066" t="str">
        <f t="shared" si="397"/>
        <v/>
      </c>
      <c r="BB1066" t="str">
        <f t="shared" si="398"/>
        <v/>
      </c>
      <c r="BC1066" t="str">
        <f t="shared" si="399"/>
        <v/>
      </c>
      <c r="BD1066" t="str">
        <f t="shared" si="400"/>
        <v/>
      </c>
      <c r="BE1066" t="str">
        <f t="shared" si="401"/>
        <v/>
      </c>
      <c r="BF1066" t="str">
        <f t="shared" si="402"/>
        <v/>
      </c>
      <c r="BG1066" t="str">
        <f t="shared" si="403"/>
        <v/>
      </c>
      <c r="BH1066" t="str">
        <f t="shared" si="404"/>
        <v/>
      </c>
      <c r="BI1066" t="str">
        <f t="shared" si="405"/>
        <v/>
      </c>
      <c r="BJ1066" t="str">
        <f t="shared" si="406"/>
        <v/>
      </c>
      <c r="BK1066" t="str">
        <f t="shared" si="407"/>
        <v/>
      </c>
      <c r="BL1066" t="str">
        <f t="shared" si="408"/>
        <v/>
      </c>
      <c r="BM1066" t="str">
        <f t="shared" si="409"/>
        <v/>
      </c>
      <c r="BN1066" t="str">
        <f t="shared" si="410"/>
        <v/>
      </c>
      <c r="BO1066" t="str">
        <f t="shared" si="411"/>
        <v/>
      </c>
      <c r="BP1066" t="str">
        <f t="shared" si="412"/>
        <v/>
      </c>
      <c r="BQ1066" t="str">
        <f t="shared" si="413"/>
        <v/>
      </c>
      <c r="BR1066" t="str">
        <f t="shared" si="414"/>
        <v/>
      </c>
      <c r="BS1066" t="str">
        <f t="shared" si="415"/>
        <v/>
      </c>
      <c r="BT1066" t="str">
        <f t="shared" si="416"/>
        <v/>
      </c>
      <c r="BU1066" t="str">
        <f t="shared" si="417"/>
        <v/>
      </c>
    </row>
    <row r="1067" spans="1:73">
      <c r="A1067" s="1">
        <v>86061</v>
      </c>
      <c r="B1067" t="str">
        <f>VLOOKUP($A1067,[1]Table!$A$2:$N1218,B$1,FALSE)</f>
        <v>C08CA05</v>
      </c>
      <c r="C1067" t="str">
        <f>VLOOKUP($A1067,[1]Table!$A$2:$N1218,C$1,FALSE)</f>
        <v>CALCIUMANTAGONISTEN</v>
      </c>
      <c r="D1067" t="str">
        <f>VLOOKUP($A1067,[1]Table!$A$2:$N1218,D$1,FALSE)</f>
        <v>SELECTIEVE CALCIUMANTAGONISTEN MET VNL VASCULAIRE WERKING</v>
      </c>
      <c r="E1067" t="s">
        <v>115</v>
      </c>
      <c r="F1067" t="str">
        <f>VLOOKUP($A1067,[1]Table!$A$2:$N1218,F$1,FALSE)</f>
        <v>NIFEDIPINE 30MG TABLET RETARD</v>
      </c>
      <c r="G1067" t="str">
        <f>VLOOKUP($A1067,[1]Table!$A$2:$N1218,G$1,FALSE)</f>
        <v>NIFEDIPINE 30MG TABLET MGA</v>
      </c>
      <c r="H1067" t="str">
        <f>VLOOKUP($A1067,[1]Table!$A$2:$N1218,H$1,FALSE)</f>
        <v>tablet met gereguleerde afgifte</v>
      </c>
      <c r="I1067" t="str">
        <f>VLOOKUP($A1067,[1]Table!$A$2:$N1218,I$1,FALSE)</f>
        <v>or</v>
      </c>
      <c r="J1067">
        <f>VLOOKUP($A1067,[1]Table!$A$2:$N1218,J$1,FALSE)</f>
        <v>30</v>
      </c>
      <c r="K1067" t="str">
        <f>VLOOKUP($A1067,[1]Table!$A$2:$N1218,K$1,FALSE)</f>
        <v>mg/stuk</v>
      </c>
      <c r="L1067">
        <f>VLOOKUP($A1067,[1]Table!$A$2:$N1218,L$1,FALSE)</f>
        <v>30</v>
      </c>
      <c r="M1067" t="str">
        <f>VLOOKUP($A1067,[1]Table!$A$2:$N1218,M$1,FALSE)</f>
        <v>mg</v>
      </c>
      <c r="N1067" t="str">
        <f>VLOOKUP($A1067,[1]Table!$A$2:$N1218,N$1,FALSE)</f>
        <v>Hypertensie||Fenomeen van Raynaud</v>
      </c>
      <c r="O1067" t="str">
        <f>ConcatenateRange(AZ1067:BU1067,"||")</f>
        <v/>
      </c>
      <c r="AZ1067" t="str">
        <f t="shared" si="396"/>
        <v/>
      </c>
      <c r="BA1067" t="str">
        <f t="shared" si="397"/>
        <v/>
      </c>
      <c r="BB1067" t="str">
        <f t="shared" si="398"/>
        <v/>
      </c>
      <c r="BC1067" t="str">
        <f t="shared" si="399"/>
        <v/>
      </c>
      <c r="BD1067" t="str">
        <f t="shared" si="400"/>
        <v/>
      </c>
      <c r="BE1067" t="str">
        <f t="shared" si="401"/>
        <v/>
      </c>
      <c r="BF1067" t="str">
        <f t="shared" si="402"/>
        <v/>
      </c>
      <c r="BG1067" t="str">
        <f t="shared" si="403"/>
        <v/>
      </c>
      <c r="BH1067" t="str">
        <f t="shared" si="404"/>
        <v/>
      </c>
      <c r="BI1067" t="str">
        <f t="shared" si="405"/>
        <v/>
      </c>
      <c r="BJ1067" t="str">
        <f t="shared" si="406"/>
        <v/>
      </c>
      <c r="BK1067" t="str">
        <f t="shared" si="407"/>
        <v/>
      </c>
      <c r="BL1067" t="str">
        <f t="shared" si="408"/>
        <v/>
      </c>
      <c r="BM1067" t="str">
        <f t="shared" si="409"/>
        <v/>
      </c>
      <c r="BN1067" t="str">
        <f t="shared" si="410"/>
        <v/>
      </c>
      <c r="BO1067" t="str">
        <f t="shared" si="411"/>
        <v/>
      </c>
      <c r="BP1067" t="str">
        <f t="shared" si="412"/>
        <v/>
      </c>
      <c r="BQ1067" t="str">
        <f t="shared" si="413"/>
        <v/>
      </c>
      <c r="BR1067" t="str">
        <f t="shared" si="414"/>
        <v/>
      </c>
      <c r="BS1067" t="str">
        <f t="shared" si="415"/>
        <v/>
      </c>
      <c r="BT1067" t="str">
        <f t="shared" si="416"/>
        <v/>
      </c>
      <c r="BU1067" t="str">
        <f t="shared" si="417"/>
        <v/>
      </c>
    </row>
    <row r="1068" spans="1:73">
      <c r="A1068" s="1">
        <v>86088</v>
      </c>
      <c r="B1068" t="str">
        <f>VLOOKUP($A1068,[1]Table!$A$2:$N1219,B$1,FALSE)</f>
        <v>C08CA05</v>
      </c>
      <c r="C1068" t="str">
        <f>VLOOKUP($A1068,[1]Table!$A$2:$N1219,C$1,FALSE)</f>
        <v>CALCIUMANTAGONISTEN</v>
      </c>
      <c r="D1068" t="str">
        <f>VLOOKUP($A1068,[1]Table!$A$2:$N1219,D$1,FALSE)</f>
        <v>SELECTIEVE CALCIUMANTAGONISTEN MET VNL VASCULAIRE WERKING</v>
      </c>
      <c r="E1068" t="s">
        <v>115</v>
      </c>
      <c r="F1068" t="str">
        <f>VLOOKUP($A1068,[1]Table!$A$2:$N1219,F$1,FALSE)</f>
        <v>NIFEDIPINE 60 MG TABLET MGA (RETARD)</v>
      </c>
      <c r="G1068" t="str">
        <f>VLOOKUP($A1068,[1]Table!$A$2:$N1219,G$1,FALSE)</f>
        <v>NIFEDIPINE 60MG TABLET MGA</v>
      </c>
      <c r="H1068" t="str">
        <f>VLOOKUP($A1068,[1]Table!$A$2:$N1219,H$1,FALSE)</f>
        <v>tablet met gereguleerde afgifte</v>
      </c>
      <c r="I1068" t="str">
        <f>VLOOKUP($A1068,[1]Table!$A$2:$N1219,I$1,FALSE)</f>
        <v>or</v>
      </c>
      <c r="J1068">
        <f>VLOOKUP($A1068,[1]Table!$A$2:$N1219,J$1,FALSE)</f>
        <v>60</v>
      </c>
      <c r="K1068" t="str">
        <f>VLOOKUP($A1068,[1]Table!$A$2:$N1219,K$1,FALSE)</f>
        <v>mg/stuk</v>
      </c>
      <c r="L1068">
        <f>VLOOKUP($A1068,[1]Table!$A$2:$N1219,L$1,FALSE)</f>
        <v>60</v>
      </c>
      <c r="M1068" t="str">
        <f>VLOOKUP($A1068,[1]Table!$A$2:$N1219,M$1,FALSE)</f>
        <v>mg</v>
      </c>
      <c r="N1068" t="str">
        <f>VLOOKUP($A1068,[1]Table!$A$2:$N1219,N$1,FALSE)</f>
        <v>Hypertensie||Fenomeen van Raynaud</v>
      </c>
      <c r="O1068" t="str">
        <f>ConcatenateRange(AZ1068:BU1068,"||")</f>
        <v/>
      </c>
      <c r="AZ1068" t="str">
        <f t="shared" si="396"/>
        <v/>
      </c>
      <c r="BA1068" t="str">
        <f t="shared" si="397"/>
        <v/>
      </c>
      <c r="BB1068" t="str">
        <f t="shared" si="398"/>
        <v/>
      </c>
      <c r="BC1068" t="str">
        <f t="shared" si="399"/>
        <v/>
      </c>
      <c r="BD1068" t="str">
        <f t="shared" si="400"/>
        <v/>
      </c>
      <c r="BE1068" t="str">
        <f t="shared" si="401"/>
        <v/>
      </c>
      <c r="BF1068" t="str">
        <f t="shared" si="402"/>
        <v/>
      </c>
      <c r="BG1068" t="str">
        <f t="shared" si="403"/>
        <v/>
      </c>
      <c r="BH1068" t="str">
        <f t="shared" si="404"/>
        <v/>
      </c>
      <c r="BI1068" t="str">
        <f t="shared" si="405"/>
        <v/>
      </c>
      <c r="BJ1068" t="str">
        <f t="shared" si="406"/>
        <v/>
      </c>
      <c r="BK1068" t="str">
        <f t="shared" si="407"/>
        <v/>
      </c>
      <c r="BL1068" t="str">
        <f t="shared" si="408"/>
        <v/>
      </c>
      <c r="BM1068" t="str">
        <f t="shared" si="409"/>
        <v/>
      </c>
      <c r="BN1068" t="str">
        <f t="shared" si="410"/>
        <v/>
      </c>
      <c r="BO1068" t="str">
        <f t="shared" si="411"/>
        <v/>
      </c>
      <c r="BP1068" t="str">
        <f t="shared" si="412"/>
        <v/>
      </c>
      <c r="BQ1068" t="str">
        <f t="shared" si="413"/>
        <v/>
      </c>
      <c r="BR1068" t="str">
        <f t="shared" si="414"/>
        <v/>
      </c>
      <c r="BS1068" t="str">
        <f t="shared" si="415"/>
        <v/>
      </c>
      <c r="BT1068" t="str">
        <f t="shared" si="416"/>
        <v/>
      </c>
      <c r="BU1068" t="str">
        <f t="shared" si="417"/>
        <v/>
      </c>
    </row>
    <row r="1069" spans="1:73">
      <c r="A1069" s="1">
        <v>135216</v>
      </c>
      <c r="B1069" t="str">
        <f>VLOOKUP($A1069,[1]Table!$A$2:$N1220,B$1,FALSE)</f>
        <v>L01XE08</v>
      </c>
      <c r="C1069" t="str">
        <f>VLOOKUP($A1069,[1]Table!$A$2:$N1220,C$1,FALSE)</f>
        <v>ONCOLYTICA</v>
      </c>
      <c r="D1069" t="str">
        <f>VLOOKUP($A1069,[1]Table!$A$2:$N1220,D$1,FALSE)</f>
        <v>OVERIGE ONCOLYTICA</v>
      </c>
      <c r="E1069" t="str">
        <f>VLOOKUP($A1069,[1]Table!$A$2:$N1220,E$1,FALSE)</f>
        <v>NILOTINIB</v>
      </c>
      <c r="F1069" t="str">
        <f>VLOOKUP($A1069,[1]Table!$A$2:$N1220,F$1,FALSE)</f>
        <v>TASIGNA 150 MG CAPSULE</v>
      </c>
      <c r="G1069" t="str">
        <f>VLOOKUP($A1069,[1]Table!$A$2:$N1220,G$1,FALSE)</f>
        <v>NILOTINIB 150MG CAPSULE</v>
      </c>
      <c r="H1069" t="str">
        <f>VLOOKUP($A1069,[1]Table!$A$2:$N1220,H$1,FALSE)</f>
        <v>capsule</v>
      </c>
      <c r="I1069" t="str">
        <f>VLOOKUP($A1069,[1]Table!$A$2:$N1220,I$1,FALSE)</f>
        <v>or</v>
      </c>
      <c r="J1069">
        <f>VLOOKUP($A1069,[1]Table!$A$2:$N1220,J$1,FALSE)</f>
        <v>150</v>
      </c>
      <c r="K1069" t="str">
        <f>VLOOKUP($A1069,[1]Table!$A$2:$N1220,K$1,FALSE)</f>
        <v>mg/stuk</v>
      </c>
      <c r="L1069">
        <f>VLOOKUP($A1069,[1]Table!$A$2:$N1220,L$1,FALSE)</f>
        <v>150</v>
      </c>
      <c r="M1069" t="str">
        <f>VLOOKUP($A1069,[1]Table!$A$2:$N1220,M$1,FALSE)</f>
        <v>mg</v>
      </c>
      <c r="N1069" t="str">
        <f>VLOOKUP($A1069,[1]Table!$A$2:$N1220,N$1,FALSE)</f>
        <v>Resistente/intolerante Ph+ CML in chronische of acceleratie fase, recidiverende of refractaire Ph+ ALL</v>
      </c>
      <c r="O1069" t="str">
        <f>ConcatenateRange(AZ1069:BU1069,"||")</f>
        <v/>
      </c>
      <c r="AZ1069" t="str">
        <f t="shared" si="396"/>
        <v/>
      </c>
      <c r="BA1069" t="str">
        <f t="shared" si="397"/>
        <v/>
      </c>
      <c r="BB1069" t="str">
        <f t="shared" si="398"/>
        <v/>
      </c>
      <c r="BC1069" t="str">
        <f t="shared" si="399"/>
        <v/>
      </c>
      <c r="BD1069" t="str">
        <f t="shared" si="400"/>
        <v/>
      </c>
      <c r="BE1069" t="str">
        <f t="shared" si="401"/>
        <v/>
      </c>
      <c r="BF1069" t="str">
        <f t="shared" si="402"/>
        <v/>
      </c>
      <c r="BG1069" t="str">
        <f t="shared" si="403"/>
        <v/>
      </c>
      <c r="BH1069" t="str">
        <f t="shared" si="404"/>
        <v/>
      </c>
      <c r="BI1069" t="str">
        <f t="shared" si="405"/>
        <v/>
      </c>
      <c r="BJ1069" t="str">
        <f t="shared" si="406"/>
        <v/>
      </c>
      <c r="BK1069" t="str">
        <f t="shared" si="407"/>
        <v/>
      </c>
      <c r="BL1069" t="str">
        <f t="shared" si="408"/>
        <v/>
      </c>
      <c r="BM1069" t="str">
        <f t="shared" si="409"/>
        <v/>
      </c>
      <c r="BN1069" t="str">
        <f t="shared" si="410"/>
        <v/>
      </c>
      <c r="BO1069" t="str">
        <f t="shared" si="411"/>
        <v/>
      </c>
      <c r="BP1069" t="str">
        <f t="shared" si="412"/>
        <v/>
      </c>
      <c r="BQ1069" t="str">
        <f t="shared" si="413"/>
        <v/>
      </c>
      <c r="BR1069" t="str">
        <f t="shared" si="414"/>
        <v/>
      </c>
      <c r="BS1069" t="str">
        <f t="shared" si="415"/>
        <v/>
      </c>
      <c r="BT1069" t="str">
        <f t="shared" si="416"/>
        <v/>
      </c>
      <c r="BU1069" t="str">
        <f t="shared" si="417"/>
        <v/>
      </c>
    </row>
    <row r="1070" spans="1:73">
      <c r="A1070" s="1">
        <v>129747</v>
      </c>
      <c r="B1070" t="str">
        <f>VLOOKUP($A1070,[1]Table!$A$2:$N1221,B$1,FALSE)</f>
        <v>L01XE08</v>
      </c>
      <c r="C1070" t="str">
        <f>VLOOKUP($A1070,[1]Table!$A$2:$N1221,C$1,FALSE)</f>
        <v>ONCOLYTICA</v>
      </c>
      <c r="D1070" t="str">
        <f>VLOOKUP($A1070,[1]Table!$A$2:$N1221,D$1,FALSE)</f>
        <v>OVERIGE ONCOLYTICA</v>
      </c>
      <c r="E1070" t="str">
        <f>VLOOKUP($A1070,[1]Table!$A$2:$N1221,E$1,FALSE)</f>
        <v>NILOTINIB</v>
      </c>
      <c r="F1070" t="str">
        <f>VLOOKUP($A1070,[1]Table!$A$2:$N1221,F$1,FALSE)</f>
        <v>TASIGNA 200 MG CAPSULE</v>
      </c>
      <c r="G1070" t="str">
        <f>VLOOKUP($A1070,[1]Table!$A$2:$N1221,G$1,FALSE)</f>
        <v>NILOTINIB 200MG CAPSULE</v>
      </c>
      <c r="H1070" t="str">
        <f>VLOOKUP($A1070,[1]Table!$A$2:$N1221,H$1,FALSE)</f>
        <v>capsule</v>
      </c>
      <c r="I1070" t="str">
        <f>VLOOKUP($A1070,[1]Table!$A$2:$N1221,I$1,FALSE)</f>
        <v>or</v>
      </c>
      <c r="J1070">
        <f>VLOOKUP($A1070,[1]Table!$A$2:$N1221,J$1,FALSE)</f>
        <v>200</v>
      </c>
      <c r="K1070" t="str">
        <f>VLOOKUP($A1070,[1]Table!$A$2:$N1221,K$1,FALSE)</f>
        <v>mg/stuk</v>
      </c>
      <c r="L1070">
        <f>VLOOKUP($A1070,[1]Table!$A$2:$N1221,L$1,FALSE)</f>
        <v>200</v>
      </c>
      <c r="M1070" t="str">
        <f>VLOOKUP($A1070,[1]Table!$A$2:$N1221,M$1,FALSE)</f>
        <v>mg</v>
      </c>
      <c r="N1070" t="str">
        <f>VLOOKUP($A1070,[1]Table!$A$2:$N1221,N$1,FALSE)</f>
        <v>Resistente/intolerante Ph+ CML in chronische of acceleratie fase, recidiverende of refractaire Ph+ ALL</v>
      </c>
      <c r="O1070" t="str">
        <f>ConcatenateRange(AZ1070:BU1070,"||")</f>
        <v/>
      </c>
      <c r="AZ1070" t="str">
        <f t="shared" si="396"/>
        <v/>
      </c>
      <c r="BA1070" t="str">
        <f t="shared" si="397"/>
        <v/>
      </c>
      <c r="BB1070" t="str">
        <f t="shared" si="398"/>
        <v/>
      </c>
      <c r="BC1070" t="str">
        <f t="shared" si="399"/>
        <v/>
      </c>
      <c r="BD1070" t="str">
        <f t="shared" si="400"/>
        <v/>
      </c>
      <c r="BE1070" t="str">
        <f t="shared" si="401"/>
        <v/>
      </c>
      <c r="BF1070" t="str">
        <f t="shared" si="402"/>
        <v/>
      </c>
      <c r="BG1070" t="str">
        <f t="shared" si="403"/>
        <v/>
      </c>
      <c r="BH1070" t="str">
        <f t="shared" si="404"/>
        <v/>
      </c>
      <c r="BI1070" t="str">
        <f t="shared" si="405"/>
        <v/>
      </c>
      <c r="BJ1070" t="str">
        <f t="shared" si="406"/>
        <v/>
      </c>
      <c r="BK1070" t="str">
        <f t="shared" si="407"/>
        <v/>
      </c>
      <c r="BL1070" t="str">
        <f t="shared" si="408"/>
        <v/>
      </c>
      <c r="BM1070" t="str">
        <f t="shared" si="409"/>
        <v/>
      </c>
      <c r="BN1070" t="str">
        <f t="shared" si="410"/>
        <v/>
      </c>
      <c r="BO1070" t="str">
        <f t="shared" si="411"/>
        <v/>
      </c>
      <c r="BP1070" t="str">
        <f t="shared" si="412"/>
        <v/>
      </c>
      <c r="BQ1070" t="str">
        <f t="shared" si="413"/>
        <v/>
      </c>
      <c r="BR1070" t="str">
        <f t="shared" si="414"/>
        <v/>
      </c>
      <c r="BS1070" t="str">
        <f t="shared" si="415"/>
        <v/>
      </c>
      <c r="BT1070" t="str">
        <f t="shared" si="416"/>
        <v/>
      </c>
      <c r="BU1070" t="str">
        <f t="shared" si="417"/>
        <v/>
      </c>
    </row>
    <row r="1071" spans="1:73">
      <c r="A1071" s="1">
        <v>124958</v>
      </c>
      <c r="B1071" t="str">
        <f>VLOOKUP($A1071,[1]Table!$A$2:$N1222,B$1,FALSE)</f>
        <v>A16AX04</v>
      </c>
      <c r="C1071" t="str">
        <f>VLOOKUP($A1071,[1]Table!$A$2:$N1222,C$1,FALSE)</f>
        <v>OVERIGE MAAGDARMKANAAL- EN METABOLISMEPRODUCTEN</v>
      </c>
      <c r="D1071" t="str">
        <f>VLOOKUP($A1071,[1]Table!$A$2:$N1222,D$1,FALSE)</f>
        <v>OVERIGE MAAGDARMKANAAL- EN METABOLISMEPRODUCTEN</v>
      </c>
      <c r="E1071" t="str">
        <f>VLOOKUP($A1071,[1]Table!$A$2:$N1222,E$1,FALSE)</f>
        <v>NITISINON</v>
      </c>
      <c r="F1071" t="str">
        <f>VLOOKUP($A1071,[1]Table!$A$2:$N1222,F$1,FALSE)</f>
        <v>ORFADIN 2 MG CAPSULE</v>
      </c>
      <c r="G1071" t="str">
        <f>VLOOKUP($A1071,[1]Table!$A$2:$N1222,G$1,FALSE)</f>
        <v>NITISINON 2MG CAPSULE</v>
      </c>
      <c r="H1071" t="str">
        <f>VLOOKUP($A1071,[1]Table!$A$2:$N1222,H$1,FALSE)</f>
        <v>capsule</v>
      </c>
      <c r="I1071" t="str">
        <f>VLOOKUP($A1071,[1]Table!$A$2:$N1222,I$1,FALSE)</f>
        <v>or</v>
      </c>
      <c r="J1071">
        <f>VLOOKUP($A1071,[1]Table!$A$2:$N1222,J$1,FALSE)</f>
        <v>2</v>
      </c>
      <c r="K1071" t="str">
        <f>VLOOKUP($A1071,[1]Table!$A$2:$N1222,K$1,FALSE)</f>
        <v>mg/stuk</v>
      </c>
      <c r="L1071">
        <f>VLOOKUP($A1071,[1]Table!$A$2:$N1222,L$1,FALSE)</f>
        <v>2</v>
      </c>
      <c r="M1071" t="str">
        <f>VLOOKUP($A1071,[1]Table!$A$2:$N1222,M$1,FALSE)</f>
        <v>mg</v>
      </c>
      <c r="N1071" t="str">
        <f>VLOOKUP($A1071,[1]Table!$A$2:$N1222,N$1,FALSE)</f>
        <v>Tyrosinaemie type I</v>
      </c>
      <c r="O1071" t="str">
        <f>ConcatenateRange(AZ1071:BU1071,"||")</f>
        <v/>
      </c>
      <c r="AZ1071" t="str">
        <f t="shared" si="396"/>
        <v/>
      </c>
      <c r="BA1071" t="str">
        <f t="shared" si="397"/>
        <v/>
      </c>
      <c r="BB1071" t="str">
        <f t="shared" si="398"/>
        <v/>
      </c>
      <c r="BC1071" t="str">
        <f t="shared" si="399"/>
        <v/>
      </c>
      <c r="BD1071" t="str">
        <f t="shared" si="400"/>
        <v/>
      </c>
      <c r="BE1071" t="str">
        <f t="shared" si="401"/>
        <v/>
      </c>
      <c r="BF1071" t="str">
        <f t="shared" si="402"/>
        <v/>
      </c>
      <c r="BG1071" t="str">
        <f t="shared" si="403"/>
        <v/>
      </c>
      <c r="BH1071" t="str">
        <f t="shared" si="404"/>
        <v/>
      </c>
      <c r="BI1071" t="str">
        <f t="shared" si="405"/>
        <v/>
      </c>
      <c r="BJ1071" t="str">
        <f t="shared" si="406"/>
        <v/>
      </c>
      <c r="BK1071" t="str">
        <f t="shared" si="407"/>
        <v/>
      </c>
      <c r="BL1071" t="str">
        <f t="shared" si="408"/>
        <v/>
      </c>
      <c r="BM1071" t="str">
        <f t="shared" si="409"/>
        <v/>
      </c>
      <c r="BN1071" t="str">
        <f t="shared" si="410"/>
        <v/>
      </c>
      <c r="BO1071" t="str">
        <f t="shared" si="411"/>
        <v/>
      </c>
      <c r="BP1071" t="str">
        <f t="shared" si="412"/>
        <v/>
      </c>
      <c r="BQ1071" t="str">
        <f t="shared" si="413"/>
        <v/>
      </c>
      <c r="BR1071" t="str">
        <f t="shared" si="414"/>
        <v/>
      </c>
      <c r="BS1071" t="str">
        <f t="shared" si="415"/>
        <v/>
      </c>
      <c r="BT1071" t="str">
        <f t="shared" si="416"/>
        <v/>
      </c>
      <c r="BU1071" t="str">
        <f t="shared" si="417"/>
        <v/>
      </c>
    </row>
    <row r="1072" spans="1:73">
      <c r="A1072" s="1">
        <v>159743</v>
      </c>
      <c r="B1072" t="str">
        <f>VLOOKUP($A1072,[1]Table!$A$2:$N1223,B$1,FALSE)</f>
        <v>A16AX04</v>
      </c>
      <c r="C1072" t="str">
        <f>VLOOKUP($A1072,[1]Table!$A$2:$N1223,C$1,FALSE)</f>
        <v>OVERIGE MAAGDARMKANAAL- EN METABOLISMEPRODUCTEN</v>
      </c>
      <c r="D1072" t="str">
        <f>VLOOKUP($A1072,[1]Table!$A$2:$N1223,D$1,FALSE)</f>
        <v>OVERIGE MAAGDARMKANAAL- EN METABOLISMEPRODUCTEN</v>
      </c>
      <c r="E1072" t="str">
        <f>VLOOKUP($A1072,[1]Table!$A$2:$N1223,E$1,FALSE)</f>
        <v>NITISINON</v>
      </c>
      <c r="F1072" t="str">
        <f>VLOOKUP($A1072,[1]Table!$A$2:$N1223,F$1,FALSE)</f>
        <v>ORFADIN 4MG/ML SUSPENSIE</v>
      </c>
      <c r="G1072" t="str">
        <f>VLOOKUP($A1072,[1]Table!$A$2:$N1223,G$1,FALSE)</f>
        <v>NITISINON 4MG/ML SUSP ORAAL</v>
      </c>
      <c r="H1072" t="str">
        <f>VLOOKUP($A1072,[1]Table!$A$2:$N1223,H$1,FALSE)</f>
        <v>suspensie voor oraal gebruik</v>
      </c>
      <c r="I1072" t="str">
        <f>VLOOKUP($A1072,[1]Table!$A$2:$N1223,I$1,FALSE)</f>
        <v>or</v>
      </c>
      <c r="J1072">
        <f>VLOOKUP($A1072,[1]Table!$A$2:$N1223,J$1,FALSE)</f>
        <v>4</v>
      </c>
      <c r="K1072" t="str">
        <f>VLOOKUP($A1072,[1]Table!$A$2:$N1223,K$1,FALSE)</f>
        <v>mg/ml</v>
      </c>
      <c r="L1072">
        <f>VLOOKUP($A1072,[1]Table!$A$2:$N1223,L$1,FALSE)</f>
        <v>4</v>
      </c>
      <c r="M1072" t="str">
        <f>VLOOKUP($A1072,[1]Table!$A$2:$N1223,M$1,FALSE)</f>
        <v>mg</v>
      </c>
      <c r="N1072" t="str">
        <f>VLOOKUP($A1072,[1]Table!$A$2:$N1223,N$1,FALSE)</f>
        <v>Tyrosinaemie type I</v>
      </c>
      <c r="O1072" t="str">
        <f>ConcatenateRange(AZ1072:BU1072,"||")</f>
        <v/>
      </c>
      <c r="AZ1072" t="str">
        <f t="shared" si="396"/>
        <v/>
      </c>
      <c r="BA1072" t="str">
        <f t="shared" si="397"/>
        <v/>
      </c>
      <c r="BB1072" t="str">
        <f t="shared" si="398"/>
        <v/>
      </c>
      <c r="BC1072" t="str">
        <f t="shared" si="399"/>
        <v/>
      </c>
      <c r="BD1072" t="str">
        <f t="shared" si="400"/>
        <v/>
      </c>
      <c r="BE1072" t="str">
        <f t="shared" si="401"/>
        <v/>
      </c>
      <c r="BF1072" t="str">
        <f t="shared" si="402"/>
        <v/>
      </c>
      <c r="BG1072" t="str">
        <f t="shared" si="403"/>
        <v/>
      </c>
      <c r="BH1072" t="str">
        <f t="shared" si="404"/>
        <v/>
      </c>
      <c r="BI1072" t="str">
        <f t="shared" si="405"/>
        <v/>
      </c>
      <c r="BJ1072" t="str">
        <f t="shared" si="406"/>
        <v/>
      </c>
      <c r="BK1072" t="str">
        <f t="shared" si="407"/>
        <v/>
      </c>
      <c r="BL1072" t="str">
        <f t="shared" si="408"/>
        <v/>
      </c>
      <c r="BM1072" t="str">
        <f t="shared" si="409"/>
        <v/>
      </c>
      <c r="BN1072" t="str">
        <f t="shared" si="410"/>
        <v/>
      </c>
      <c r="BO1072" t="str">
        <f t="shared" si="411"/>
        <v/>
      </c>
      <c r="BP1072" t="str">
        <f t="shared" si="412"/>
        <v/>
      </c>
      <c r="BQ1072" t="str">
        <f t="shared" si="413"/>
        <v/>
      </c>
      <c r="BR1072" t="str">
        <f t="shared" si="414"/>
        <v/>
      </c>
      <c r="BS1072" t="str">
        <f t="shared" si="415"/>
        <v/>
      </c>
      <c r="BT1072" t="str">
        <f t="shared" si="416"/>
        <v/>
      </c>
      <c r="BU1072" t="str">
        <f t="shared" si="417"/>
        <v/>
      </c>
    </row>
    <row r="1073" spans="1:73">
      <c r="A1073" s="1">
        <v>17701</v>
      </c>
      <c r="B1073" t="str">
        <f>VLOOKUP($A1073,[1]Table!$A$2:$N1224,B$1,FALSE)</f>
        <v>N05CD02</v>
      </c>
      <c r="C1073" t="str">
        <f>VLOOKUP($A1073,[1]Table!$A$2:$N1224,C$1,FALSE)</f>
        <v>PSYCHOLEPTICA</v>
      </c>
      <c r="D1073" t="str">
        <f>VLOOKUP($A1073,[1]Table!$A$2:$N1224,D$1,FALSE)</f>
        <v>HYPNOTICA EN SEDATIVA</v>
      </c>
      <c r="E1073" t="str">
        <f>VLOOKUP($A1073,[1]Table!$A$2:$N1224,E$1,FALSE)</f>
        <v>NITRAZEPAM</v>
      </c>
      <c r="F1073" t="str">
        <f>VLOOKUP($A1073,[1]Table!$A$2:$N1224,F$1,FALSE)</f>
        <v>NITRAZEPAM  5 MG TABLET</v>
      </c>
      <c r="G1073" t="str">
        <f>VLOOKUP($A1073,[1]Table!$A$2:$N1224,G$1,FALSE)</f>
        <v>NITRAZEPAM 5MG TABLET</v>
      </c>
      <c r="H1073" t="str">
        <f>VLOOKUP($A1073,[1]Table!$A$2:$N1224,H$1,FALSE)</f>
        <v>tablet</v>
      </c>
      <c r="I1073" t="str">
        <f>VLOOKUP($A1073,[1]Table!$A$2:$N1224,I$1,FALSE)</f>
        <v>or</v>
      </c>
      <c r="J1073">
        <f>VLOOKUP($A1073,[1]Table!$A$2:$N1224,J$1,FALSE)</f>
        <v>5</v>
      </c>
      <c r="K1073" t="str">
        <f>VLOOKUP($A1073,[1]Table!$A$2:$N1224,K$1,FALSE)</f>
        <v>mg/stuk</v>
      </c>
      <c r="L1073">
        <f>VLOOKUP($A1073,[1]Table!$A$2:$N1224,L$1,FALSE)</f>
        <v>2.5</v>
      </c>
      <c r="M1073" t="str">
        <f>VLOOKUP($A1073,[1]Table!$A$2:$N1224,M$1,FALSE)</f>
        <v>mg</v>
      </c>
      <c r="N1073" t="str">
        <f>VLOOKUP($A1073,[1]Table!$A$2:$N1224,N$1,FALSE)</f>
        <v>Syndroom van West||Slaapstoornissen</v>
      </c>
      <c r="O1073" t="str">
        <f>ConcatenateRange(AZ1073:BU1073,"||")</f>
        <v/>
      </c>
      <c r="AZ1073" t="str">
        <f t="shared" si="396"/>
        <v/>
      </c>
      <c r="BA1073" t="str">
        <f t="shared" si="397"/>
        <v/>
      </c>
      <c r="BB1073" t="str">
        <f t="shared" si="398"/>
        <v/>
      </c>
      <c r="BC1073" t="str">
        <f t="shared" si="399"/>
        <v/>
      </c>
      <c r="BD1073" t="str">
        <f t="shared" si="400"/>
        <v/>
      </c>
      <c r="BE1073" t="str">
        <f t="shared" si="401"/>
        <v/>
      </c>
      <c r="BF1073" t="str">
        <f t="shared" si="402"/>
        <v/>
      </c>
      <c r="BG1073" t="str">
        <f t="shared" si="403"/>
        <v/>
      </c>
      <c r="BH1073" t="str">
        <f t="shared" si="404"/>
        <v/>
      </c>
      <c r="BI1073" t="str">
        <f t="shared" si="405"/>
        <v/>
      </c>
      <c r="BJ1073" t="str">
        <f t="shared" si="406"/>
        <v/>
      </c>
      <c r="BK1073" t="str">
        <f t="shared" si="407"/>
        <v/>
      </c>
      <c r="BL1073" t="str">
        <f t="shared" si="408"/>
        <v/>
      </c>
      <c r="BM1073" t="str">
        <f t="shared" si="409"/>
        <v/>
      </c>
      <c r="BN1073" t="str">
        <f t="shared" si="410"/>
        <v/>
      </c>
      <c r="BO1073" t="str">
        <f t="shared" si="411"/>
        <v/>
      </c>
      <c r="BP1073" t="str">
        <f t="shared" si="412"/>
        <v/>
      </c>
      <c r="BQ1073" t="str">
        <f t="shared" si="413"/>
        <v/>
      </c>
      <c r="BR1073" t="str">
        <f t="shared" si="414"/>
        <v/>
      </c>
      <c r="BS1073" t="str">
        <f t="shared" si="415"/>
        <v/>
      </c>
      <c r="BT1073" t="str">
        <f t="shared" si="416"/>
        <v/>
      </c>
      <c r="BU1073" t="str">
        <f t="shared" si="417"/>
        <v/>
      </c>
    </row>
    <row r="1074" spans="1:73">
      <c r="A1074" s="1">
        <v>15695</v>
      </c>
      <c r="B1074" t="str">
        <f>VLOOKUP($A1074,[1]Table!$A$2:$N1225,B$1,FALSE)</f>
        <v>J01XE01</v>
      </c>
      <c r="C1074" t="str">
        <f>VLOOKUP($A1074,[1]Table!$A$2:$N1225,C$1,FALSE)</f>
        <v>ANTIBACTERIELE MIDDELEN VOOR SYSTEMISCH GEBRUIK</v>
      </c>
      <c r="D1074" t="str">
        <f>VLOOKUP($A1074,[1]Table!$A$2:$N1225,D$1,FALSE)</f>
        <v>OVERIGE ANTIBACTERIELE MIDDELEN</v>
      </c>
      <c r="E1074" t="str">
        <f>VLOOKUP($A1074,[1]Table!$A$2:$N1225,E$1,FALSE)</f>
        <v>NITROFURANTOINE</v>
      </c>
      <c r="F1074" t="str">
        <f>VLOOKUP($A1074,[1]Table!$A$2:$N1225,F$1,FALSE)</f>
        <v>NITROFURANTOINE MC 50 MG CAPSULE</v>
      </c>
      <c r="G1074" t="str">
        <f>VLOOKUP($A1074,[1]Table!$A$2:$N1225,G$1,FALSE)</f>
        <v>NITROFURANTOINE 50MG CAPS</v>
      </c>
      <c r="H1074" t="str">
        <f>VLOOKUP($A1074,[1]Table!$A$2:$N1225,H$1,FALSE)</f>
        <v>capsule</v>
      </c>
      <c r="I1074" t="str">
        <f>VLOOKUP($A1074,[1]Table!$A$2:$N1225,I$1,FALSE)</f>
        <v>or</v>
      </c>
      <c r="J1074">
        <f>VLOOKUP($A1074,[1]Table!$A$2:$N1225,J$1,FALSE)</f>
        <v>50</v>
      </c>
      <c r="K1074" t="str">
        <f>VLOOKUP($A1074,[1]Table!$A$2:$N1225,K$1,FALSE)</f>
        <v>mg/stuk</v>
      </c>
      <c r="L1074">
        <f>VLOOKUP($A1074,[1]Table!$A$2:$N1225,L$1,FALSE)</f>
        <v>50</v>
      </c>
      <c r="M1074" t="str">
        <f>VLOOKUP($A1074,[1]Table!$A$2:$N1225,M$1,FALSE)</f>
        <v>mg</v>
      </c>
      <c r="N1074" t="str">
        <f>VLOOKUP($A1074,[1]Table!$A$2:$N1225,N$1,FALSE)</f>
        <v>Behandeling ongecompliceerde urineweginfectie||Profylaxe van recidiverende urineweginfecties||Kortdurende profylaxe bij ingrepen aan de urinewegen (katheterisatie of diagnostiek)</v>
      </c>
      <c r="O1074" t="str">
        <f>ConcatenateRange(AZ1074:BU1074,"||")</f>
        <v/>
      </c>
      <c r="AZ1074" t="str">
        <f t="shared" si="396"/>
        <v/>
      </c>
      <c r="BA1074" t="str">
        <f t="shared" si="397"/>
        <v/>
      </c>
      <c r="BB1074" t="str">
        <f t="shared" si="398"/>
        <v/>
      </c>
      <c r="BC1074" t="str">
        <f t="shared" si="399"/>
        <v/>
      </c>
      <c r="BD1074" t="str">
        <f t="shared" si="400"/>
        <v/>
      </c>
      <c r="BE1074" t="str">
        <f t="shared" si="401"/>
        <v/>
      </c>
      <c r="BF1074" t="str">
        <f t="shared" si="402"/>
        <v/>
      </c>
      <c r="BG1074" t="str">
        <f t="shared" si="403"/>
        <v/>
      </c>
      <c r="BH1074" t="str">
        <f t="shared" si="404"/>
        <v/>
      </c>
      <c r="BI1074" t="str">
        <f t="shared" si="405"/>
        <v/>
      </c>
      <c r="BJ1074" t="str">
        <f t="shared" si="406"/>
        <v/>
      </c>
      <c r="BK1074" t="str">
        <f t="shared" si="407"/>
        <v/>
      </c>
      <c r="BL1074" t="str">
        <f t="shared" si="408"/>
        <v/>
      </c>
      <c r="BM1074" t="str">
        <f t="shared" si="409"/>
        <v/>
      </c>
      <c r="BN1074" t="str">
        <f t="shared" si="410"/>
        <v/>
      </c>
      <c r="BO1074" t="str">
        <f t="shared" si="411"/>
        <v/>
      </c>
      <c r="BP1074" t="str">
        <f t="shared" si="412"/>
        <v/>
      </c>
      <c r="BQ1074" t="str">
        <f t="shared" si="413"/>
        <v/>
      </c>
      <c r="BR1074" t="str">
        <f t="shared" si="414"/>
        <v/>
      </c>
      <c r="BS1074" t="str">
        <f t="shared" si="415"/>
        <v/>
      </c>
      <c r="BT1074" t="str">
        <f t="shared" si="416"/>
        <v/>
      </c>
      <c r="BU1074" t="str">
        <f t="shared" si="417"/>
        <v/>
      </c>
    </row>
    <row r="1075" spans="1:73">
      <c r="A1075" s="1">
        <v>93467</v>
      </c>
      <c r="B1075" t="str">
        <f>VLOOKUP($A1075,[1]Table!$A$2:$N1226,B$1,FALSE)</f>
        <v>J01XE01</v>
      </c>
      <c r="C1075" t="str">
        <f>VLOOKUP($A1075,[1]Table!$A$2:$N1226,C$1,FALSE)</f>
        <v>ANTIBACTERIELE MIDDELEN VOOR SYSTEMISCH GEBRUIK</v>
      </c>
      <c r="D1075" t="str">
        <f>VLOOKUP($A1075,[1]Table!$A$2:$N1226,D$1,FALSE)</f>
        <v>OVERIGE ANTIBACTERIELE MIDDELEN</v>
      </c>
      <c r="E1075" t="str">
        <f>VLOOKUP($A1075,[1]Table!$A$2:$N1226,E$1,FALSE)</f>
        <v>NITROFURANTOINE</v>
      </c>
      <c r="F1075" t="str">
        <f>VLOOKUP($A1075,[1]Table!$A$2:$N1226,F$1,FALSE)</f>
        <v>FURABID 100 MG CAPSULE MGA (RETARD)</v>
      </c>
      <c r="G1075" t="str">
        <f>VLOOKUP($A1075,[1]Table!$A$2:$N1226,G$1,FALSE)</f>
        <v>NITROFURANTOINE 100MG C MGA</v>
      </c>
      <c r="H1075" t="str">
        <f>VLOOKUP($A1075,[1]Table!$A$2:$N1226,H$1,FALSE)</f>
        <v>capsule met gereguleerde afgifte</v>
      </c>
      <c r="I1075" t="str">
        <f>VLOOKUP($A1075,[1]Table!$A$2:$N1226,I$1,FALSE)</f>
        <v>or</v>
      </c>
      <c r="J1075">
        <f>VLOOKUP($A1075,[1]Table!$A$2:$N1226,J$1,FALSE)</f>
        <v>100</v>
      </c>
      <c r="K1075" t="str">
        <f>VLOOKUP($A1075,[1]Table!$A$2:$N1226,K$1,FALSE)</f>
        <v>mg/stuk</v>
      </c>
      <c r="L1075">
        <f>VLOOKUP($A1075,[1]Table!$A$2:$N1226,L$1,FALSE)</f>
        <v>100</v>
      </c>
      <c r="M1075" t="str">
        <f>VLOOKUP($A1075,[1]Table!$A$2:$N1226,M$1,FALSE)</f>
        <v>mg</v>
      </c>
      <c r="N1075" t="str">
        <f>VLOOKUP($A1075,[1]Table!$A$2:$N1226,N$1,FALSE)</f>
        <v>Behandeling ongecompliceerde urineweginfectie||Profylaxe van recidiverende urineweginfecties||Kortdurende profylaxe bij ingrepen aan de urinewegen (katheterisatie of diagnostiek)</v>
      </c>
      <c r="O1075" t="str">
        <f>ConcatenateRange(AZ1075:BU1075,"||")</f>
        <v/>
      </c>
      <c r="AZ1075" t="str">
        <f t="shared" si="396"/>
        <v/>
      </c>
      <c r="BA1075" t="str">
        <f t="shared" si="397"/>
        <v/>
      </c>
      <c r="BB1075" t="str">
        <f t="shared" si="398"/>
        <v/>
      </c>
      <c r="BC1075" t="str">
        <f t="shared" si="399"/>
        <v/>
      </c>
      <c r="BD1075" t="str">
        <f t="shared" si="400"/>
        <v/>
      </c>
      <c r="BE1075" t="str">
        <f t="shared" si="401"/>
        <v/>
      </c>
      <c r="BF1075" t="str">
        <f t="shared" si="402"/>
        <v/>
      </c>
      <c r="BG1075" t="str">
        <f t="shared" si="403"/>
        <v/>
      </c>
      <c r="BH1075" t="str">
        <f t="shared" si="404"/>
        <v/>
      </c>
      <c r="BI1075" t="str">
        <f t="shared" si="405"/>
        <v/>
      </c>
      <c r="BJ1075" t="str">
        <f t="shared" si="406"/>
        <v/>
      </c>
      <c r="BK1075" t="str">
        <f t="shared" si="407"/>
        <v/>
      </c>
      <c r="BL1075" t="str">
        <f t="shared" si="408"/>
        <v/>
      </c>
      <c r="BM1075" t="str">
        <f t="shared" si="409"/>
        <v/>
      </c>
      <c r="BN1075" t="str">
        <f t="shared" si="410"/>
        <v/>
      </c>
      <c r="BO1075" t="str">
        <f t="shared" si="411"/>
        <v/>
      </c>
      <c r="BP1075" t="str">
        <f t="shared" si="412"/>
        <v/>
      </c>
      <c r="BQ1075" t="str">
        <f t="shared" si="413"/>
        <v/>
      </c>
      <c r="BR1075" t="str">
        <f t="shared" si="414"/>
        <v/>
      </c>
      <c r="BS1075" t="str">
        <f t="shared" si="415"/>
        <v/>
      </c>
      <c r="BT1075" t="str">
        <f t="shared" si="416"/>
        <v/>
      </c>
      <c r="BU1075" t="str">
        <f t="shared" si="417"/>
        <v/>
      </c>
    </row>
    <row r="1076" spans="1:73">
      <c r="A1076" s="1">
        <v>145890</v>
      </c>
      <c r="B1076" t="str">
        <f>VLOOKUP($A1076,[1]Table!$A$2:$N1227,B$1,FALSE)</f>
        <v>J01XE01</v>
      </c>
      <c r="C1076" t="str">
        <f>VLOOKUP($A1076,[1]Table!$A$2:$N1227,C$1,FALSE)</f>
        <v>ANTIBACTERIELE MIDDELEN VOOR SYSTEMISCH GEBRUIK</v>
      </c>
      <c r="D1076" t="str">
        <f>VLOOKUP($A1076,[1]Table!$A$2:$N1227,D$1,FALSE)</f>
        <v>OVERIGE ANTIBACTERIELE MIDDELEN</v>
      </c>
      <c r="E1076" t="str">
        <f>VLOOKUP($A1076,[1]Table!$A$2:$N1227,E$1,FALSE)</f>
        <v>NITROFURANTOINE</v>
      </c>
      <c r="F1076" t="str">
        <f>VLOOKUP($A1076,[1]Table!$A$2:$N1227,F$1,FALSE)</f>
        <v>NITROFURANTOINE 5 MG/ML SUSPENSIE 100 ML</v>
      </c>
      <c r="G1076" t="str">
        <f>VLOOKUP($A1076,[1]Table!$A$2:$N1227,G$1,FALSE)</f>
        <v>NITROFURANTOINE 5MG/ML SUSP</v>
      </c>
      <c r="H1076" t="str">
        <f>VLOOKUP($A1076,[1]Table!$A$2:$N1227,H$1,FALSE)</f>
        <v>suspensie voor oraal gebruik</v>
      </c>
      <c r="I1076" t="str">
        <f>VLOOKUP($A1076,[1]Table!$A$2:$N1227,I$1,FALSE)</f>
        <v>or</v>
      </c>
      <c r="J1076">
        <f>VLOOKUP($A1076,[1]Table!$A$2:$N1227,J$1,FALSE)</f>
        <v>5</v>
      </c>
      <c r="K1076" t="str">
        <f>VLOOKUP($A1076,[1]Table!$A$2:$N1227,K$1,FALSE)</f>
        <v>mg/ml</v>
      </c>
      <c r="L1076">
        <f>VLOOKUP($A1076,[1]Table!$A$2:$N1227,L$1,FALSE)</f>
        <v>5</v>
      </c>
      <c r="M1076" t="str">
        <f>VLOOKUP($A1076,[1]Table!$A$2:$N1227,M$1,FALSE)</f>
        <v>mg</v>
      </c>
      <c r="N1076" t="str">
        <f>VLOOKUP($A1076,[1]Table!$A$2:$N1227,N$1,FALSE)</f>
        <v>Behandeling ongecompliceerde urineweginfectie||Profylaxe van recidiverende urineweginfecties||Kortdurende profylaxe bij ingrepen aan de urinewegen (katheterisatie of diagnostiek)</v>
      </c>
      <c r="O1076" t="str">
        <f>ConcatenateRange(AZ1076:BU1076,"||")</f>
        <v/>
      </c>
      <c r="AZ1076" t="str">
        <f t="shared" si="396"/>
        <v/>
      </c>
      <c r="BA1076" t="str">
        <f t="shared" si="397"/>
        <v/>
      </c>
      <c r="BB1076" t="str">
        <f t="shared" si="398"/>
        <v/>
      </c>
      <c r="BC1076" t="str">
        <f t="shared" si="399"/>
        <v/>
      </c>
      <c r="BD1076" t="str">
        <f t="shared" si="400"/>
        <v/>
      </c>
      <c r="BE1076" t="str">
        <f t="shared" si="401"/>
        <v/>
      </c>
      <c r="BF1076" t="str">
        <f t="shared" si="402"/>
        <v/>
      </c>
      <c r="BG1076" t="str">
        <f t="shared" si="403"/>
        <v/>
      </c>
      <c r="BH1076" t="str">
        <f t="shared" si="404"/>
        <v/>
      </c>
      <c r="BI1076" t="str">
        <f t="shared" si="405"/>
        <v/>
      </c>
      <c r="BJ1076" t="str">
        <f t="shared" si="406"/>
        <v/>
      </c>
      <c r="BK1076" t="str">
        <f t="shared" si="407"/>
        <v/>
      </c>
      <c r="BL1076" t="str">
        <f t="shared" si="408"/>
        <v/>
      </c>
      <c r="BM1076" t="str">
        <f t="shared" si="409"/>
        <v/>
      </c>
      <c r="BN1076" t="str">
        <f t="shared" si="410"/>
        <v/>
      </c>
      <c r="BO1076" t="str">
        <f t="shared" si="411"/>
        <v/>
      </c>
      <c r="BP1076" t="str">
        <f t="shared" si="412"/>
        <v/>
      </c>
      <c r="BQ1076" t="str">
        <f t="shared" si="413"/>
        <v/>
      </c>
      <c r="BR1076" t="str">
        <f t="shared" si="414"/>
        <v/>
      </c>
      <c r="BS1076" t="str">
        <f t="shared" si="415"/>
        <v/>
      </c>
      <c r="BT1076" t="str">
        <f t="shared" si="416"/>
        <v/>
      </c>
      <c r="BU1076" t="str">
        <f t="shared" si="417"/>
        <v/>
      </c>
    </row>
    <row r="1077" spans="1:73">
      <c r="A1077" s="1">
        <v>59307</v>
      </c>
      <c r="B1077" t="str">
        <f>VLOOKUP($A1077,[1]Table!$A$2:$N1228,B$1,FALSE)</f>
        <v>C01DA02</v>
      </c>
      <c r="C1077" t="str">
        <f>VLOOKUP($A1077,[1]Table!$A$2:$N1228,C$1,FALSE)</f>
        <v>CARDIACA</v>
      </c>
      <c r="D1077" t="str">
        <f>VLOOKUP($A1077,[1]Table!$A$2:$N1228,D$1,FALSE)</f>
        <v>VASODILATANTIA BIJ HARTZIEKTEN</v>
      </c>
      <c r="E1077" t="str">
        <f>VLOOKUP($A1077,[1]Table!$A$2:$N1228,E$1,FALSE)</f>
        <v>NITROGLYCERINE</v>
      </c>
      <c r="F1077" t="str">
        <f>VLOOKUP($A1077,[1]Table!$A$2:$N1228,F$1,FALSE)</f>
        <v>NITRO POHL 1MG/ML AMPUL 25 ML</v>
      </c>
      <c r="G1077" t="str">
        <f>VLOOKUP($A1077,[1]Table!$A$2:$N1228,G$1,FALSE)</f>
        <v>NITROGLYCERINE 1MG/ML INFVL</v>
      </c>
      <c r="H1077" t="str">
        <f>VLOOKUP($A1077,[1]Table!$A$2:$N1228,H$1,FALSE)</f>
        <v>infusievloeistof</v>
      </c>
      <c r="I1077" t="str">
        <f>VLOOKUP($A1077,[1]Table!$A$2:$N1228,I$1,FALSE)</f>
        <v>iv</v>
      </c>
      <c r="J1077">
        <f>VLOOKUP($A1077,[1]Table!$A$2:$N1228,J$1,FALSE)</f>
        <v>1</v>
      </c>
      <c r="K1077" t="str">
        <f>VLOOKUP($A1077,[1]Table!$A$2:$N1228,K$1,FALSE)</f>
        <v>mg/ml</v>
      </c>
      <c r="L1077">
        <f>VLOOKUP($A1077,[1]Table!$A$2:$N1228,L$1,FALSE)</f>
        <v>1</v>
      </c>
      <c r="M1077" t="str">
        <f>VLOOKUP($A1077,[1]Table!$A$2:$N1228,M$1,FALSE)</f>
        <v>mg</v>
      </c>
      <c r="N1077" t="str">
        <f>VLOOKUP($A1077,[1]Table!$A$2:$N1228,N$1,FALSE)</f>
        <v>Hypertensieve crisis</v>
      </c>
      <c r="O1077" t="str">
        <f>ConcatenateRange(AZ1077:BU1077,"||")</f>
        <v/>
      </c>
      <c r="AZ1077" t="str">
        <f t="shared" si="396"/>
        <v/>
      </c>
      <c r="BA1077" t="str">
        <f t="shared" si="397"/>
        <v/>
      </c>
      <c r="BB1077" t="str">
        <f t="shared" si="398"/>
        <v/>
      </c>
      <c r="BC1077" t="str">
        <f t="shared" si="399"/>
        <v/>
      </c>
      <c r="BD1077" t="str">
        <f t="shared" si="400"/>
        <v/>
      </c>
      <c r="BE1077" t="str">
        <f t="shared" si="401"/>
        <v/>
      </c>
      <c r="BF1077" t="str">
        <f t="shared" si="402"/>
        <v/>
      </c>
      <c r="BG1077" t="str">
        <f t="shared" si="403"/>
        <v/>
      </c>
      <c r="BH1077" t="str">
        <f t="shared" si="404"/>
        <v/>
      </c>
      <c r="BI1077" t="str">
        <f t="shared" si="405"/>
        <v/>
      </c>
      <c r="BJ1077" t="str">
        <f t="shared" si="406"/>
        <v/>
      </c>
      <c r="BK1077" t="str">
        <f t="shared" si="407"/>
        <v/>
      </c>
      <c r="BL1077" t="str">
        <f t="shared" si="408"/>
        <v/>
      </c>
      <c r="BM1077" t="str">
        <f t="shared" si="409"/>
        <v/>
      </c>
      <c r="BN1077" t="str">
        <f t="shared" si="410"/>
        <v/>
      </c>
      <c r="BO1077" t="str">
        <f t="shared" si="411"/>
        <v/>
      </c>
      <c r="BP1077" t="str">
        <f t="shared" si="412"/>
        <v/>
      </c>
      <c r="BQ1077" t="str">
        <f t="shared" si="413"/>
        <v/>
      </c>
      <c r="BR1077" t="str">
        <f t="shared" si="414"/>
        <v/>
      </c>
      <c r="BS1077" t="str">
        <f t="shared" si="415"/>
        <v/>
      </c>
      <c r="BT1077" t="str">
        <f t="shared" si="416"/>
        <v/>
      </c>
      <c r="BU1077" t="str">
        <f t="shared" si="417"/>
        <v/>
      </c>
    </row>
    <row r="1078" spans="1:73">
      <c r="A1078" s="1">
        <v>98477</v>
      </c>
      <c r="B1078" t="str">
        <f>VLOOKUP($A1078,[1]Table!$A$2:$N1229,B$1,FALSE)</f>
        <v>C01DA02</v>
      </c>
      <c r="C1078" t="str">
        <f>VLOOKUP($A1078,[1]Table!$A$2:$N1229,C$1,FALSE)</f>
        <v>CARDIACA</v>
      </c>
      <c r="D1078" t="str">
        <f>VLOOKUP($A1078,[1]Table!$A$2:$N1229,D$1,FALSE)</f>
        <v>VASODILATANTIA BIJ HARTZIEKTEN</v>
      </c>
      <c r="E1078" t="str">
        <f>VLOOKUP($A1078,[1]Table!$A$2:$N1229,E$1,FALSE)</f>
        <v>NITROGLYCERINE</v>
      </c>
      <c r="F1078" t="str">
        <f>VLOOKUP($A1078,[1]Table!$A$2:$N1229,F$1,FALSE)</f>
        <v>DEPONIT T 5 PLEISTER (5 MG/24 UUR)</v>
      </c>
      <c r="G1078" t="str">
        <f>VLOOKUP($A1078,[1]Table!$A$2:$N1229,G$1,FALSE)</f>
        <v>NITROGLYCERINE P 5 DEPONIT</v>
      </c>
      <c r="H1078" t="str">
        <f>VLOOKUP($A1078,[1]Table!$A$2:$N1229,H$1,FALSE)</f>
        <v>pleister voor transdermaal gebruik</v>
      </c>
      <c r="I1078" t="str">
        <f>VLOOKUP($A1078,[1]Table!$A$2:$N1229,I$1,FALSE)</f>
        <v>transderm</v>
      </c>
      <c r="J1078">
        <f>VLOOKUP($A1078,[1]Table!$A$2:$N1229,J$1,FALSE)</f>
        <v>18.7</v>
      </c>
      <c r="K1078" t="str">
        <f>VLOOKUP($A1078,[1]Table!$A$2:$N1229,K$1,FALSE)</f>
        <v>mg/stuk</v>
      </c>
      <c r="L1078">
        <f>VLOOKUP($A1078,[1]Table!$A$2:$N1229,L$1,FALSE)</f>
        <v>18.7</v>
      </c>
      <c r="M1078" t="str">
        <f>VLOOKUP($A1078,[1]Table!$A$2:$N1229,M$1,FALSE)</f>
        <v>mg</v>
      </c>
      <c r="N1078" t="str">
        <f>VLOOKUP($A1078,[1]Table!$A$2:$N1229,N$1,FALSE)</f>
        <v>Hypertensieve crisis</v>
      </c>
      <c r="O1078" t="str">
        <f>ConcatenateRange(AZ1078:BU1078,"||")</f>
        <v/>
      </c>
      <c r="AZ1078" t="str">
        <f t="shared" si="396"/>
        <v/>
      </c>
      <c r="BA1078" t="str">
        <f t="shared" si="397"/>
        <v/>
      </c>
      <c r="BB1078" t="str">
        <f t="shared" si="398"/>
        <v/>
      </c>
      <c r="BC1078" t="str">
        <f t="shared" si="399"/>
        <v/>
      </c>
      <c r="BD1078" t="str">
        <f t="shared" si="400"/>
        <v/>
      </c>
      <c r="BE1078" t="str">
        <f t="shared" si="401"/>
        <v/>
      </c>
      <c r="BF1078" t="str">
        <f t="shared" si="402"/>
        <v/>
      </c>
      <c r="BG1078" t="str">
        <f t="shared" si="403"/>
        <v/>
      </c>
      <c r="BH1078" t="str">
        <f t="shared" si="404"/>
        <v/>
      </c>
      <c r="BI1078" t="str">
        <f t="shared" si="405"/>
        <v/>
      </c>
      <c r="BJ1078" t="str">
        <f t="shared" si="406"/>
        <v/>
      </c>
      <c r="BK1078" t="str">
        <f t="shared" si="407"/>
        <v/>
      </c>
      <c r="BL1078" t="str">
        <f t="shared" si="408"/>
        <v/>
      </c>
      <c r="BM1078" t="str">
        <f t="shared" si="409"/>
        <v/>
      </c>
      <c r="BN1078" t="str">
        <f t="shared" si="410"/>
        <v/>
      </c>
      <c r="BO1078" t="str">
        <f t="shared" si="411"/>
        <v/>
      </c>
      <c r="BP1078" t="str">
        <f t="shared" si="412"/>
        <v/>
      </c>
      <c r="BQ1078" t="str">
        <f t="shared" si="413"/>
        <v/>
      </c>
      <c r="BR1078" t="str">
        <f t="shared" si="414"/>
        <v/>
      </c>
      <c r="BS1078" t="str">
        <f t="shared" si="415"/>
        <v/>
      </c>
      <c r="BT1078" t="str">
        <f t="shared" si="416"/>
        <v/>
      </c>
      <c r="BU1078" t="str">
        <f t="shared" si="417"/>
        <v/>
      </c>
    </row>
    <row r="1079" spans="1:73">
      <c r="A1079" s="1">
        <v>71986</v>
      </c>
      <c r="B1079" t="str">
        <f>VLOOKUP($A1079,[1]Table!$A$2:$N1230,B$1,FALSE)</f>
        <v>C01DA02</v>
      </c>
      <c r="C1079" t="str">
        <f>VLOOKUP($A1079,[1]Table!$A$2:$N1230,C$1,FALSE)</f>
        <v>CARDIACA</v>
      </c>
      <c r="D1079" t="str">
        <f>VLOOKUP($A1079,[1]Table!$A$2:$N1230,D$1,FALSE)</f>
        <v>VASODILATANTIA BIJ HARTZIEKTEN</v>
      </c>
      <c r="E1079" t="str">
        <f>VLOOKUP($A1079,[1]Table!$A$2:$N1230,E$1,FALSE)</f>
        <v>NITROGLYCERINE</v>
      </c>
      <c r="F1079" t="str">
        <f>VLOOKUP($A1079,[1]Table!$A$2:$N1230,F$1,FALSE)</f>
        <v>TRANSIDERM NITRO 5 PLEISTER</v>
      </c>
      <c r="G1079" t="str">
        <f>VLOOKUP($A1079,[1]Table!$A$2:$N1230,G$1,FALSE)</f>
        <v>NITROGLYCERINE P 5 TRANSIDE</v>
      </c>
      <c r="H1079" t="str">
        <f>VLOOKUP($A1079,[1]Table!$A$2:$N1230,H$1,FALSE)</f>
        <v>pleister voor transdermaal gebruik</v>
      </c>
      <c r="I1079" t="str">
        <f>VLOOKUP($A1079,[1]Table!$A$2:$N1230,I$1,FALSE)</f>
        <v>transderm</v>
      </c>
      <c r="J1079">
        <f>VLOOKUP($A1079,[1]Table!$A$2:$N1230,J$1,FALSE)</f>
        <v>25</v>
      </c>
      <c r="K1079" t="str">
        <f>VLOOKUP($A1079,[1]Table!$A$2:$N1230,K$1,FALSE)</f>
        <v>mg/stuk</v>
      </c>
      <c r="L1079">
        <f>VLOOKUP($A1079,[1]Table!$A$2:$N1230,L$1,FALSE)</f>
        <v>25</v>
      </c>
      <c r="M1079" t="str">
        <f>VLOOKUP($A1079,[1]Table!$A$2:$N1230,M$1,FALSE)</f>
        <v>mg</v>
      </c>
      <c r="N1079" t="str">
        <f>VLOOKUP($A1079,[1]Table!$A$2:$N1230,N$1,FALSE)</f>
        <v>Hypertensieve crisis</v>
      </c>
      <c r="O1079" t="str">
        <f>ConcatenateRange(AZ1079:BU1079,"||")</f>
        <v/>
      </c>
      <c r="AZ1079" t="str">
        <f t="shared" si="396"/>
        <v/>
      </c>
      <c r="BA1079" t="str">
        <f t="shared" si="397"/>
        <v/>
      </c>
      <c r="BB1079" t="str">
        <f t="shared" si="398"/>
        <v/>
      </c>
      <c r="BC1079" t="str">
        <f t="shared" si="399"/>
        <v/>
      </c>
      <c r="BD1079" t="str">
        <f t="shared" si="400"/>
        <v/>
      </c>
      <c r="BE1079" t="str">
        <f t="shared" si="401"/>
        <v/>
      </c>
      <c r="BF1079" t="str">
        <f t="shared" si="402"/>
        <v/>
      </c>
      <c r="BG1079" t="str">
        <f t="shared" si="403"/>
        <v/>
      </c>
      <c r="BH1079" t="str">
        <f t="shared" si="404"/>
        <v/>
      </c>
      <c r="BI1079" t="str">
        <f t="shared" si="405"/>
        <v/>
      </c>
      <c r="BJ1079" t="str">
        <f t="shared" si="406"/>
        <v/>
      </c>
      <c r="BK1079" t="str">
        <f t="shared" si="407"/>
        <v/>
      </c>
      <c r="BL1079" t="str">
        <f t="shared" si="408"/>
        <v/>
      </c>
      <c r="BM1079" t="str">
        <f t="shared" si="409"/>
        <v/>
      </c>
      <c r="BN1079" t="str">
        <f t="shared" si="410"/>
        <v/>
      </c>
      <c r="BO1079" t="str">
        <f t="shared" si="411"/>
        <v/>
      </c>
      <c r="BP1079" t="str">
        <f t="shared" si="412"/>
        <v/>
      </c>
      <c r="BQ1079" t="str">
        <f t="shared" si="413"/>
        <v/>
      </c>
      <c r="BR1079" t="str">
        <f t="shared" si="414"/>
        <v/>
      </c>
      <c r="BS1079" t="str">
        <f t="shared" si="415"/>
        <v/>
      </c>
      <c r="BT1079" t="str">
        <f t="shared" si="416"/>
        <v/>
      </c>
      <c r="BU1079" t="str">
        <f t="shared" si="417"/>
        <v/>
      </c>
    </row>
    <row r="1080" spans="1:73">
      <c r="A1080" s="1">
        <v>71994</v>
      </c>
      <c r="B1080" t="str">
        <f>VLOOKUP($A1080,[1]Table!$A$2:$N1231,B$1,FALSE)</f>
        <v>C01DA02</v>
      </c>
      <c r="C1080" t="str">
        <f>VLOOKUP($A1080,[1]Table!$A$2:$N1231,C$1,FALSE)</f>
        <v>CARDIACA</v>
      </c>
      <c r="D1080" t="str">
        <f>VLOOKUP($A1080,[1]Table!$A$2:$N1231,D$1,FALSE)</f>
        <v>VASODILATANTIA BIJ HARTZIEKTEN</v>
      </c>
      <c r="E1080" t="str">
        <f>VLOOKUP($A1080,[1]Table!$A$2:$N1231,E$1,FALSE)</f>
        <v>NITROGLYCERINE</v>
      </c>
      <c r="F1080" t="str">
        <f>VLOOKUP($A1080,[1]Table!$A$2:$N1231,F$1,FALSE)</f>
        <v>TRANSIDERM NITRO 10 PLEISTER</v>
      </c>
      <c r="G1080" t="str">
        <f>VLOOKUP($A1080,[1]Table!$A$2:$N1231,G$1,FALSE)</f>
        <v>NITROGLYCERINE P10 TRANSIDE</v>
      </c>
      <c r="H1080" t="str">
        <f>VLOOKUP($A1080,[1]Table!$A$2:$N1231,H$1,FALSE)</f>
        <v>pleister voor transdermaal gebruik</v>
      </c>
      <c r="I1080" t="str">
        <f>VLOOKUP($A1080,[1]Table!$A$2:$N1231,I$1,FALSE)</f>
        <v>transderm</v>
      </c>
      <c r="J1080">
        <f>VLOOKUP($A1080,[1]Table!$A$2:$N1231,J$1,FALSE)</f>
        <v>50</v>
      </c>
      <c r="K1080" t="str">
        <f>VLOOKUP($A1080,[1]Table!$A$2:$N1231,K$1,FALSE)</f>
        <v>mg/stuk</v>
      </c>
      <c r="L1080">
        <f>VLOOKUP($A1080,[1]Table!$A$2:$N1231,L$1,FALSE)</f>
        <v>50</v>
      </c>
      <c r="M1080" t="str">
        <f>VLOOKUP($A1080,[1]Table!$A$2:$N1231,M$1,FALSE)</f>
        <v>mg</v>
      </c>
      <c r="N1080" t="str">
        <f>VLOOKUP($A1080,[1]Table!$A$2:$N1231,N$1,FALSE)</f>
        <v>Hypertensieve crisis</v>
      </c>
      <c r="O1080" t="str">
        <f>ConcatenateRange(AZ1080:BU1080,"||")</f>
        <v/>
      </c>
      <c r="AZ1080" t="str">
        <f t="shared" si="396"/>
        <v/>
      </c>
      <c r="BA1080" t="str">
        <f t="shared" si="397"/>
        <v/>
      </c>
      <c r="BB1080" t="str">
        <f t="shared" si="398"/>
        <v/>
      </c>
      <c r="BC1080" t="str">
        <f t="shared" si="399"/>
        <v/>
      </c>
      <c r="BD1080" t="str">
        <f t="shared" si="400"/>
        <v/>
      </c>
      <c r="BE1080" t="str">
        <f t="shared" si="401"/>
        <v/>
      </c>
      <c r="BF1080" t="str">
        <f t="shared" si="402"/>
        <v/>
      </c>
      <c r="BG1080" t="str">
        <f t="shared" si="403"/>
        <v/>
      </c>
      <c r="BH1080" t="str">
        <f t="shared" si="404"/>
        <v/>
      </c>
      <c r="BI1080" t="str">
        <f t="shared" si="405"/>
        <v/>
      </c>
      <c r="BJ1080" t="str">
        <f t="shared" si="406"/>
        <v/>
      </c>
      <c r="BK1080" t="str">
        <f t="shared" si="407"/>
        <v/>
      </c>
      <c r="BL1080" t="str">
        <f t="shared" si="408"/>
        <v/>
      </c>
      <c r="BM1080" t="str">
        <f t="shared" si="409"/>
        <v/>
      </c>
      <c r="BN1080" t="str">
        <f t="shared" si="410"/>
        <v/>
      </c>
      <c r="BO1080" t="str">
        <f t="shared" si="411"/>
        <v/>
      </c>
      <c r="BP1080" t="str">
        <f t="shared" si="412"/>
        <v/>
      </c>
      <c r="BQ1080" t="str">
        <f t="shared" si="413"/>
        <v/>
      </c>
      <c r="BR1080" t="str">
        <f t="shared" si="414"/>
        <v/>
      </c>
      <c r="BS1080" t="str">
        <f t="shared" si="415"/>
        <v/>
      </c>
      <c r="BT1080" t="str">
        <f t="shared" si="416"/>
        <v/>
      </c>
      <c r="BU1080" t="str">
        <f t="shared" si="417"/>
        <v/>
      </c>
    </row>
    <row r="1081" spans="1:73">
      <c r="A1081" s="1">
        <v>119431</v>
      </c>
      <c r="B1081" t="str">
        <f>VLOOKUP($A1081,[1]Table!$A$2:$N1232,B$1,FALSE)</f>
        <v>C01DA02</v>
      </c>
      <c r="C1081" t="str">
        <f>VLOOKUP($A1081,[1]Table!$A$2:$N1232,C$1,FALSE)</f>
        <v>CARDIACA</v>
      </c>
      <c r="D1081" t="str">
        <f>VLOOKUP($A1081,[1]Table!$A$2:$N1232,D$1,FALSE)</f>
        <v>VASODILATANTIA BIJ HARTZIEKTEN</v>
      </c>
      <c r="E1081" t="str">
        <f>VLOOKUP($A1081,[1]Table!$A$2:$N1232,E$1,FALSE)</f>
        <v>NITROGLYCERINE</v>
      </c>
      <c r="F1081" t="str">
        <f>VLOOKUP($A1081,[1]Table!$A$2:$N1232,F$1,FALSE)</f>
        <v>NITROLINGUAL 0,4MG/DOSIS SPRAY</v>
      </c>
      <c r="G1081" t="str">
        <f>VLOOKUP($A1081,[1]Table!$A$2:$N1232,G$1,FALSE)</f>
        <v>NITROGLYCERINE 0,4MG/DO SPR</v>
      </c>
      <c r="H1081" t="str">
        <f>VLOOKUP($A1081,[1]Table!$A$2:$N1232,H$1,FALSE)</f>
        <v>spray voor sublinguaal gebruik</v>
      </c>
      <c r="I1081" t="str">
        <f>VLOOKUP($A1081,[1]Table!$A$2:$N1232,I$1,FALSE)</f>
        <v>subling</v>
      </c>
      <c r="J1081">
        <f>VLOOKUP($A1081,[1]Table!$A$2:$N1232,J$1,FALSE)</f>
        <v>0.4</v>
      </c>
      <c r="K1081" t="str">
        <f>VLOOKUP($A1081,[1]Table!$A$2:$N1232,K$1,FALSE)</f>
        <v>mg/dose</v>
      </c>
      <c r="L1081">
        <f>VLOOKUP($A1081,[1]Table!$A$2:$N1232,L$1,FALSE)</f>
        <v>0.4</v>
      </c>
      <c r="M1081" t="str">
        <f>VLOOKUP($A1081,[1]Table!$A$2:$N1232,M$1,FALSE)</f>
        <v>mg</v>
      </c>
      <c r="N1081" t="str">
        <f>VLOOKUP($A1081,[1]Table!$A$2:$N1232,N$1,FALSE)</f>
        <v>Hypertensieve crisis</v>
      </c>
      <c r="O1081" t="str">
        <f>ConcatenateRange(AZ1081:BU1081,"||")</f>
        <v/>
      </c>
      <c r="AZ1081" t="str">
        <f t="shared" si="396"/>
        <v/>
      </c>
      <c r="BA1081" t="str">
        <f t="shared" si="397"/>
        <v/>
      </c>
      <c r="BB1081" t="str">
        <f t="shared" si="398"/>
        <v/>
      </c>
      <c r="BC1081" t="str">
        <f t="shared" si="399"/>
        <v/>
      </c>
      <c r="BD1081" t="str">
        <f t="shared" si="400"/>
        <v/>
      </c>
      <c r="BE1081" t="str">
        <f t="shared" si="401"/>
        <v/>
      </c>
      <c r="BF1081" t="str">
        <f t="shared" si="402"/>
        <v/>
      </c>
      <c r="BG1081" t="str">
        <f t="shared" si="403"/>
        <v/>
      </c>
      <c r="BH1081" t="str">
        <f t="shared" si="404"/>
        <v/>
      </c>
      <c r="BI1081" t="str">
        <f t="shared" si="405"/>
        <v/>
      </c>
      <c r="BJ1081" t="str">
        <f t="shared" si="406"/>
        <v/>
      </c>
      <c r="BK1081" t="str">
        <f t="shared" si="407"/>
        <v/>
      </c>
      <c r="BL1081" t="str">
        <f t="shared" si="408"/>
        <v/>
      </c>
      <c r="BM1081" t="str">
        <f t="shared" si="409"/>
        <v/>
      </c>
      <c r="BN1081" t="str">
        <f t="shared" si="410"/>
        <v/>
      </c>
      <c r="BO1081" t="str">
        <f t="shared" si="411"/>
        <v/>
      </c>
      <c r="BP1081" t="str">
        <f t="shared" si="412"/>
        <v/>
      </c>
      <c r="BQ1081" t="str">
        <f t="shared" si="413"/>
        <v/>
      </c>
      <c r="BR1081" t="str">
        <f t="shared" si="414"/>
        <v/>
      </c>
      <c r="BS1081" t="str">
        <f t="shared" si="415"/>
        <v/>
      </c>
      <c r="BT1081" t="str">
        <f t="shared" si="416"/>
        <v/>
      </c>
      <c r="BU1081" t="str">
        <f t="shared" si="417"/>
        <v/>
      </c>
    </row>
    <row r="1082" spans="1:73">
      <c r="A1082" s="1">
        <v>88749</v>
      </c>
      <c r="B1082" t="str">
        <f>VLOOKUP($A1082,[1]Table!$A$2:$N1233,B$1,FALSE)</f>
        <v>C01CA03</v>
      </c>
      <c r="C1082" t="str">
        <f>VLOOKUP($A1082,[1]Table!$A$2:$N1233,C$1,FALSE)</f>
        <v>CARDIACA</v>
      </c>
      <c r="D1082" t="str">
        <f>VLOOKUP($A1082,[1]Table!$A$2:$N1233,D$1,FALSE)</f>
        <v>HARTSTIMULANTIA, EXCLUSIEF HARTGLYCOSIDEN</v>
      </c>
      <c r="E1082" t="str">
        <f>VLOOKUP($A1082,[1]Table!$A$2:$N1233,E$1,FALSE)</f>
        <v>NORADRENALINE</v>
      </c>
      <c r="F1082" t="str">
        <f>VLOOKUP($A1082,[1]Table!$A$2:$N1233,F$1,FALSE)</f>
        <v>NORADRENALINE 1 MG/ML AMPUL 1ML</v>
      </c>
      <c r="G1082" t="str">
        <f>VLOOKUP($A1082,[1]Table!$A$2:$N1233,G$1,FALSE)</f>
        <v>NORADRENALINE 1MG/ML INFCON</v>
      </c>
      <c r="H1082" t="str">
        <f>VLOOKUP($A1082,[1]Table!$A$2:$N1233,H$1,FALSE)</f>
        <v>concentraat voor oplossing voor infusie</v>
      </c>
      <c r="I1082" t="str">
        <f>VLOOKUP($A1082,[1]Table!$A$2:$N1233,I$1,FALSE)</f>
        <v>iv</v>
      </c>
      <c r="J1082">
        <f>VLOOKUP($A1082,[1]Table!$A$2:$N1233,J$1,FALSE)</f>
        <v>1</v>
      </c>
      <c r="K1082" t="str">
        <f>VLOOKUP($A1082,[1]Table!$A$2:$N1233,K$1,FALSE)</f>
        <v>mg/ml</v>
      </c>
      <c r="L1082">
        <f>VLOOKUP($A1082,[1]Table!$A$2:$N1233,L$1,FALSE)</f>
        <v>1</v>
      </c>
      <c r="M1082" t="str">
        <f>VLOOKUP($A1082,[1]Table!$A$2:$N1233,M$1,FALSE)</f>
        <v>mg</v>
      </c>
      <c r="N1082" t="str">
        <f>VLOOKUP($A1082,[1]Table!$A$2:$N1233,N$1,FALSE)</f>
        <v>Verhoging perifere weerstand (niet voor inotroop effect)</v>
      </c>
      <c r="O1082" t="str">
        <f>ConcatenateRange(AZ1082:BU1082,"||")</f>
        <v/>
      </c>
      <c r="AZ1082" t="str">
        <f t="shared" si="396"/>
        <v/>
      </c>
      <c r="BA1082" t="str">
        <f t="shared" si="397"/>
        <v/>
      </c>
      <c r="BB1082" t="str">
        <f t="shared" si="398"/>
        <v/>
      </c>
      <c r="BC1082" t="str">
        <f t="shared" si="399"/>
        <v/>
      </c>
      <c r="BD1082" t="str">
        <f t="shared" si="400"/>
        <v/>
      </c>
      <c r="BE1082" t="str">
        <f t="shared" si="401"/>
        <v/>
      </c>
      <c r="BF1082" t="str">
        <f t="shared" si="402"/>
        <v/>
      </c>
      <c r="BG1082" t="str">
        <f t="shared" si="403"/>
        <v/>
      </c>
      <c r="BH1082" t="str">
        <f t="shared" si="404"/>
        <v/>
      </c>
      <c r="BI1082" t="str">
        <f t="shared" si="405"/>
        <v/>
      </c>
      <c r="BJ1082" t="str">
        <f t="shared" si="406"/>
        <v/>
      </c>
      <c r="BK1082" t="str">
        <f t="shared" si="407"/>
        <v/>
      </c>
      <c r="BL1082" t="str">
        <f t="shared" si="408"/>
        <v/>
      </c>
      <c r="BM1082" t="str">
        <f t="shared" si="409"/>
        <v/>
      </c>
      <c r="BN1082" t="str">
        <f t="shared" si="410"/>
        <v/>
      </c>
      <c r="BO1082" t="str">
        <f t="shared" si="411"/>
        <v/>
      </c>
      <c r="BP1082" t="str">
        <f t="shared" si="412"/>
        <v/>
      </c>
      <c r="BQ1082" t="str">
        <f t="shared" si="413"/>
        <v/>
      </c>
      <c r="BR1082" t="str">
        <f t="shared" si="414"/>
        <v/>
      </c>
      <c r="BS1082" t="str">
        <f t="shared" si="415"/>
        <v/>
      </c>
      <c r="BT1082" t="str">
        <f t="shared" si="416"/>
        <v/>
      </c>
      <c r="BU1082" t="str">
        <f t="shared" si="417"/>
        <v/>
      </c>
    </row>
    <row r="1083" spans="1:73">
      <c r="A1083" s="1">
        <v>160083</v>
      </c>
      <c r="B1083" t="str">
        <f>VLOOKUP($A1083,[1]Table!$A$2:$N1234,B$1,FALSE)</f>
        <v>C01CA03</v>
      </c>
      <c r="C1083" t="str">
        <f>VLOOKUP($A1083,[1]Table!$A$2:$N1234,C$1,FALSE)</f>
        <v>CARDIACA</v>
      </c>
      <c r="D1083" t="str">
        <f>VLOOKUP($A1083,[1]Table!$A$2:$N1234,D$1,FALSE)</f>
        <v>HARTSTIMULANTIA, EXCLUSIEF HARTGLYCOSIDEN</v>
      </c>
      <c r="E1083" t="str">
        <f>VLOOKUP($A1083,[1]Table!$A$2:$N1234,E$1,FALSE)</f>
        <v>NORADRENALINE</v>
      </c>
      <c r="F1083" t="str">
        <f>VLOOKUP($A1083,[1]Table!$A$2:$N1234,F$1,FALSE)</f>
        <v>NORADRENALINE INFVLST 0,1MG/ML ZAK 1000ML</v>
      </c>
      <c r="G1083" t="str">
        <f>VLOOKUP($A1083,[1]Table!$A$2:$N1234,G$1,FALSE)</f>
        <v>NORADRENALINE 0,1MG/ML INFV</v>
      </c>
      <c r="H1083" t="str">
        <f>VLOOKUP($A1083,[1]Table!$A$2:$N1234,H$1,FALSE)</f>
        <v>infusievloeistof</v>
      </c>
      <c r="I1083" t="str">
        <f>VLOOKUP($A1083,[1]Table!$A$2:$N1234,I$1,FALSE)</f>
        <v>iv</v>
      </c>
      <c r="J1083">
        <f>VLOOKUP($A1083,[1]Table!$A$2:$N1234,J$1,FALSE)</f>
        <v>0.1</v>
      </c>
      <c r="K1083" t="str">
        <f>VLOOKUP($A1083,[1]Table!$A$2:$N1234,K$1,FALSE)</f>
        <v>mg/ml</v>
      </c>
      <c r="L1083">
        <f>VLOOKUP($A1083,[1]Table!$A$2:$N1234,L$1,FALSE)</f>
        <v>0.1</v>
      </c>
      <c r="M1083" t="str">
        <f>VLOOKUP($A1083,[1]Table!$A$2:$N1234,M$1,FALSE)</f>
        <v>mg</v>
      </c>
      <c r="N1083" t="str">
        <f>VLOOKUP($A1083,[1]Table!$A$2:$N1234,N$1,FALSE)</f>
        <v>Verhoging perifere weerstand (niet voor inotroop effect)</v>
      </c>
      <c r="O1083" t="str">
        <f>ConcatenateRange(AZ1083:BU1083,"||")</f>
        <v/>
      </c>
      <c r="AZ1083" t="str">
        <f t="shared" si="396"/>
        <v/>
      </c>
      <c r="BA1083" t="str">
        <f t="shared" si="397"/>
        <v/>
      </c>
      <c r="BB1083" t="str">
        <f t="shared" si="398"/>
        <v/>
      </c>
      <c r="BC1083" t="str">
        <f t="shared" si="399"/>
        <v/>
      </c>
      <c r="BD1083" t="str">
        <f t="shared" si="400"/>
        <v/>
      </c>
      <c r="BE1083" t="str">
        <f t="shared" si="401"/>
        <v/>
      </c>
      <c r="BF1083" t="str">
        <f t="shared" si="402"/>
        <v/>
      </c>
      <c r="BG1083" t="str">
        <f t="shared" si="403"/>
        <v/>
      </c>
      <c r="BH1083" t="str">
        <f t="shared" si="404"/>
        <v/>
      </c>
      <c r="BI1083" t="str">
        <f t="shared" si="405"/>
        <v/>
      </c>
      <c r="BJ1083" t="str">
        <f t="shared" si="406"/>
        <v/>
      </c>
      <c r="BK1083" t="str">
        <f t="shared" si="407"/>
        <v/>
      </c>
      <c r="BL1083" t="str">
        <f t="shared" si="408"/>
        <v/>
      </c>
      <c r="BM1083" t="str">
        <f t="shared" si="409"/>
        <v/>
      </c>
      <c r="BN1083" t="str">
        <f t="shared" si="410"/>
        <v/>
      </c>
      <c r="BO1083" t="str">
        <f t="shared" si="411"/>
        <v/>
      </c>
      <c r="BP1083" t="str">
        <f t="shared" si="412"/>
        <v/>
      </c>
      <c r="BQ1083" t="str">
        <f t="shared" si="413"/>
        <v/>
      </c>
      <c r="BR1083" t="str">
        <f t="shared" si="414"/>
        <v/>
      </c>
      <c r="BS1083" t="str">
        <f t="shared" si="415"/>
        <v/>
      </c>
      <c r="BT1083" t="str">
        <f t="shared" si="416"/>
        <v/>
      </c>
      <c r="BU1083" t="str">
        <f t="shared" si="417"/>
        <v/>
      </c>
    </row>
    <row r="1084" spans="1:73">
      <c r="A1084" s="1">
        <v>299</v>
      </c>
      <c r="B1084" t="str">
        <f>VLOOKUP($A1084,[1]Table!$A$2:$N1235,B$1,FALSE)</f>
        <v>G03DC02</v>
      </c>
      <c r="C1084" t="str">
        <f>VLOOKUP($A1084,[1]Table!$A$2:$N1235,C$1,FALSE)</f>
        <v>GESLACHTSHORMONEN EN MODULATOREN VAN HET GENITALE STELSEL</v>
      </c>
      <c r="D1084" t="str">
        <f>VLOOKUP($A1084,[1]Table!$A$2:$N1235,D$1,FALSE)</f>
        <v>PROGESTAGENEN</v>
      </c>
      <c r="E1084" t="str">
        <f>VLOOKUP($A1084,[1]Table!$A$2:$N1235,E$1,FALSE)</f>
        <v>NORETHISTERON</v>
      </c>
      <c r="F1084" t="str">
        <f>VLOOKUP($A1084,[1]Table!$A$2:$N1235,F$1,FALSE)</f>
        <v>PRIMOLUT N 5 MG TABLET</v>
      </c>
      <c r="G1084" t="str">
        <f>VLOOKUP($A1084,[1]Table!$A$2:$N1235,G$1,FALSE)</f>
        <v>NORETHISTERON 5MG TABLET</v>
      </c>
      <c r="H1084" t="str">
        <f>VLOOKUP($A1084,[1]Table!$A$2:$N1235,H$1,FALSE)</f>
        <v>tablet</v>
      </c>
      <c r="I1084" t="str">
        <f>VLOOKUP($A1084,[1]Table!$A$2:$N1235,I$1,FALSE)</f>
        <v>or</v>
      </c>
      <c r="J1084">
        <f>VLOOKUP($A1084,[1]Table!$A$2:$N1235,J$1,FALSE)</f>
        <v>5</v>
      </c>
      <c r="K1084" t="str">
        <f>VLOOKUP($A1084,[1]Table!$A$2:$N1235,K$1,FALSE)</f>
        <v>mg/stuk</v>
      </c>
      <c r="L1084">
        <f>VLOOKUP($A1084,[1]Table!$A$2:$N1235,L$1,FALSE)</f>
        <v>1.25</v>
      </c>
      <c r="M1084" t="str">
        <f>VLOOKUP($A1084,[1]Table!$A$2:$N1235,M$1,FALSE)</f>
        <v>mg</v>
      </c>
      <c r="N1084" t="str">
        <f>VLOOKUP($A1084,[1]Table!$A$2:$N1235,N$1,FALSE)</f>
        <v xml:space="preserve">Menstruatie: doorbraakbloedingen, menstruatiestoornissen en uitstel menstruatie </v>
      </c>
      <c r="O1084" t="str">
        <f>ConcatenateRange(AZ1084:BU1084,"||")</f>
        <v/>
      </c>
      <c r="AZ1084" t="str">
        <f t="shared" si="396"/>
        <v/>
      </c>
      <c r="BA1084" t="str">
        <f t="shared" si="397"/>
        <v/>
      </c>
      <c r="BB1084" t="str">
        <f t="shared" si="398"/>
        <v/>
      </c>
      <c r="BC1084" t="str">
        <f t="shared" si="399"/>
        <v/>
      </c>
      <c r="BD1084" t="str">
        <f t="shared" si="400"/>
        <v/>
      </c>
      <c r="BE1084" t="str">
        <f t="shared" si="401"/>
        <v/>
      </c>
      <c r="BF1084" t="str">
        <f t="shared" si="402"/>
        <v/>
      </c>
      <c r="BG1084" t="str">
        <f t="shared" si="403"/>
        <v/>
      </c>
      <c r="BH1084" t="str">
        <f t="shared" si="404"/>
        <v/>
      </c>
      <c r="BI1084" t="str">
        <f t="shared" si="405"/>
        <v/>
      </c>
      <c r="BJ1084" t="str">
        <f t="shared" si="406"/>
        <v/>
      </c>
      <c r="BK1084" t="str">
        <f t="shared" si="407"/>
        <v/>
      </c>
      <c r="BL1084" t="str">
        <f t="shared" si="408"/>
        <v/>
      </c>
      <c r="BM1084" t="str">
        <f t="shared" si="409"/>
        <v/>
      </c>
      <c r="BN1084" t="str">
        <f t="shared" si="410"/>
        <v/>
      </c>
      <c r="BO1084" t="str">
        <f t="shared" si="411"/>
        <v/>
      </c>
      <c r="BP1084" t="str">
        <f t="shared" si="412"/>
        <v/>
      </c>
      <c r="BQ1084" t="str">
        <f t="shared" si="413"/>
        <v/>
      </c>
      <c r="BR1084" t="str">
        <f t="shared" si="414"/>
        <v/>
      </c>
      <c r="BS1084" t="str">
        <f t="shared" si="415"/>
        <v/>
      </c>
      <c r="BT1084" t="str">
        <f t="shared" si="416"/>
        <v/>
      </c>
      <c r="BU1084" t="str">
        <f t="shared" si="417"/>
        <v/>
      </c>
    </row>
    <row r="1085" spans="1:73">
      <c r="A1085" s="1">
        <v>53392</v>
      </c>
      <c r="B1085" t="str">
        <f>VLOOKUP($A1085,[1]Table!$A$2:$N1236,B$1,FALSE)</f>
        <v>J01MA06</v>
      </c>
      <c r="C1085" t="str">
        <f>VLOOKUP($A1085,[1]Table!$A$2:$N1236,C$1,FALSE)</f>
        <v>ANTIBACTERIELE MIDDELEN VOOR SYSTEMISCH GEBRUIK</v>
      </c>
      <c r="D1085" t="str">
        <f>VLOOKUP($A1085,[1]Table!$A$2:$N1236,D$1,FALSE)</f>
        <v>CHINOLONEN</v>
      </c>
      <c r="E1085" t="str">
        <f>VLOOKUP($A1085,[1]Table!$A$2:$N1236,E$1,FALSE)</f>
        <v>NORFLOXACINE</v>
      </c>
      <c r="F1085" t="str">
        <f>VLOOKUP($A1085,[1]Table!$A$2:$N1236,F$1,FALSE)</f>
        <v>NORFLOXACINE 400 MG TABLET</v>
      </c>
      <c r="G1085" t="str">
        <f>VLOOKUP($A1085,[1]Table!$A$2:$N1236,G$1,FALSE)</f>
        <v>NORFLOXACINE 400MG TABLET</v>
      </c>
      <c r="H1085" t="str">
        <f>VLOOKUP($A1085,[1]Table!$A$2:$N1236,H$1,FALSE)</f>
        <v>tablet</v>
      </c>
      <c r="I1085" t="str">
        <f>VLOOKUP($A1085,[1]Table!$A$2:$N1236,I$1,FALSE)</f>
        <v>or</v>
      </c>
      <c r="J1085">
        <f>VLOOKUP($A1085,[1]Table!$A$2:$N1236,J$1,FALSE)</f>
        <v>400</v>
      </c>
      <c r="K1085" t="str">
        <f>VLOOKUP($A1085,[1]Table!$A$2:$N1236,K$1,FALSE)</f>
        <v>mg/stuk</v>
      </c>
      <c r="L1085">
        <f>VLOOKUP($A1085,[1]Table!$A$2:$N1236,L$1,FALSE)</f>
        <v>200</v>
      </c>
      <c r="M1085" t="str">
        <f>VLOOKUP($A1085,[1]Table!$A$2:$N1236,M$1,FALSE)</f>
        <v>mg</v>
      </c>
      <c r="N1085" t="str">
        <f>VLOOKUP($A1085,[1]Table!$A$2:$N1236,N$1,FALSE)</f>
        <v>Profylaxe van recidiverende urineweginfecties||Gecompliceerde urineweginfectie</v>
      </c>
      <c r="O1085" t="str">
        <f>ConcatenateRange(AZ1085:BU1085,"||")</f>
        <v/>
      </c>
      <c r="AZ1085" t="str">
        <f t="shared" si="396"/>
        <v/>
      </c>
      <c r="BA1085" t="str">
        <f t="shared" si="397"/>
        <v/>
      </c>
      <c r="BB1085" t="str">
        <f t="shared" si="398"/>
        <v/>
      </c>
      <c r="BC1085" t="str">
        <f t="shared" si="399"/>
        <v/>
      </c>
      <c r="BD1085" t="str">
        <f t="shared" si="400"/>
        <v/>
      </c>
      <c r="BE1085" t="str">
        <f t="shared" si="401"/>
        <v/>
      </c>
      <c r="BF1085" t="str">
        <f t="shared" si="402"/>
        <v/>
      </c>
      <c r="BG1085" t="str">
        <f t="shared" si="403"/>
        <v/>
      </c>
      <c r="BH1085" t="str">
        <f t="shared" si="404"/>
        <v/>
      </c>
      <c r="BI1085" t="str">
        <f t="shared" si="405"/>
        <v/>
      </c>
      <c r="BJ1085" t="str">
        <f t="shared" si="406"/>
        <v/>
      </c>
      <c r="BK1085" t="str">
        <f t="shared" si="407"/>
        <v/>
      </c>
      <c r="BL1085" t="str">
        <f t="shared" si="408"/>
        <v/>
      </c>
      <c r="BM1085" t="str">
        <f t="shared" si="409"/>
        <v/>
      </c>
      <c r="BN1085" t="str">
        <f t="shared" si="410"/>
        <v/>
      </c>
      <c r="BO1085" t="str">
        <f t="shared" si="411"/>
        <v/>
      </c>
      <c r="BP1085" t="str">
        <f t="shared" si="412"/>
        <v/>
      </c>
      <c r="BQ1085" t="str">
        <f t="shared" si="413"/>
        <v/>
      </c>
      <c r="BR1085" t="str">
        <f t="shared" si="414"/>
        <v/>
      </c>
      <c r="BS1085" t="str">
        <f t="shared" si="415"/>
        <v/>
      </c>
      <c r="BT1085" t="str">
        <f t="shared" si="416"/>
        <v/>
      </c>
      <c r="BU1085" t="str">
        <f t="shared" si="417"/>
        <v/>
      </c>
    </row>
    <row r="1086" spans="1:73">
      <c r="A1086" s="1">
        <v>73709</v>
      </c>
      <c r="B1086" t="str">
        <f>VLOOKUP($A1086,[1]Table!$A$2:$N1237,B$1,FALSE)</f>
        <v>N06AA10</v>
      </c>
      <c r="C1086" t="str">
        <f>VLOOKUP($A1086,[1]Table!$A$2:$N1237,C$1,FALSE)</f>
        <v>PSYCHOANALEPTICA</v>
      </c>
      <c r="D1086" t="str">
        <f>VLOOKUP($A1086,[1]Table!$A$2:$N1237,D$1,FALSE)</f>
        <v>ANTIDEPRESSIVA</v>
      </c>
      <c r="E1086" t="str">
        <f>VLOOKUP($A1086,[1]Table!$A$2:$N1237,E$1,FALSE)</f>
        <v>NORTRIPTYLINE</v>
      </c>
      <c r="F1086" t="str">
        <f>VLOOKUP($A1086,[1]Table!$A$2:$N1237,F$1,FALSE)</f>
        <v>NORTRILEN 10 MG TABLET</v>
      </c>
      <c r="G1086" t="str">
        <f>VLOOKUP($A1086,[1]Table!$A$2:$N1237,G$1,FALSE)</f>
        <v>NORTRIPTYLINE 10MG TABLET</v>
      </c>
      <c r="H1086" t="str">
        <f>VLOOKUP($A1086,[1]Table!$A$2:$N1237,H$1,FALSE)</f>
        <v>tablet</v>
      </c>
      <c r="I1086" t="str">
        <f>VLOOKUP($A1086,[1]Table!$A$2:$N1237,I$1,FALSE)</f>
        <v>or</v>
      </c>
      <c r="J1086">
        <f>VLOOKUP($A1086,[1]Table!$A$2:$N1237,J$1,FALSE)</f>
        <v>10</v>
      </c>
      <c r="K1086" t="str">
        <f>VLOOKUP($A1086,[1]Table!$A$2:$N1237,K$1,FALSE)</f>
        <v>mg/stuk</v>
      </c>
      <c r="L1086">
        <f>VLOOKUP($A1086,[1]Table!$A$2:$N1237,L$1,FALSE)</f>
        <v>10</v>
      </c>
      <c r="M1086" t="str">
        <f>VLOOKUP($A1086,[1]Table!$A$2:$N1237,M$1,FALSE)</f>
        <v>mg</v>
      </c>
      <c r="N1086" t="str">
        <f>VLOOKUP($A1086,[1]Table!$A$2:$N1237,N$1,FALSE)</f>
        <v>ADHD</v>
      </c>
      <c r="O1086" t="str">
        <f>ConcatenateRange(AZ1086:BU1086,"||")</f>
        <v/>
      </c>
      <c r="AZ1086" t="str">
        <f t="shared" si="396"/>
        <v/>
      </c>
      <c r="BA1086" t="str">
        <f t="shared" si="397"/>
        <v/>
      </c>
      <c r="BB1086" t="str">
        <f t="shared" si="398"/>
        <v/>
      </c>
      <c r="BC1086" t="str">
        <f t="shared" si="399"/>
        <v/>
      </c>
      <c r="BD1086" t="str">
        <f t="shared" si="400"/>
        <v/>
      </c>
      <c r="BE1086" t="str">
        <f t="shared" si="401"/>
        <v/>
      </c>
      <c r="BF1086" t="str">
        <f t="shared" si="402"/>
        <v/>
      </c>
      <c r="BG1086" t="str">
        <f t="shared" si="403"/>
        <v/>
      </c>
      <c r="BH1086" t="str">
        <f t="shared" si="404"/>
        <v/>
      </c>
      <c r="BI1086" t="str">
        <f t="shared" si="405"/>
        <v/>
      </c>
      <c r="BJ1086" t="str">
        <f t="shared" si="406"/>
        <v/>
      </c>
      <c r="BK1086" t="str">
        <f t="shared" si="407"/>
        <v/>
      </c>
      <c r="BL1086" t="str">
        <f t="shared" si="408"/>
        <v/>
      </c>
      <c r="BM1086" t="str">
        <f t="shared" si="409"/>
        <v/>
      </c>
      <c r="BN1086" t="str">
        <f t="shared" si="410"/>
        <v/>
      </c>
      <c r="BO1086" t="str">
        <f t="shared" si="411"/>
        <v/>
      </c>
      <c r="BP1086" t="str">
        <f t="shared" si="412"/>
        <v/>
      </c>
      <c r="BQ1086" t="str">
        <f t="shared" si="413"/>
        <v/>
      </c>
      <c r="BR1086" t="str">
        <f t="shared" si="414"/>
        <v/>
      </c>
      <c r="BS1086" t="str">
        <f t="shared" si="415"/>
        <v/>
      </c>
      <c r="BT1086" t="str">
        <f t="shared" si="416"/>
        <v/>
      </c>
      <c r="BU1086" t="str">
        <f t="shared" si="417"/>
        <v/>
      </c>
    </row>
    <row r="1087" spans="1:73">
      <c r="A1087" s="1">
        <v>67016</v>
      </c>
      <c r="B1087" t="str">
        <f>VLOOKUP($A1087,[1]Table!$A$2:$N1238,B$1,FALSE)</f>
        <v>N06AA10</v>
      </c>
      <c r="C1087" t="str">
        <f>VLOOKUP($A1087,[1]Table!$A$2:$N1238,C$1,FALSE)</f>
        <v>PSYCHOANALEPTICA</v>
      </c>
      <c r="D1087" t="str">
        <f>VLOOKUP($A1087,[1]Table!$A$2:$N1238,D$1,FALSE)</f>
        <v>ANTIDEPRESSIVA</v>
      </c>
      <c r="E1087" t="str">
        <f>VLOOKUP($A1087,[1]Table!$A$2:$N1238,E$1,FALSE)</f>
        <v>NORTRIPTYLINE</v>
      </c>
      <c r="F1087" t="str">
        <f>VLOOKUP($A1087,[1]Table!$A$2:$N1238,F$1,FALSE)</f>
        <v>NORTRILEN 25 MG TABLET</v>
      </c>
      <c r="G1087" t="str">
        <f>VLOOKUP($A1087,[1]Table!$A$2:$N1238,G$1,FALSE)</f>
        <v>NORTRIPTYLINE 25MG TABLET</v>
      </c>
      <c r="H1087" t="str">
        <f>VLOOKUP($A1087,[1]Table!$A$2:$N1238,H$1,FALSE)</f>
        <v>tablet</v>
      </c>
      <c r="I1087" t="str">
        <f>VLOOKUP($A1087,[1]Table!$A$2:$N1238,I$1,FALSE)</f>
        <v>or</v>
      </c>
      <c r="J1087">
        <f>VLOOKUP($A1087,[1]Table!$A$2:$N1238,J$1,FALSE)</f>
        <v>25</v>
      </c>
      <c r="K1087" t="str">
        <f>VLOOKUP($A1087,[1]Table!$A$2:$N1238,K$1,FALSE)</f>
        <v>mg/stuk</v>
      </c>
      <c r="L1087">
        <f>VLOOKUP($A1087,[1]Table!$A$2:$N1238,L$1,FALSE)</f>
        <v>25</v>
      </c>
      <c r="M1087" t="str">
        <f>VLOOKUP($A1087,[1]Table!$A$2:$N1238,M$1,FALSE)</f>
        <v>mg</v>
      </c>
      <c r="N1087" t="str">
        <f>VLOOKUP($A1087,[1]Table!$A$2:$N1238,N$1,FALSE)</f>
        <v>ADHD</v>
      </c>
      <c r="O1087" t="str">
        <f>ConcatenateRange(AZ1087:BU1087,"||")</f>
        <v/>
      </c>
      <c r="AZ1087" t="str">
        <f t="shared" si="396"/>
        <v/>
      </c>
      <c r="BA1087" t="str">
        <f t="shared" si="397"/>
        <v/>
      </c>
      <c r="BB1087" t="str">
        <f t="shared" si="398"/>
        <v/>
      </c>
      <c r="BC1087" t="str">
        <f t="shared" si="399"/>
        <v/>
      </c>
      <c r="BD1087" t="str">
        <f t="shared" si="400"/>
        <v/>
      </c>
      <c r="BE1087" t="str">
        <f t="shared" si="401"/>
        <v/>
      </c>
      <c r="BF1087" t="str">
        <f t="shared" si="402"/>
        <v/>
      </c>
      <c r="BG1087" t="str">
        <f t="shared" si="403"/>
        <v/>
      </c>
      <c r="BH1087" t="str">
        <f t="shared" si="404"/>
        <v/>
      </c>
      <c r="BI1087" t="str">
        <f t="shared" si="405"/>
        <v/>
      </c>
      <c r="BJ1087" t="str">
        <f t="shared" si="406"/>
        <v/>
      </c>
      <c r="BK1087" t="str">
        <f t="shared" si="407"/>
        <v/>
      </c>
      <c r="BL1087" t="str">
        <f t="shared" si="408"/>
        <v/>
      </c>
      <c r="BM1087" t="str">
        <f t="shared" si="409"/>
        <v/>
      </c>
      <c r="BN1087" t="str">
        <f t="shared" si="410"/>
        <v/>
      </c>
      <c r="BO1087" t="str">
        <f t="shared" si="411"/>
        <v/>
      </c>
      <c r="BP1087" t="str">
        <f t="shared" si="412"/>
        <v/>
      </c>
      <c r="BQ1087" t="str">
        <f t="shared" si="413"/>
        <v/>
      </c>
      <c r="BR1087" t="str">
        <f t="shared" si="414"/>
        <v/>
      </c>
      <c r="BS1087" t="str">
        <f t="shared" si="415"/>
        <v/>
      </c>
      <c r="BT1087" t="str">
        <f t="shared" si="416"/>
        <v/>
      </c>
      <c r="BU1087" t="str">
        <f t="shared" si="417"/>
        <v/>
      </c>
    </row>
    <row r="1088" spans="1:73">
      <c r="A1088" s="1">
        <v>67008</v>
      </c>
      <c r="B1088" t="str">
        <f>VLOOKUP($A1088,[1]Table!$A$2:$N1239,B$1,FALSE)</f>
        <v>N06AA10</v>
      </c>
      <c r="C1088" t="str">
        <f>VLOOKUP($A1088,[1]Table!$A$2:$N1239,C$1,FALSE)</f>
        <v>PSYCHOANALEPTICA</v>
      </c>
      <c r="D1088" t="str">
        <f>VLOOKUP($A1088,[1]Table!$A$2:$N1239,D$1,FALSE)</f>
        <v>ANTIDEPRESSIVA</v>
      </c>
      <c r="E1088" t="str">
        <f>VLOOKUP($A1088,[1]Table!$A$2:$N1239,E$1,FALSE)</f>
        <v>NORTRIPTYLINE</v>
      </c>
      <c r="F1088" t="str">
        <f>VLOOKUP($A1088,[1]Table!$A$2:$N1239,F$1,FALSE)</f>
        <v>NORTRILEN 50 MG TABLET</v>
      </c>
      <c r="G1088" t="str">
        <f>VLOOKUP($A1088,[1]Table!$A$2:$N1239,G$1,FALSE)</f>
        <v>NORTRIPTYLINE 50MG TABLET</v>
      </c>
      <c r="H1088" t="str">
        <f>VLOOKUP($A1088,[1]Table!$A$2:$N1239,H$1,FALSE)</f>
        <v>tablet</v>
      </c>
      <c r="I1088" t="str">
        <f>VLOOKUP($A1088,[1]Table!$A$2:$N1239,I$1,FALSE)</f>
        <v>or</v>
      </c>
      <c r="J1088">
        <f>VLOOKUP($A1088,[1]Table!$A$2:$N1239,J$1,FALSE)</f>
        <v>50</v>
      </c>
      <c r="K1088" t="str">
        <f>VLOOKUP($A1088,[1]Table!$A$2:$N1239,K$1,FALSE)</f>
        <v>mg/stuk</v>
      </c>
      <c r="L1088">
        <f>VLOOKUP($A1088,[1]Table!$A$2:$N1239,L$1,FALSE)</f>
        <v>50</v>
      </c>
      <c r="M1088" t="str">
        <f>VLOOKUP($A1088,[1]Table!$A$2:$N1239,M$1,FALSE)</f>
        <v>mg</v>
      </c>
      <c r="N1088" t="str">
        <f>VLOOKUP($A1088,[1]Table!$A$2:$N1239,N$1,FALSE)</f>
        <v>ADHD</v>
      </c>
      <c r="O1088" t="str">
        <f>ConcatenateRange(AZ1088:BU1088,"||")</f>
        <v/>
      </c>
      <c r="AZ1088" t="str">
        <f t="shared" si="396"/>
        <v/>
      </c>
      <c r="BA1088" t="str">
        <f t="shared" si="397"/>
        <v/>
      </c>
      <c r="BB1088" t="str">
        <f t="shared" si="398"/>
        <v/>
      </c>
      <c r="BC1088" t="str">
        <f t="shared" si="399"/>
        <v/>
      </c>
      <c r="BD1088" t="str">
        <f t="shared" si="400"/>
        <v/>
      </c>
      <c r="BE1088" t="str">
        <f t="shared" si="401"/>
        <v/>
      </c>
      <c r="BF1088" t="str">
        <f t="shared" si="402"/>
        <v/>
      </c>
      <c r="BG1088" t="str">
        <f t="shared" si="403"/>
        <v/>
      </c>
      <c r="BH1088" t="str">
        <f t="shared" si="404"/>
        <v/>
      </c>
      <c r="BI1088" t="str">
        <f t="shared" si="405"/>
        <v/>
      </c>
      <c r="BJ1088" t="str">
        <f t="shared" si="406"/>
        <v/>
      </c>
      <c r="BK1088" t="str">
        <f t="shared" si="407"/>
        <v/>
      </c>
      <c r="BL1088" t="str">
        <f t="shared" si="408"/>
        <v/>
      </c>
      <c r="BM1088" t="str">
        <f t="shared" si="409"/>
        <v/>
      </c>
      <c r="BN1088" t="str">
        <f t="shared" si="410"/>
        <v/>
      </c>
      <c r="BO1088" t="str">
        <f t="shared" si="411"/>
        <v/>
      </c>
      <c r="BP1088" t="str">
        <f t="shared" si="412"/>
        <v/>
      </c>
      <c r="BQ1088" t="str">
        <f t="shared" si="413"/>
        <v/>
      </c>
      <c r="BR1088" t="str">
        <f t="shared" si="414"/>
        <v/>
      </c>
      <c r="BS1088" t="str">
        <f t="shared" si="415"/>
        <v/>
      </c>
      <c r="BT1088" t="str">
        <f t="shared" si="416"/>
        <v/>
      </c>
      <c r="BU1088" t="str">
        <f t="shared" si="417"/>
        <v/>
      </c>
    </row>
    <row r="1089" spans="1:73">
      <c r="A1089" s="1">
        <v>137030</v>
      </c>
      <c r="B1089" t="str">
        <f>VLOOKUP($A1089,[1]Table!$A$2:$N1240,B$1,FALSE)</f>
        <v>R05DA07</v>
      </c>
      <c r="C1089" t="str">
        <f>VLOOKUP($A1089,[1]Table!$A$2:$N1240,C$1,FALSE)</f>
        <v>HOEST- EN VERKOUDHEIDSMIDDELEN</v>
      </c>
      <c r="D1089" t="str">
        <f>VLOOKUP($A1089,[1]Table!$A$2:$N1240,D$1,FALSE)</f>
        <v>HOESTPRIKKELDEMP.MIDD., EXCL COMB.PREP. MET EXPECTORANTIA</v>
      </c>
      <c r="E1089" t="str">
        <f>VLOOKUP($A1089,[1]Table!$A$2:$N1240,E$1,FALSE)</f>
        <v>NOSCAPINE</v>
      </c>
      <c r="F1089" t="str">
        <f>VLOOKUP($A1089,[1]Table!$A$2:$N1240,F$1,FALSE)</f>
        <v>NOSCAPECT 15 MG TABLET</v>
      </c>
      <c r="G1089" t="str">
        <f>VLOOKUP($A1089,[1]Table!$A$2:$N1240,G$1,FALSE)</f>
        <v>NOSCAPINE 15MG TABLET</v>
      </c>
      <c r="H1089" t="str">
        <f>VLOOKUP($A1089,[1]Table!$A$2:$N1240,H$1,FALSE)</f>
        <v>tablet</v>
      </c>
      <c r="I1089" t="str">
        <f>VLOOKUP($A1089,[1]Table!$A$2:$N1240,I$1,FALSE)</f>
        <v>or</v>
      </c>
      <c r="J1089">
        <f>VLOOKUP($A1089,[1]Table!$A$2:$N1240,J$1,FALSE)</f>
        <v>15</v>
      </c>
      <c r="K1089" t="str">
        <f>VLOOKUP($A1089,[1]Table!$A$2:$N1240,K$1,FALSE)</f>
        <v>mg/stuk</v>
      </c>
      <c r="L1089">
        <f>VLOOKUP($A1089,[1]Table!$A$2:$N1240,L$1,FALSE)</f>
        <v>15</v>
      </c>
      <c r="M1089" t="str">
        <f>VLOOKUP($A1089,[1]Table!$A$2:$N1240,M$1,FALSE)</f>
        <v>mg</v>
      </c>
      <c r="N1089" t="str">
        <f>VLOOKUP($A1089,[1]Table!$A$2:$N1240,N$1,FALSE)</f>
        <v>Hoest</v>
      </c>
      <c r="O1089" t="str">
        <f>ConcatenateRange(AZ1089:BU1089,"||")</f>
        <v/>
      </c>
      <c r="AZ1089" t="str">
        <f t="shared" si="396"/>
        <v/>
      </c>
      <c r="BA1089" t="str">
        <f t="shared" si="397"/>
        <v/>
      </c>
      <c r="BB1089" t="str">
        <f t="shared" si="398"/>
        <v/>
      </c>
      <c r="BC1089" t="str">
        <f t="shared" si="399"/>
        <v/>
      </c>
      <c r="BD1089" t="str">
        <f t="shared" si="400"/>
        <v/>
      </c>
      <c r="BE1089" t="str">
        <f t="shared" si="401"/>
        <v/>
      </c>
      <c r="BF1089" t="str">
        <f t="shared" si="402"/>
        <v/>
      </c>
      <c r="BG1089" t="str">
        <f t="shared" si="403"/>
        <v/>
      </c>
      <c r="BH1089" t="str">
        <f t="shared" si="404"/>
        <v/>
      </c>
      <c r="BI1089" t="str">
        <f t="shared" si="405"/>
        <v/>
      </c>
      <c r="BJ1089" t="str">
        <f t="shared" si="406"/>
        <v/>
      </c>
      <c r="BK1089" t="str">
        <f t="shared" si="407"/>
        <v/>
      </c>
      <c r="BL1089" t="str">
        <f t="shared" si="408"/>
        <v/>
      </c>
      <c r="BM1089" t="str">
        <f t="shared" si="409"/>
        <v/>
      </c>
      <c r="BN1089" t="str">
        <f t="shared" si="410"/>
        <v/>
      </c>
      <c r="BO1089" t="str">
        <f t="shared" si="411"/>
        <v/>
      </c>
      <c r="BP1089" t="str">
        <f t="shared" si="412"/>
        <v/>
      </c>
      <c r="BQ1089" t="str">
        <f t="shared" si="413"/>
        <v/>
      </c>
      <c r="BR1089" t="str">
        <f t="shared" si="414"/>
        <v/>
      </c>
      <c r="BS1089" t="str">
        <f t="shared" si="415"/>
        <v/>
      </c>
      <c r="BT1089" t="str">
        <f t="shared" si="416"/>
        <v/>
      </c>
      <c r="BU1089" t="str">
        <f t="shared" si="417"/>
        <v/>
      </c>
    </row>
    <row r="1090" spans="1:73">
      <c r="A1090" s="1">
        <v>18473</v>
      </c>
      <c r="B1090" t="str">
        <f>VLOOKUP($A1090,[1]Table!$A$2:$N1240,B$1,FALSE)</f>
        <v>A07AA02</v>
      </c>
      <c r="C1090" t="str">
        <f>VLOOKUP($A1090,[1]Table!$A$2:$N1240,C$1,FALSE)</f>
        <v>ANTIDIARRHOICA, ANTI-INFLAMM./ANTIMICROBIELE DARMMIDDELEN</v>
      </c>
      <c r="D1090" t="str">
        <f>VLOOKUP($A1090,[1]Table!$A$2:$N1240,D$1,FALSE)</f>
        <v>ANTIMICROBIELE DARMMIDDELEN</v>
      </c>
      <c r="E1090" t="str">
        <f>VLOOKUP($A1090,[1]Table!$A$2:$N1240,E$1,FALSE)</f>
        <v>NYSTATINE</v>
      </c>
      <c r="F1090" t="str">
        <f>VLOOKUP($A1090,[1]Table!$A$2:$N1240,F$1,FALSE)</f>
        <v>NYSTATINE 100.000E/ML 120ML SUSPENSIE</v>
      </c>
      <c r="G1090" t="str">
        <f>VLOOKUP($A1090,[1]Table!$A$2:$N1240,G$1,FALSE)</f>
        <v>NYSTATINE 100.000E/ML SUSP</v>
      </c>
      <c r="H1090" t="str">
        <f>VLOOKUP($A1090,[1]Table!$A$2:$N1240,H$1,FALSE)</f>
        <v>suspensie voor oraal gebruik</v>
      </c>
      <c r="I1090" t="str">
        <f>VLOOKUP($A1090,[1]Table!$A$2:$N1240,I$1,FALSE)</f>
        <v>or</v>
      </c>
      <c r="J1090">
        <f>VLOOKUP($A1090,[1]Table!$A$2:$N1240,J$1,FALSE)</f>
        <v>100000</v>
      </c>
      <c r="K1090" t="str">
        <f>VLOOKUP($A1090,[1]Table!$A$2:$N1240,K$1,FALSE)</f>
        <v>E/ml</v>
      </c>
      <c r="L1090">
        <f>VLOOKUP($A1090,[1]Table!$A$2:$N1240,L$1,FALSE)</f>
        <v>100000</v>
      </c>
      <c r="M1090" t="str">
        <f>VLOOKUP($A1090,[1]Table!$A$2:$N1240,M$1,FALSE)</f>
        <v>E</v>
      </c>
      <c r="N1090" t="str">
        <f>VLOOKUP($A1090,[1]Table!$A$2:$N1240,N$1,FALSE)</f>
        <v>Candidiasis van mond/keelholte; spruw ||Candidiasis van slokdarm en maagdarmkanaal</v>
      </c>
      <c r="O1090" t="str">
        <f>ConcatenateRange(AZ1090:BU1090,"||")</f>
        <v/>
      </c>
      <c r="AZ1090" t="str">
        <f t="shared" si="396"/>
        <v/>
      </c>
      <c r="BA1090" t="str">
        <f t="shared" si="397"/>
        <v/>
      </c>
      <c r="BB1090" t="str">
        <f t="shared" si="398"/>
        <v/>
      </c>
      <c r="BC1090" t="str">
        <f t="shared" si="399"/>
        <v/>
      </c>
      <c r="BD1090" t="str">
        <f t="shared" si="400"/>
        <v/>
      </c>
      <c r="BE1090" t="str">
        <f t="shared" si="401"/>
        <v/>
      </c>
      <c r="BF1090" t="str">
        <f t="shared" si="402"/>
        <v/>
      </c>
      <c r="BG1090" t="str">
        <f t="shared" si="403"/>
        <v/>
      </c>
      <c r="BH1090" t="str">
        <f t="shared" si="404"/>
        <v/>
      </c>
      <c r="BI1090" t="str">
        <f t="shared" si="405"/>
        <v/>
      </c>
      <c r="BJ1090" t="str">
        <f t="shared" si="406"/>
        <v/>
      </c>
      <c r="BK1090" t="str">
        <f t="shared" si="407"/>
        <v/>
      </c>
      <c r="BL1090" t="str">
        <f t="shared" si="408"/>
        <v/>
      </c>
      <c r="BM1090" t="str">
        <f t="shared" si="409"/>
        <v/>
      </c>
      <c r="BN1090" t="str">
        <f t="shared" si="410"/>
        <v/>
      </c>
      <c r="BO1090" t="str">
        <f t="shared" si="411"/>
        <v/>
      </c>
      <c r="BP1090" t="str">
        <f t="shared" si="412"/>
        <v/>
      </c>
      <c r="BQ1090" t="str">
        <f t="shared" si="413"/>
        <v/>
      </c>
      <c r="BR1090" t="str">
        <f t="shared" si="414"/>
        <v/>
      </c>
      <c r="BS1090" t="str">
        <f t="shared" si="415"/>
        <v/>
      </c>
      <c r="BT1090" t="str">
        <f t="shared" si="416"/>
        <v/>
      </c>
      <c r="BU1090" t="str">
        <f t="shared" si="417"/>
        <v/>
      </c>
    </row>
    <row r="1091" spans="1:73">
      <c r="A1091" s="1">
        <v>1716</v>
      </c>
      <c r="B1091" t="str">
        <f>VLOOKUP($A1091,[1]Table!$A$2:$N1241,B$1,FALSE)</f>
        <v>V03AB13</v>
      </c>
      <c r="C1091" t="str">
        <f>VLOOKUP($A1091,[1]Table!$A$2:$N1241,C$1,FALSE)</f>
        <v>ALLE OVERIGE THERAPEUTISCHE MIDDELEN</v>
      </c>
      <c r="D1091" t="str">
        <f>VLOOKUP($A1091,[1]Table!$A$2:$N1241,D$1,FALSE)</f>
        <v>ALLE OVERIGE THERAPEUTISCHE MIDDELEN</v>
      </c>
      <c r="E1091" t="str">
        <f>VLOOKUP($A1091,[1]Table!$A$2:$N1241,E$1,FALSE)</f>
        <v>OBIDOXIM</v>
      </c>
      <c r="F1091" t="str">
        <f>VLOOKUP($A1091,[1]Table!$A$2:$N1241,F$1,FALSE)</f>
        <v>TOXOGONIN 250MG/ML AMPUL 1ML</v>
      </c>
      <c r="G1091" t="str">
        <f>VLOOKUP($A1091,[1]Table!$A$2:$N1241,G$1,FALSE)</f>
        <v>OBIDOXIM 250MG/ML INJVLST</v>
      </c>
      <c r="H1091" t="str">
        <f>VLOOKUP($A1091,[1]Table!$A$2:$N1241,H$1,FALSE)</f>
        <v>injectievloeistof</v>
      </c>
      <c r="I1091" t="str">
        <f>VLOOKUP($A1091,[1]Table!$A$2:$N1241,I$1,FALSE)</f>
        <v>iv</v>
      </c>
      <c r="J1091">
        <f>VLOOKUP($A1091,[1]Table!$A$2:$N1241,J$1,FALSE)</f>
        <v>250</v>
      </c>
      <c r="K1091" t="str">
        <f>VLOOKUP($A1091,[1]Table!$A$2:$N1241,K$1,FALSE)</f>
        <v>mg/ml</v>
      </c>
      <c r="L1091">
        <f>VLOOKUP($A1091,[1]Table!$A$2:$N1241,L$1,FALSE)</f>
        <v>250</v>
      </c>
      <c r="M1091" t="str">
        <f>VLOOKUP($A1091,[1]Table!$A$2:$N1241,M$1,FALSE)</f>
        <v>mg</v>
      </c>
      <c r="N1091" t="str">
        <f>VLOOKUP($A1091,[1]Table!$A$2:$N1241,N$1,FALSE)</f>
        <v xml:space="preserve">Intoxicatie, cholinesterase remmende stoffen (bij organische fosfaten, niet bij carbamaten) </v>
      </c>
      <c r="O1091" t="str">
        <f>ConcatenateRange(AZ1091:BU1091,"||")</f>
        <v/>
      </c>
      <c r="AZ1091" t="str">
        <f t="shared" si="396"/>
        <v/>
      </c>
      <c r="BA1091" t="str">
        <f t="shared" si="397"/>
        <v/>
      </c>
      <c r="BB1091" t="str">
        <f t="shared" si="398"/>
        <v/>
      </c>
      <c r="BC1091" t="str">
        <f t="shared" si="399"/>
        <v/>
      </c>
      <c r="BD1091" t="str">
        <f t="shared" si="400"/>
        <v/>
      </c>
      <c r="BE1091" t="str">
        <f t="shared" si="401"/>
        <v/>
      </c>
      <c r="BF1091" t="str">
        <f t="shared" si="402"/>
        <v/>
      </c>
      <c r="BG1091" t="str">
        <f t="shared" si="403"/>
        <v/>
      </c>
      <c r="BH1091" t="str">
        <f t="shared" si="404"/>
        <v/>
      </c>
      <c r="BI1091" t="str">
        <f t="shared" si="405"/>
        <v/>
      </c>
      <c r="BJ1091" t="str">
        <f t="shared" si="406"/>
        <v/>
      </c>
      <c r="BK1091" t="str">
        <f t="shared" si="407"/>
        <v/>
      </c>
      <c r="BL1091" t="str">
        <f t="shared" si="408"/>
        <v/>
      </c>
      <c r="BM1091" t="str">
        <f t="shared" si="409"/>
        <v/>
      </c>
      <c r="BN1091" t="str">
        <f t="shared" si="410"/>
        <v/>
      </c>
      <c r="BO1091" t="str">
        <f t="shared" si="411"/>
        <v/>
      </c>
      <c r="BP1091" t="str">
        <f t="shared" si="412"/>
        <v/>
      </c>
      <c r="BQ1091" t="str">
        <f t="shared" si="413"/>
        <v/>
      </c>
      <c r="BR1091" t="str">
        <f t="shared" si="414"/>
        <v/>
      </c>
      <c r="BS1091" t="str">
        <f t="shared" si="415"/>
        <v/>
      </c>
      <c r="BT1091" t="str">
        <f t="shared" si="416"/>
        <v/>
      </c>
      <c r="BU1091" t="str">
        <f t="shared" si="417"/>
        <v/>
      </c>
    </row>
    <row r="1092" spans="1:73">
      <c r="A1092" s="1">
        <v>100137</v>
      </c>
      <c r="B1092" t="str">
        <f>VLOOKUP($A1092,[1]Table!$A$2:$N1242,B$1,FALSE)</f>
        <v>B02BD02</v>
      </c>
      <c r="C1092" t="str">
        <f>VLOOKUP($A1092,[1]Table!$A$2:$N1242,C$1,FALSE)</f>
        <v>ANTIHAEMORRHAGICA</v>
      </c>
      <c r="D1092" t="str">
        <f>VLOOKUP($A1092,[1]Table!$A$2:$N1242,D$1,FALSE)</f>
        <v>VITAMINE K EN OVERIGE HAEMOSTATICA</v>
      </c>
      <c r="E1092" t="str">
        <f>VLOOKUP($A1092,[1]Table!$A$2:$N1242,E$1,FALSE)</f>
        <v>OCTOCOG ALFA</v>
      </c>
      <c r="F1092" t="str">
        <f>VLOOKUP($A1092,[1]Table!$A$2:$N1242,F$1,FALSE)</f>
        <v>ADVATE 250 IE INJPDR+ SOLVENS 2ML+SYST</v>
      </c>
      <c r="G1092" t="str">
        <f>VLOOKUP($A1092,[1]Table!$A$2:$N1242,G$1,FALSE)</f>
        <v>OCTOCOG ALFA 250IE (BAXTER)</v>
      </c>
      <c r="H1092" t="str">
        <f>VLOOKUP($A1092,[1]Table!$A$2:$N1242,H$1,FALSE)</f>
        <v>poeder voor injectievloeistof</v>
      </c>
      <c r="I1092" t="str">
        <f>VLOOKUP($A1092,[1]Table!$A$2:$N1242,I$1,FALSE)</f>
        <v>iv</v>
      </c>
      <c r="J1092">
        <f>VLOOKUP($A1092,[1]Table!$A$2:$N1242,J$1,FALSE)</f>
        <v>250</v>
      </c>
      <c r="K1092" t="str">
        <f>VLOOKUP($A1092,[1]Table!$A$2:$N1242,K$1,FALSE)</f>
        <v>IE/stuk</v>
      </c>
      <c r="L1092">
        <f>VLOOKUP($A1092,[1]Table!$A$2:$N1242,L$1,FALSE)</f>
        <v>250</v>
      </c>
      <c r="M1092" t="str">
        <f>VLOOKUP($A1092,[1]Table!$A$2:$N1242,M$1,FALSE)</f>
        <v>IE</v>
      </c>
      <c r="N1092" t="str">
        <f>VLOOKUP($A1092,[1]Table!$A$2:$N1242,N$1,FALSE)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2" t="str">
        <f>ConcatenateRange(AZ1092:BU1092,"||")</f>
        <v/>
      </c>
      <c r="AZ1092" t="str">
        <f t="shared" si="396"/>
        <v/>
      </c>
      <c r="BA1092" t="str">
        <f t="shared" si="397"/>
        <v/>
      </c>
      <c r="BB1092" t="str">
        <f t="shared" si="398"/>
        <v/>
      </c>
      <c r="BC1092" t="str">
        <f t="shared" si="399"/>
        <v/>
      </c>
      <c r="BD1092" t="str">
        <f t="shared" si="400"/>
        <v/>
      </c>
      <c r="BE1092" t="str">
        <f t="shared" si="401"/>
        <v/>
      </c>
      <c r="BF1092" t="str">
        <f t="shared" si="402"/>
        <v/>
      </c>
      <c r="BG1092" t="str">
        <f t="shared" si="403"/>
        <v/>
      </c>
      <c r="BH1092" t="str">
        <f t="shared" si="404"/>
        <v/>
      </c>
      <c r="BI1092" t="str">
        <f t="shared" si="405"/>
        <v/>
      </c>
      <c r="BJ1092" t="str">
        <f t="shared" si="406"/>
        <v/>
      </c>
      <c r="BK1092" t="str">
        <f t="shared" si="407"/>
        <v/>
      </c>
      <c r="BL1092" t="str">
        <f t="shared" si="408"/>
        <v/>
      </c>
      <c r="BM1092" t="str">
        <f t="shared" si="409"/>
        <v/>
      </c>
      <c r="BN1092" t="str">
        <f t="shared" si="410"/>
        <v/>
      </c>
      <c r="BO1092" t="str">
        <f t="shared" si="411"/>
        <v/>
      </c>
      <c r="BP1092" t="str">
        <f t="shared" si="412"/>
        <v/>
      </c>
      <c r="BQ1092" t="str">
        <f t="shared" si="413"/>
        <v/>
      </c>
      <c r="BR1092" t="str">
        <f t="shared" si="414"/>
        <v/>
      </c>
      <c r="BS1092" t="str">
        <f t="shared" si="415"/>
        <v/>
      </c>
      <c r="BT1092" t="str">
        <f t="shared" si="416"/>
        <v/>
      </c>
      <c r="BU1092" t="str">
        <f t="shared" si="417"/>
        <v/>
      </c>
    </row>
    <row r="1093" spans="1:73">
      <c r="A1093" s="1">
        <v>100161</v>
      </c>
      <c r="B1093" t="str">
        <f>VLOOKUP($A1093,[1]Table!$A$2:$N1243,B$1,FALSE)</f>
        <v>B02BD02</v>
      </c>
      <c r="C1093" t="str">
        <f>VLOOKUP($A1093,[1]Table!$A$2:$N1243,C$1,FALSE)</f>
        <v>ANTIHAEMORRHAGICA</v>
      </c>
      <c r="D1093" t="str">
        <f>VLOOKUP($A1093,[1]Table!$A$2:$N1243,D$1,FALSE)</f>
        <v>VITAMINE K EN OVERIGE HAEMOSTATICA</v>
      </c>
      <c r="E1093" t="str">
        <f>VLOOKUP($A1093,[1]Table!$A$2:$N1243,E$1,FALSE)</f>
        <v>OCTOCOG ALFA</v>
      </c>
      <c r="F1093" t="str">
        <f>VLOOKUP($A1093,[1]Table!$A$2:$N1243,F$1,FALSE)</f>
        <v>KOGENATE 250 IE + 2.5 ML SOLVENS</v>
      </c>
      <c r="G1093" t="str">
        <f>VLOOKUP($A1093,[1]Table!$A$2:$N1243,G$1,FALSE)</f>
        <v>OCTOCOG ALFA 250IE (BAYER)</v>
      </c>
      <c r="H1093" t="str">
        <f>VLOOKUP($A1093,[1]Table!$A$2:$N1243,H$1,FALSE)</f>
        <v>poeder voor injectievloeistof</v>
      </c>
      <c r="I1093" t="str">
        <f>VLOOKUP($A1093,[1]Table!$A$2:$N1243,I$1,FALSE)</f>
        <v>iv</v>
      </c>
      <c r="J1093">
        <f>VLOOKUP($A1093,[1]Table!$A$2:$N1243,J$1,FALSE)</f>
        <v>250</v>
      </c>
      <c r="K1093" t="str">
        <f>VLOOKUP($A1093,[1]Table!$A$2:$N1243,K$1,FALSE)</f>
        <v>IE/stuk</v>
      </c>
      <c r="L1093">
        <f>VLOOKUP($A1093,[1]Table!$A$2:$N1243,L$1,FALSE)</f>
        <v>250</v>
      </c>
      <c r="M1093" t="str">
        <f>VLOOKUP($A1093,[1]Table!$A$2:$N1243,M$1,FALSE)</f>
        <v>IE</v>
      </c>
      <c r="N1093" t="str">
        <f>VLOOKUP($A1093,[1]Table!$A$2:$N1243,N$1,FALSE)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3" t="str">
        <f>ConcatenateRange(AZ1093:BU1093,"||")</f>
        <v/>
      </c>
      <c r="AZ1093" t="str">
        <f t="shared" si="396"/>
        <v/>
      </c>
      <c r="BA1093" t="str">
        <f t="shared" si="397"/>
        <v/>
      </c>
      <c r="BB1093" t="str">
        <f t="shared" si="398"/>
        <v/>
      </c>
      <c r="BC1093" t="str">
        <f t="shared" si="399"/>
        <v/>
      </c>
      <c r="BD1093" t="str">
        <f t="shared" si="400"/>
        <v/>
      </c>
      <c r="BE1093" t="str">
        <f t="shared" si="401"/>
        <v/>
      </c>
      <c r="BF1093" t="str">
        <f t="shared" si="402"/>
        <v/>
      </c>
      <c r="BG1093" t="str">
        <f t="shared" si="403"/>
        <v/>
      </c>
      <c r="BH1093" t="str">
        <f t="shared" si="404"/>
        <v/>
      </c>
      <c r="BI1093" t="str">
        <f t="shared" si="405"/>
        <v/>
      </c>
      <c r="BJ1093" t="str">
        <f t="shared" si="406"/>
        <v/>
      </c>
      <c r="BK1093" t="str">
        <f t="shared" si="407"/>
        <v/>
      </c>
      <c r="BL1093" t="str">
        <f t="shared" si="408"/>
        <v/>
      </c>
      <c r="BM1093" t="str">
        <f t="shared" si="409"/>
        <v/>
      </c>
      <c r="BN1093" t="str">
        <f t="shared" si="410"/>
        <v/>
      </c>
      <c r="BO1093" t="str">
        <f t="shared" si="411"/>
        <v/>
      </c>
      <c r="BP1093" t="str">
        <f t="shared" si="412"/>
        <v/>
      </c>
      <c r="BQ1093" t="str">
        <f t="shared" si="413"/>
        <v/>
      </c>
      <c r="BR1093" t="str">
        <f t="shared" si="414"/>
        <v/>
      </c>
      <c r="BS1093" t="str">
        <f t="shared" si="415"/>
        <v/>
      </c>
      <c r="BT1093" t="str">
        <f t="shared" si="416"/>
        <v/>
      </c>
      <c r="BU1093" t="str">
        <f t="shared" si="417"/>
        <v/>
      </c>
    </row>
    <row r="1094" spans="1:73">
      <c r="A1094" s="1">
        <v>100188</v>
      </c>
      <c r="B1094" t="str">
        <f>VLOOKUP($A1094,[1]Table!$A$2:$N1244,B$1,FALSE)</f>
        <v>B02BD02</v>
      </c>
      <c r="C1094" t="str">
        <f>VLOOKUP($A1094,[1]Table!$A$2:$N1244,C$1,FALSE)</f>
        <v>ANTIHAEMORRHAGICA</v>
      </c>
      <c r="D1094" t="str">
        <f>VLOOKUP($A1094,[1]Table!$A$2:$N1244,D$1,FALSE)</f>
        <v>VITAMINE K EN OVERIGE HAEMOSTATICA</v>
      </c>
      <c r="E1094" t="str">
        <f>VLOOKUP($A1094,[1]Table!$A$2:$N1244,E$1,FALSE)</f>
        <v>OCTOCOG ALFA</v>
      </c>
      <c r="F1094" t="str">
        <f>VLOOKUP($A1094,[1]Table!$A$2:$N1244,F$1,FALSE)</f>
        <v>KOGENATE 500 IE + 2.5 ML SOLVENS</v>
      </c>
      <c r="G1094" t="str">
        <f>VLOOKUP($A1094,[1]Table!$A$2:$N1244,G$1,FALSE)</f>
        <v>OCTOCOG ALFA 500IE (BAYER)</v>
      </c>
      <c r="H1094" t="str">
        <f>VLOOKUP($A1094,[1]Table!$A$2:$N1244,H$1,FALSE)</f>
        <v>poeder voor injectievloeistof</v>
      </c>
      <c r="I1094" t="str">
        <f>VLOOKUP($A1094,[1]Table!$A$2:$N1244,I$1,FALSE)</f>
        <v>iv</v>
      </c>
      <c r="J1094">
        <f>VLOOKUP($A1094,[1]Table!$A$2:$N1244,J$1,FALSE)</f>
        <v>500</v>
      </c>
      <c r="K1094" t="str">
        <f>VLOOKUP($A1094,[1]Table!$A$2:$N1244,K$1,FALSE)</f>
        <v>IE/stuk</v>
      </c>
      <c r="L1094">
        <f>VLOOKUP($A1094,[1]Table!$A$2:$N1244,L$1,FALSE)</f>
        <v>500</v>
      </c>
      <c r="M1094" t="str">
        <f>VLOOKUP($A1094,[1]Table!$A$2:$N1244,M$1,FALSE)</f>
        <v>IE</v>
      </c>
      <c r="N1094" t="str">
        <f>VLOOKUP($A1094,[1]Table!$A$2:$N1244,N$1,FALSE)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4" t="str">
        <f>ConcatenateRange(AZ1094:BU1094,"||")</f>
        <v/>
      </c>
      <c r="AZ1094" t="str">
        <f t="shared" si="396"/>
        <v/>
      </c>
      <c r="BA1094" t="str">
        <f t="shared" si="397"/>
        <v/>
      </c>
      <c r="BB1094" t="str">
        <f t="shared" si="398"/>
        <v/>
      </c>
      <c r="BC1094" t="str">
        <f t="shared" si="399"/>
        <v/>
      </c>
      <c r="BD1094" t="str">
        <f t="shared" si="400"/>
        <v/>
      </c>
      <c r="BE1094" t="str">
        <f t="shared" si="401"/>
        <v/>
      </c>
      <c r="BF1094" t="str">
        <f t="shared" si="402"/>
        <v/>
      </c>
      <c r="BG1094" t="str">
        <f t="shared" si="403"/>
        <v/>
      </c>
      <c r="BH1094" t="str">
        <f t="shared" si="404"/>
        <v/>
      </c>
      <c r="BI1094" t="str">
        <f t="shared" si="405"/>
        <v/>
      </c>
      <c r="BJ1094" t="str">
        <f t="shared" si="406"/>
        <v/>
      </c>
      <c r="BK1094" t="str">
        <f t="shared" si="407"/>
        <v/>
      </c>
      <c r="BL1094" t="str">
        <f t="shared" si="408"/>
        <v/>
      </c>
      <c r="BM1094" t="str">
        <f t="shared" si="409"/>
        <v/>
      </c>
      <c r="BN1094" t="str">
        <f t="shared" si="410"/>
        <v/>
      </c>
      <c r="BO1094" t="str">
        <f t="shared" si="411"/>
        <v/>
      </c>
      <c r="BP1094" t="str">
        <f t="shared" si="412"/>
        <v/>
      </c>
      <c r="BQ1094" t="str">
        <f t="shared" si="413"/>
        <v/>
      </c>
      <c r="BR1094" t="str">
        <f t="shared" si="414"/>
        <v/>
      </c>
      <c r="BS1094" t="str">
        <f t="shared" si="415"/>
        <v/>
      </c>
      <c r="BT1094" t="str">
        <f t="shared" si="416"/>
        <v/>
      </c>
      <c r="BU1094" t="str">
        <f t="shared" si="417"/>
        <v/>
      </c>
    </row>
    <row r="1095" spans="1:73">
      <c r="A1095" s="1">
        <v>100145</v>
      </c>
      <c r="B1095" t="str">
        <f>VLOOKUP($A1095,[1]Table!$A$2:$N1245,B$1,FALSE)</f>
        <v>B02BD02</v>
      </c>
      <c r="C1095" t="str">
        <f>VLOOKUP($A1095,[1]Table!$A$2:$N1245,C$1,FALSE)</f>
        <v>ANTIHAEMORRHAGICA</v>
      </c>
      <c r="D1095" t="str">
        <f>VLOOKUP($A1095,[1]Table!$A$2:$N1245,D$1,FALSE)</f>
        <v>VITAMINE K EN OVERIGE HAEMOSTATICA</v>
      </c>
      <c r="E1095" t="str">
        <f>VLOOKUP($A1095,[1]Table!$A$2:$N1245,E$1,FALSE)</f>
        <v>OCTOCOG ALFA</v>
      </c>
      <c r="F1095" t="str">
        <f>VLOOKUP($A1095,[1]Table!$A$2:$N1245,F$1,FALSE)</f>
        <v>ADVATE 500 IE INJPDR+ SOLVENS 2ML+SYST</v>
      </c>
      <c r="G1095" t="str">
        <f>VLOOKUP($A1095,[1]Table!$A$2:$N1245,G$1,FALSE)</f>
        <v>OCTOCOG ALFA 500IE (BAXTER)</v>
      </c>
      <c r="H1095" t="str">
        <f>VLOOKUP($A1095,[1]Table!$A$2:$N1245,H$1,FALSE)</f>
        <v>poeder voor injectievloeistof</v>
      </c>
      <c r="I1095" t="str">
        <f>VLOOKUP($A1095,[1]Table!$A$2:$N1245,I$1,FALSE)</f>
        <v>iv</v>
      </c>
      <c r="J1095">
        <f>VLOOKUP($A1095,[1]Table!$A$2:$N1245,J$1,FALSE)</f>
        <v>500</v>
      </c>
      <c r="K1095" t="str">
        <f>VLOOKUP($A1095,[1]Table!$A$2:$N1245,K$1,FALSE)</f>
        <v>IE/stuk</v>
      </c>
      <c r="L1095">
        <f>VLOOKUP($A1095,[1]Table!$A$2:$N1245,L$1,FALSE)</f>
        <v>500</v>
      </c>
      <c r="M1095" t="str">
        <f>VLOOKUP($A1095,[1]Table!$A$2:$N1245,M$1,FALSE)</f>
        <v>IE</v>
      </c>
      <c r="N1095" t="str">
        <f>VLOOKUP($A1095,[1]Table!$A$2:$N1245,N$1,FALSE)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5" t="str">
        <f>ConcatenateRange(AZ1095:BU1095,"||")</f>
        <v/>
      </c>
      <c r="AZ1095" t="str">
        <f t="shared" si="396"/>
        <v/>
      </c>
      <c r="BA1095" t="str">
        <f t="shared" si="397"/>
        <v/>
      </c>
      <c r="BB1095" t="str">
        <f t="shared" si="398"/>
        <v/>
      </c>
      <c r="BC1095" t="str">
        <f t="shared" si="399"/>
        <v/>
      </c>
      <c r="BD1095" t="str">
        <f t="shared" si="400"/>
        <v/>
      </c>
      <c r="BE1095" t="str">
        <f t="shared" si="401"/>
        <v/>
      </c>
      <c r="BF1095" t="str">
        <f t="shared" si="402"/>
        <v/>
      </c>
      <c r="BG1095" t="str">
        <f t="shared" si="403"/>
        <v/>
      </c>
      <c r="BH1095" t="str">
        <f t="shared" si="404"/>
        <v/>
      </c>
      <c r="BI1095" t="str">
        <f t="shared" si="405"/>
        <v/>
      </c>
      <c r="BJ1095" t="str">
        <f t="shared" si="406"/>
        <v/>
      </c>
      <c r="BK1095" t="str">
        <f t="shared" si="407"/>
        <v/>
      </c>
      <c r="BL1095" t="str">
        <f t="shared" si="408"/>
        <v/>
      </c>
      <c r="BM1095" t="str">
        <f t="shared" si="409"/>
        <v/>
      </c>
      <c r="BN1095" t="str">
        <f t="shared" si="410"/>
        <v/>
      </c>
      <c r="BO1095" t="str">
        <f t="shared" si="411"/>
        <v/>
      </c>
      <c r="BP1095" t="str">
        <f t="shared" si="412"/>
        <v/>
      </c>
      <c r="BQ1095" t="str">
        <f t="shared" si="413"/>
        <v/>
      </c>
      <c r="BR1095" t="str">
        <f t="shared" si="414"/>
        <v/>
      </c>
      <c r="BS1095" t="str">
        <f t="shared" si="415"/>
        <v/>
      </c>
      <c r="BT1095" t="str">
        <f t="shared" si="416"/>
        <v/>
      </c>
      <c r="BU1095" t="str">
        <f t="shared" si="417"/>
        <v/>
      </c>
    </row>
    <row r="1096" spans="1:73">
      <c r="A1096" s="1">
        <v>100196</v>
      </c>
      <c r="B1096" t="str">
        <f>VLOOKUP($A1096,[1]Table!$A$2:$N1246,B$1,FALSE)</f>
        <v>B02BD02</v>
      </c>
      <c r="C1096" t="str">
        <f>VLOOKUP($A1096,[1]Table!$A$2:$N1246,C$1,FALSE)</f>
        <v>ANTIHAEMORRHAGICA</v>
      </c>
      <c r="D1096" t="str">
        <f>VLOOKUP($A1096,[1]Table!$A$2:$N1246,D$1,FALSE)</f>
        <v>VITAMINE K EN OVERIGE HAEMOSTATICA</v>
      </c>
      <c r="E1096" t="str">
        <f>VLOOKUP($A1096,[1]Table!$A$2:$N1246,E$1,FALSE)</f>
        <v>OCTOCOG ALFA</v>
      </c>
      <c r="F1096" t="str">
        <f>VLOOKUP($A1096,[1]Table!$A$2:$N1246,F$1,FALSE)</f>
        <v>KOGENATE 1000 IE + 2.5 ML SOLVENS</v>
      </c>
      <c r="G1096" t="str">
        <f>VLOOKUP($A1096,[1]Table!$A$2:$N1246,G$1,FALSE)</f>
        <v>OCTOCOG ALFA 1000IE (BAYER)</v>
      </c>
      <c r="H1096" t="str">
        <f>VLOOKUP($A1096,[1]Table!$A$2:$N1246,H$1,FALSE)</f>
        <v>poeder voor injectievloeistof</v>
      </c>
      <c r="I1096" t="str">
        <f>VLOOKUP($A1096,[1]Table!$A$2:$N1246,I$1,FALSE)</f>
        <v>iv</v>
      </c>
      <c r="J1096">
        <f>VLOOKUP($A1096,[1]Table!$A$2:$N1246,J$1,FALSE)</f>
        <v>1000</v>
      </c>
      <c r="K1096" t="str">
        <f>VLOOKUP($A1096,[1]Table!$A$2:$N1246,K$1,FALSE)</f>
        <v>IE/stuk</v>
      </c>
      <c r="L1096">
        <f>VLOOKUP($A1096,[1]Table!$A$2:$N1246,L$1,FALSE)</f>
        <v>1000</v>
      </c>
      <c r="M1096" t="str">
        <f>VLOOKUP($A1096,[1]Table!$A$2:$N1246,M$1,FALSE)</f>
        <v>IE</v>
      </c>
      <c r="N1096" t="str">
        <f>VLOOKUP($A1096,[1]Table!$A$2:$N1246,N$1,FALSE)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6" t="str">
        <f>ConcatenateRange(AZ1096:BU1096,"||")</f>
        <v/>
      </c>
      <c r="AZ1096" t="str">
        <f t="shared" si="396"/>
        <v/>
      </c>
      <c r="BA1096" t="str">
        <f t="shared" si="397"/>
        <v/>
      </c>
      <c r="BB1096" t="str">
        <f t="shared" si="398"/>
        <v/>
      </c>
      <c r="BC1096" t="str">
        <f t="shared" si="399"/>
        <v/>
      </c>
      <c r="BD1096" t="str">
        <f t="shared" si="400"/>
        <v/>
      </c>
      <c r="BE1096" t="str">
        <f t="shared" si="401"/>
        <v/>
      </c>
      <c r="BF1096" t="str">
        <f t="shared" si="402"/>
        <v/>
      </c>
      <c r="BG1096" t="str">
        <f t="shared" si="403"/>
        <v/>
      </c>
      <c r="BH1096" t="str">
        <f t="shared" si="404"/>
        <v/>
      </c>
      <c r="BI1096" t="str">
        <f t="shared" si="405"/>
        <v/>
      </c>
      <c r="BJ1096" t="str">
        <f t="shared" si="406"/>
        <v/>
      </c>
      <c r="BK1096" t="str">
        <f t="shared" si="407"/>
        <v/>
      </c>
      <c r="BL1096" t="str">
        <f t="shared" si="408"/>
        <v/>
      </c>
      <c r="BM1096" t="str">
        <f t="shared" si="409"/>
        <v/>
      </c>
      <c r="BN1096" t="str">
        <f t="shared" si="410"/>
        <v/>
      </c>
      <c r="BO1096" t="str">
        <f t="shared" si="411"/>
        <v/>
      </c>
      <c r="BP1096" t="str">
        <f t="shared" si="412"/>
        <v/>
      </c>
      <c r="BQ1096" t="str">
        <f t="shared" si="413"/>
        <v/>
      </c>
      <c r="BR1096" t="str">
        <f t="shared" si="414"/>
        <v/>
      </c>
      <c r="BS1096" t="str">
        <f t="shared" si="415"/>
        <v/>
      </c>
      <c r="BT1096" t="str">
        <f t="shared" si="416"/>
        <v/>
      </c>
      <c r="BU1096" t="str">
        <f t="shared" si="417"/>
        <v/>
      </c>
    </row>
    <row r="1097" spans="1:73">
      <c r="A1097" s="1">
        <v>100153</v>
      </c>
      <c r="B1097" t="str">
        <f>VLOOKUP($A1097,[1]Table!$A$2:$N1247,B$1,FALSE)</f>
        <v>B02BD02</v>
      </c>
      <c r="C1097" t="str">
        <f>VLOOKUP($A1097,[1]Table!$A$2:$N1247,C$1,FALSE)</f>
        <v>ANTIHAEMORRHAGICA</v>
      </c>
      <c r="D1097" t="str">
        <f>VLOOKUP($A1097,[1]Table!$A$2:$N1247,D$1,FALSE)</f>
        <v>VITAMINE K EN OVERIGE HAEMOSTATICA</v>
      </c>
      <c r="E1097" t="str">
        <f>VLOOKUP($A1097,[1]Table!$A$2:$N1247,E$1,FALSE)</f>
        <v>OCTOCOG ALFA</v>
      </c>
      <c r="F1097" t="str">
        <f>VLOOKUP($A1097,[1]Table!$A$2:$N1247,F$1,FALSE)</f>
        <v>ADVATE 1000 IE INJPDR + SOLVENS 2ML+SYST</v>
      </c>
      <c r="G1097" t="str">
        <f>VLOOKUP($A1097,[1]Table!$A$2:$N1247,G$1,FALSE)</f>
        <v>OCTOCOG ALFA 1000IE (BAXTER</v>
      </c>
      <c r="H1097" t="str">
        <f>VLOOKUP($A1097,[1]Table!$A$2:$N1247,H$1,FALSE)</f>
        <v>poeder voor injectievloeistof</v>
      </c>
      <c r="I1097" t="str">
        <f>VLOOKUP($A1097,[1]Table!$A$2:$N1247,I$1,FALSE)</f>
        <v>iv</v>
      </c>
      <c r="J1097">
        <f>VLOOKUP($A1097,[1]Table!$A$2:$N1247,J$1,FALSE)</f>
        <v>1000</v>
      </c>
      <c r="K1097" t="str">
        <f>VLOOKUP($A1097,[1]Table!$A$2:$N1247,K$1,FALSE)</f>
        <v>IE/stuk</v>
      </c>
      <c r="L1097">
        <f>VLOOKUP($A1097,[1]Table!$A$2:$N1247,L$1,FALSE)</f>
        <v>1000</v>
      </c>
      <c r="M1097" t="str">
        <f>VLOOKUP($A1097,[1]Table!$A$2:$N1247,M$1,FALSE)</f>
        <v>IE</v>
      </c>
      <c r="N1097" t="str">
        <f>VLOOKUP($A1097,[1]Table!$A$2:$N1247,N$1,FALSE)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7" t="str">
        <f>ConcatenateRange(AZ1097:BU1097,"||")</f>
        <v/>
      </c>
      <c r="AZ1097" t="str">
        <f t="shared" si="396"/>
        <v/>
      </c>
      <c r="BA1097" t="str">
        <f t="shared" si="397"/>
        <v/>
      </c>
      <c r="BB1097" t="str">
        <f t="shared" si="398"/>
        <v/>
      </c>
      <c r="BC1097" t="str">
        <f t="shared" si="399"/>
        <v/>
      </c>
      <c r="BD1097" t="str">
        <f t="shared" si="400"/>
        <v/>
      </c>
      <c r="BE1097" t="str">
        <f t="shared" si="401"/>
        <v/>
      </c>
      <c r="BF1097" t="str">
        <f t="shared" si="402"/>
        <v/>
      </c>
      <c r="BG1097" t="str">
        <f t="shared" si="403"/>
        <v/>
      </c>
      <c r="BH1097" t="str">
        <f t="shared" si="404"/>
        <v/>
      </c>
      <c r="BI1097" t="str">
        <f t="shared" si="405"/>
        <v/>
      </c>
      <c r="BJ1097" t="str">
        <f t="shared" si="406"/>
        <v/>
      </c>
      <c r="BK1097" t="str">
        <f t="shared" si="407"/>
        <v/>
      </c>
      <c r="BL1097" t="str">
        <f t="shared" si="408"/>
        <v/>
      </c>
      <c r="BM1097" t="str">
        <f t="shared" si="409"/>
        <v/>
      </c>
      <c r="BN1097" t="str">
        <f t="shared" si="410"/>
        <v/>
      </c>
      <c r="BO1097" t="str">
        <f t="shared" si="411"/>
        <v/>
      </c>
      <c r="BP1097" t="str">
        <f t="shared" si="412"/>
        <v/>
      </c>
      <c r="BQ1097" t="str">
        <f t="shared" si="413"/>
        <v/>
      </c>
      <c r="BR1097" t="str">
        <f t="shared" si="414"/>
        <v/>
      </c>
      <c r="BS1097" t="str">
        <f t="shared" si="415"/>
        <v/>
      </c>
      <c r="BT1097" t="str">
        <f t="shared" si="416"/>
        <v/>
      </c>
      <c r="BU1097" t="str">
        <f t="shared" si="417"/>
        <v/>
      </c>
    </row>
    <row r="1098" spans="1:73">
      <c r="A1098" s="1">
        <v>119989</v>
      </c>
      <c r="B1098" t="str">
        <f>VLOOKUP($A1098,[1]Table!$A$2:$N1247,B$1,FALSE)</f>
        <v>B02BD02</v>
      </c>
      <c r="C1098" t="str">
        <f>VLOOKUP($A1098,[1]Table!$A$2:$N1247,C$1,FALSE)</f>
        <v>ANTIHAEMORRHAGICA</v>
      </c>
      <c r="D1098" t="str">
        <f>VLOOKUP($A1098,[1]Table!$A$2:$N1247,D$1,FALSE)</f>
        <v>VITAMINE K EN OVERIGE HAEMOSTATICA</v>
      </c>
      <c r="E1098" t="str">
        <f>VLOOKUP($A1098,[1]Table!$A$2:$N1247,E$1,FALSE)</f>
        <v>OCTOCOG ALFA</v>
      </c>
      <c r="F1098" t="str">
        <f>VLOOKUP($A1098,[1]Table!$A$2:$N1247,F$1,FALSE)</f>
        <v>ADVATE 1500 IE INJPDR + SOLVENS 2ML+SYST</v>
      </c>
      <c r="G1098" t="str">
        <f>VLOOKUP($A1098,[1]Table!$A$2:$N1247,G$1,FALSE)</f>
        <v>OCTOCOG ALFA 1500IE INJPDR</v>
      </c>
      <c r="H1098" t="str">
        <f>VLOOKUP($A1098,[1]Table!$A$2:$N1247,H$1,FALSE)</f>
        <v>poeder voor injectievloeistof</v>
      </c>
      <c r="I1098" t="str">
        <f>VLOOKUP($A1098,[1]Table!$A$2:$N1247,I$1,FALSE)</f>
        <v>iv</v>
      </c>
      <c r="J1098">
        <f>VLOOKUP($A1098,[1]Table!$A$2:$N1247,J$1,FALSE)</f>
        <v>1500</v>
      </c>
      <c r="K1098" t="str">
        <f>VLOOKUP($A1098,[1]Table!$A$2:$N1247,K$1,FALSE)</f>
        <v>IE/stuk</v>
      </c>
      <c r="L1098">
        <f>VLOOKUP($A1098,[1]Table!$A$2:$N1247,L$1,FALSE)</f>
        <v>1500</v>
      </c>
      <c r="M1098" t="str">
        <f>VLOOKUP($A1098,[1]Table!$A$2:$N1247,M$1,FALSE)</f>
        <v>IE</v>
      </c>
      <c r="N1098" t="str">
        <f>VLOOKUP($A1098,[1]Table!$A$2:$N1247,N$1,FALSE)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8" t="str">
        <f>ConcatenateRange(AZ1098:BU1098,"||")</f>
        <v/>
      </c>
      <c r="AZ1098" t="str">
        <f t="shared" si="396"/>
        <v/>
      </c>
      <c r="BA1098" t="str">
        <f t="shared" si="397"/>
        <v/>
      </c>
      <c r="BB1098" t="str">
        <f t="shared" si="398"/>
        <v/>
      </c>
      <c r="BC1098" t="str">
        <f t="shared" si="399"/>
        <v/>
      </c>
      <c r="BD1098" t="str">
        <f t="shared" si="400"/>
        <v/>
      </c>
      <c r="BE1098" t="str">
        <f t="shared" si="401"/>
        <v/>
      </c>
      <c r="BF1098" t="str">
        <f t="shared" si="402"/>
        <v/>
      </c>
      <c r="BG1098" t="str">
        <f t="shared" si="403"/>
        <v/>
      </c>
      <c r="BH1098" t="str">
        <f t="shared" si="404"/>
        <v/>
      </c>
      <c r="BI1098" t="str">
        <f t="shared" si="405"/>
        <v/>
      </c>
      <c r="BJ1098" t="str">
        <f t="shared" si="406"/>
        <v/>
      </c>
      <c r="BK1098" t="str">
        <f t="shared" si="407"/>
        <v/>
      </c>
      <c r="BL1098" t="str">
        <f t="shared" si="408"/>
        <v/>
      </c>
      <c r="BM1098" t="str">
        <f t="shared" si="409"/>
        <v/>
      </c>
      <c r="BN1098" t="str">
        <f t="shared" si="410"/>
        <v/>
      </c>
      <c r="BO1098" t="str">
        <f t="shared" si="411"/>
        <v/>
      </c>
      <c r="BP1098" t="str">
        <f t="shared" si="412"/>
        <v/>
      </c>
      <c r="BQ1098" t="str">
        <f t="shared" si="413"/>
        <v/>
      </c>
      <c r="BR1098" t="str">
        <f t="shared" si="414"/>
        <v/>
      </c>
      <c r="BS1098" t="str">
        <f t="shared" si="415"/>
        <v/>
      </c>
      <c r="BT1098" t="str">
        <f t="shared" si="416"/>
        <v/>
      </c>
      <c r="BU1098" t="str">
        <f t="shared" si="417"/>
        <v/>
      </c>
    </row>
    <row r="1099" spans="1:73">
      <c r="A1099" s="1">
        <v>128848</v>
      </c>
      <c r="B1099" t="str">
        <f>VLOOKUP($A1099,[1]Table!$A$2:$N1248,B$1,FALSE)</f>
        <v>B02BD02</v>
      </c>
      <c r="C1099" t="str">
        <f>VLOOKUP($A1099,[1]Table!$A$2:$N1248,C$1,FALSE)</f>
        <v>ANTIHAEMORRHAGICA</v>
      </c>
      <c r="D1099" t="str">
        <f>VLOOKUP($A1099,[1]Table!$A$2:$N1248,D$1,FALSE)</f>
        <v>VITAMINE K EN OVERIGE HAEMOSTATICA</v>
      </c>
      <c r="E1099" t="str">
        <f>VLOOKUP($A1099,[1]Table!$A$2:$N1248,E$1,FALSE)</f>
        <v>OCTOCOG ALFA</v>
      </c>
      <c r="F1099" t="str">
        <f>VLOOKUP($A1099,[1]Table!$A$2:$N1248,F$1,FALSE)</f>
        <v>KOGENATE 2000 IE + 5 ML SOLVENS</v>
      </c>
      <c r="G1099" t="str">
        <f>VLOOKUP($A1099,[1]Table!$A$2:$N1248,G$1,FALSE)</f>
        <v>OCTOCOG ALFA 2000IE INJPDR</v>
      </c>
      <c r="H1099" t="str">
        <f>VLOOKUP($A1099,[1]Table!$A$2:$N1248,H$1,FALSE)</f>
        <v>poeder voor injectievloeistof</v>
      </c>
      <c r="I1099" t="str">
        <f>VLOOKUP($A1099,[1]Table!$A$2:$N1248,I$1,FALSE)</f>
        <v>iv</v>
      </c>
      <c r="J1099">
        <f>VLOOKUP($A1099,[1]Table!$A$2:$N1248,J$1,FALSE)</f>
        <v>2000</v>
      </c>
      <c r="K1099" t="str">
        <f>VLOOKUP($A1099,[1]Table!$A$2:$N1248,K$1,FALSE)</f>
        <v>IE/stuk</v>
      </c>
      <c r="L1099">
        <f>VLOOKUP($A1099,[1]Table!$A$2:$N1248,L$1,FALSE)</f>
        <v>2000</v>
      </c>
      <c r="M1099" t="str">
        <f>VLOOKUP($A1099,[1]Table!$A$2:$N1248,M$1,FALSE)</f>
        <v>IE</v>
      </c>
      <c r="N1099" t="str">
        <f>VLOOKUP($A1099,[1]Table!$A$2:$N1248,N$1,FALSE)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9" t="str">
        <f>ConcatenateRange(AZ1099:BU1099,"||")</f>
        <v/>
      </c>
      <c r="AZ1099" t="str">
        <f t="shared" si="396"/>
        <v/>
      </c>
      <c r="BA1099" t="str">
        <f t="shared" si="397"/>
        <v/>
      </c>
      <c r="BB1099" t="str">
        <f t="shared" si="398"/>
        <v/>
      </c>
      <c r="BC1099" t="str">
        <f t="shared" si="399"/>
        <v/>
      </c>
      <c r="BD1099" t="str">
        <f t="shared" si="400"/>
        <v/>
      </c>
      <c r="BE1099" t="str">
        <f t="shared" si="401"/>
        <v/>
      </c>
      <c r="BF1099" t="str">
        <f t="shared" si="402"/>
        <v/>
      </c>
      <c r="BG1099" t="str">
        <f t="shared" si="403"/>
        <v/>
      </c>
      <c r="BH1099" t="str">
        <f t="shared" si="404"/>
        <v/>
      </c>
      <c r="BI1099" t="str">
        <f t="shared" si="405"/>
        <v/>
      </c>
      <c r="BJ1099" t="str">
        <f t="shared" si="406"/>
        <v/>
      </c>
      <c r="BK1099" t="str">
        <f t="shared" si="407"/>
        <v/>
      </c>
      <c r="BL1099" t="str">
        <f t="shared" si="408"/>
        <v/>
      </c>
      <c r="BM1099" t="str">
        <f t="shared" si="409"/>
        <v/>
      </c>
      <c r="BN1099" t="str">
        <f t="shared" si="410"/>
        <v/>
      </c>
      <c r="BO1099" t="str">
        <f t="shared" si="411"/>
        <v/>
      </c>
      <c r="BP1099" t="str">
        <f t="shared" si="412"/>
        <v/>
      </c>
      <c r="BQ1099" t="str">
        <f t="shared" si="413"/>
        <v/>
      </c>
      <c r="BR1099" t="str">
        <f t="shared" si="414"/>
        <v/>
      </c>
      <c r="BS1099" t="str">
        <f t="shared" si="415"/>
        <v/>
      </c>
      <c r="BT1099" t="str">
        <f t="shared" si="416"/>
        <v/>
      </c>
      <c r="BU1099" t="str">
        <f t="shared" si="417"/>
        <v/>
      </c>
    </row>
    <row r="1100" spans="1:73">
      <c r="A1100" s="1">
        <v>129488</v>
      </c>
      <c r="B1100" t="str">
        <f>VLOOKUP($A1100,[1]Table!$A$2:$N1249,B$1,FALSE)</f>
        <v>B02BD02</v>
      </c>
      <c r="C1100" t="str">
        <f>VLOOKUP($A1100,[1]Table!$A$2:$N1249,C$1,FALSE)</f>
        <v>ANTIHAEMORRHAGICA</v>
      </c>
      <c r="D1100" t="str">
        <f>VLOOKUP($A1100,[1]Table!$A$2:$N1249,D$1,FALSE)</f>
        <v>VITAMINE K EN OVERIGE HAEMOSTATICA</v>
      </c>
      <c r="E1100" t="str">
        <f>VLOOKUP($A1100,[1]Table!$A$2:$N1249,E$1,FALSE)</f>
        <v>OCTOCOG ALFA</v>
      </c>
      <c r="F1100" t="str">
        <f>VLOOKUP($A1100,[1]Table!$A$2:$N1249,F$1,FALSE)</f>
        <v>ADVATE 2000 IE INJPDR + SOLVENS 5ML+SYST</v>
      </c>
      <c r="G1100" t="str">
        <f>VLOOKUP($A1100,[1]Table!$A$2:$N1249,G$1,FALSE)</f>
        <v>OCTOCOG ALFA 2000IE (BAXTER</v>
      </c>
      <c r="H1100" t="str">
        <f>VLOOKUP($A1100,[1]Table!$A$2:$N1249,H$1,FALSE)</f>
        <v>poeder voor injectievloeistof</v>
      </c>
      <c r="I1100" t="str">
        <f>VLOOKUP($A1100,[1]Table!$A$2:$N1249,I$1,FALSE)</f>
        <v>iv</v>
      </c>
      <c r="J1100">
        <f>VLOOKUP($A1100,[1]Table!$A$2:$N1249,J$1,FALSE)</f>
        <v>2000</v>
      </c>
      <c r="K1100" t="str">
        <f>VLOOKUP($A1100,[1]Table!$A$2:$N1249,K$1,FALSE)</f>
        <v>IE/stuk</v>
      </c>
      <c r="L1100">
        <f>VLOOKUP($A1100,[1]Table!$A$2:$N1249,L$1,FALSE)</f>
        <v>2000</v>
      </c>
      <c r="M1100" t="str">
        <f>VLOOKUP($A1100,[1]Table!$A$2:$N1249,M$1,FALSE)</f>
        <v>IE</v>
      </c>
      <c r="N1100" t="str">
        <f>VLOOKUP($A1100,[1]Table!$A$2:$N1249,N$1,FALSE)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0" t="str">
        <f>ConcatenateRange(AZ1100:BU1100,"||")</f>
        <v/>
      </c>
      <c r="AZ1100" t="str">
        <f t="shared" si="396"/>
        <v/>
      </c>
      <c r="BA1100" t="str">
        <f t="shared" si="397"/>
        <v/>
      </c>
      <c r="BB1100" t="str">
        <f t="shared" si="398"/>
        <v/>
      </c>
      <c r="BC1100" t="str">
        <f t="shared" si="399"/>
        <v/>
      </c>
      <c r="BD1100" t="str">
        <f t="shared" si="400"/>
        <v/>
      </c>
      <c r="BE1100" t="str">
        <f t="shared" si="401"/>
        <v/>
      </c>
      <c r="BF1100" t="str">
        <f t="shared" si="402"/>
        <v/>
      </c>
      <c r="BG1100" t="str">
        <f t="shared" si="403"/>
        <v/>
      </c>
      <c r="BH1100" t="str">
        <f t="shared" si="404"/>
        <v/>
      </c>
      <c r="BI1100" t="str">
        <f t="shared" si="405"/>
        <v/>
      </c>
      <c r="BJ1100" t="str">
        <f t="shared" si="406"/>
        <v/>
      </c>
      <c r="BK1100" t="str">
        <f t="shared" si="407"/>
        <v/>
      </c>
      <c r="BL1100" t="str">
        <f t="shared" si="408"/>
        <v/>
      </c>
      <c r="BM1100" t="str">
        <f t="shared" si="409"/>
        <v/>
      </c>
      <c r="BN1100" t="str">
        <f t="shared" si="410"/>
        <v/>
      </c>
      <c r="BO1100" t="str">
        <f t="shared" si="411"/>
        <v/>
      </c>
      <c r="BP1100" t="str">
        <f t="shared" si="412"/>
        <v/>
      </c>
      <c r="BQ1100" t="str">
        <f t="shared" si="413"/>
        <v/>
      </c>
      <c r="BR1100" t="str">
        <f t="shared" si="414"/>
        <v/>
      </c>
      <c r="BS1100" t="str">
        <f t="shared" si="415"/>
        <v/>
      </c>
      <c r="BT1100" t="str">
        <f t="shared" si="416"/>
        <v/>
      </c>
      <c r="BU1100" t="str">
        <f t="shared" si="417"/>
        <v/>
      </c>
    </row>
    <row r="1101" spans="1:73">
      <c r="A1101" s="1">
        <v>73997</v>
      </c>
      <c r="B1101" t="str">
        <f>VLOOKUP($A1101,[1]Table!$A$2:$N1250,B$1,FALSE)</f>
        <v>H01CB02</v>
      </c>
      <c r="C1101" t="str">
        <f>VLOOKUP($A1101,[1]Table!$A$2:$N1250,C$1,FALSE)</f>
        <v>HYPOFYSE- EN HYPOTHALAMUSHORMONEN EN VERWANTE VERBINDINGEN</v>
      </c>
      <c r="D1101" t="str">
        <f>VLOOKUP($A1101,[1]Table!$A$2:$N1250,D$1,FALSE)</f>
        <v>HYPOTHALAMUSHORMONEN</v>
      </c>
      <c r="E1101" t="str">
        <f>VLOOKUP($A1101,[1]Table!$A$2:$N1250,E$1,FALSE)</f>
        <v>OCTREOTIDE</v>
      </c>
      <c r="F1101" t="str">
        <f>VLOOKUP($A1101,[1]Table!$A$2:$N1250,F$1,FALSE)</f>
        <v>OCTREOTIDE 0.05 MG/ML FLACON 1 ML</v>
      </c>
      <c r="G1101" t="str">
        <f>VLOOKUP($A1101,[1]Table!$A$2:$N1250,G$1,FALSE)</f>
        <v>OCTREOTIDE 0,05MG/ML INJVLS</v>
      </c>
      <c r="H1101" t="str">
        <f>VLOOKUP($A1101,[1]Table!$A$2:$N1250,H$1,FALSE)</f>
        <v>injectievloeistof</v>
      </c>
      <c r="I1101" t="str">
        <f>VLOOKUP($A1101,[1]Table!$A$2:$N1250,I$1,FALSE)</f>
        <v>iv||sc</v>
      </c>
      <c r="J1101">
        <f>VLOOKUP($A1101,[1]Table!$A$2:$N1250,J$1,FALSE)</f>
        <v>0.05</v>
      </c>
      <c r="K1101" t="str">
        <f>VLOOKUP($A1101,[1]Table!$A$2:$N1250,K$1,FALSE)</f>
        <v>mg/ml</v>
      </c>
      <c r="L1101">
        <f>VLOOKUP($A1101,[1]Table!$A$2:$N1250,L$1,FALSE)</f>
        <v>0.05</v>
      </c>
      <c r="M1101" t="str">
        <f>VLOOKUP($A1101,[1]Table!$A$2:$N1250,M$1,FALSE)</f>
        <v>mg</v>
      </c>
      <c r="N1101" t="str">
        <f>VLOOKUP($A1101,[1]Table!$A$2:$N1250,N$1,FALSE)</f>
        <v>Hyperinsulinisme||Hypersecretie groeihormoon||Gastro-intestinale bloedingen</v>
      </c>
      <c r="O1101" t="str">
        <f>ConcatenateRange(AZ1101:BU1101,"||")</f>
        <v/>
      </c>
      <c r="AZ1101" t="str">
        <f t="shared" si="396"/>
        <v/>
      </c>
      <c r="BA1101" t="str">
        <f t="shared" si="397"/>
        <v/>
      </c>
      <c r="BB1101" t="str">
        <f t="shared" si="398"/>
        <v/>
      </c>
      <c r="BC1101" t="str">
        <f t="shared" si="399"/>
        <v/>
      </c>
      <c r="BD1101" t="str">
        <f t="shared" si="400"/>
        <v/>
      </c>
      <c r="BE1101" t="str">
        <f t="shared" si="401"/>
        <v/>
      </c>
      <c r="BF1101" t="str">
        <f t="shared" si="402"/>
        <v/>
      </c>
      <c r="BG1101" t="str">
        <f t="shared" si="403"/>
        <v/>
      </c>
      <c r="BH1101" t="str">
        <f t="shared" si="404"/>
        <v/>
      </c>
      <c r="BI1101" t="str">
        <f t="shared" si="405"/>
        <v/>
      </c>
      <c r="BJ1101" t="str">
        <f t="shared" si="406"/>
        <v/>
      </c>
      <c r="BK1101" t="str">
        <f t="shared" si="407"/>
        <v/>
      </c>
      <c r="BL1101" t="str">
        <f t="shared" si="408"/>
        <v/>
      </c>
      <c r="BM1101" t="str">
        <f t="shared" si="409"/>
        <v/>
      </c>
      <c r="BN1101" t="str">
        <f t="shared" si="410"/>
        <v/>
      </c>
      <c r="BO1101" t="str">
        <f t="shared" si="411"/>
        <v/>
      </c>
      <c r="BP1101" t="str">
        <f t="shared" si="412"/>
        <v/>
      </c>
      <c r="BQ1101" t="str">
        <f t="shared" si="413"/>
        <v/>
      </c>
      <c r="BR1101" t="str">
        <f t="shared" si="414"/>
        <v/>
      </c>
      <c r="BS1101" t="str">
        <f t="shared" si="415"/>
        <v/>
      </c>
      <c r="BT1101" t="str">
        <f t="shared" si="416"/>
        <v/>
      </c>
      <c r="BU1101" t="str">
        <f t="shared" si="417"/>
        <v/>
      </c>
    </row>
    <row r="1102" spans="1:73">
      <c r="A1102" s="1">
        <v>74004</v>
      </c>
      <c r="B1102" t="str">
        <f>VLOOKUP($A1102,[1]Table!$A$2:$N1251,B$1,FALSE)</f>
        <v>H01CB02</v>
      </c>
      <c r="C1102" t="str">
        <f>VLOOKUP($A1102,[1]Table!$A$2:$N1251,C$1,FALSE)</f>
        <v>HYPOFYSE- EN HYPOTHALAMUSHORMONEN EN VERWANTE VERBINDINGEN</v>
      </c>
      <c r="D1102" t="str">
        <f>VLOOKUP($A1102,[1]Table!$A$2:$N1251,D$1,FALSE)</f>
        <v>HYPOTHALAMUSHORMONEN</v>
      </c>
      <c r="E1102" t="str">
        <f>VLOOKUP($A1102,[1]Table!$A$2:$N1251,E$1,FALSE)</f>
        <v>OCTREOTIDE</v>
      </c>
      <c r="F1102" t="str">
        <f>VLOOKUP($A1102,[1]Table!$A$2:$N1251,F$1,FALSE)</f>
        <v>OCTREOTIDE 0,1 MG/ML FLACON 1 ML</v>
      </c>
      <c r="G1102" t="str">
        <f>VLOOKUP($A1102,[1]Table!$A$2:$N1251,G$1,FALSE)</f>
        <v>OCTREOTIDE 0,1MG/ML INJVLST</v>
      </c>
      <c r="H1102" t="str">
        <f>VLOOKUP($A1102,[1]Table!$A$2:$N1251,H$1,FALSE)</f>
        <v>injectievloeistof</v>
      </c>
      <c r="I1102" t="str">
        <f>VLOOKUP($A1102,[1]Table!$A$2:$N1251,I$1,FALSE)</f>
        <v>iv||sc</v>
      </c>
      <c r="J1102">
        <f>VLOOKUP($A1102,[1]Table!$A$2:$N1251,J$1,FALSE)</f>
        <v>0.1</v>
      </c>
      <c r="K1102" t="str">
        <f>VLOOKUP($A1102,[1]Table!$A$2:$N1251,K$1,FALSE)</f>
        <v>mg/ml</v>
      </c>
      <c r="L1102">
        <f>VLOOKUP($A1102,[1]Table!$A$2:$N1251,L$1,FALSE)</f>
        <v>0.1</v>
      </c>
      <c r="M1102" t="str">
        <f>VLOOKUP($A1102,[1]Table!$A$2:$N1251,M$1,FALSE)</f>
        <v>mg</v>
      </c>
      <c r="N1102" t="str">
        <f>VLOOKUP($A1102,[1]Table!$A$2:$N1251,N$1,FALSE)</f>
        <v>Hyperinsulinisme||Hypersecretie groeihormoon||Gastro-intestinale bloedingen</v>
      </c>
      <c r="O1102" t="str">
        <f>ConcatenateRange(AZ1102:BU1102,"||")</f>
        <v/>
      </c>
      <c r="AZ1102" t="str">
        <f t="shared" si="396"/>
        <v/>
      </c>
      <c r="BA1102" t="str">
        <f t="shared" si="397"/>
        <v/>
      </c>
      <c r="BB1102" t="str">
        <f t="shared" si="398"/>
        <v/>
      </c>
      <c r="BC1102" t="str">
        <f t="shared" si="399"/>
        <v/>
      </c>
      <c r="BD1102" t="str">
        <f t="shared" si="400"/>
        <v/>
      </c>
      <c r="BE1102" t="str">
        <f t="shared" si="401"/>
        <v/>
      </c>
      <c r="BF1102" t="str">
        <f t="shared" si="402"/>
        <v/>
      </c>
      <c r="BG1102" t="str">
        <f t="shared" si="403"/>
        <v/>
      </c>
      <c r="BH1102" t="str">
        <f t="shared" si="404"/>
        <v/>
      </c>
      <c r="BI1102" t="str">
        <f t="shared" si="405"/>
        <v/>
      </c>
      <c r="BJ1102" t="str">
        <f t="shared" si="406"/>
        <v/>
      </c>
      <c r="BK1102" t="str">
        <f t="shared" si="407"/>
        <v/>
      </c>
      <c r="BL1102" t="str">
        <f t="shared" si="408"/>
        <v/>
      </c>
      <c r="BM1102" t="str">
        <f t="shared" si="409"/>
        <v/>
      </c>
      <c r="BN1102" t="str">
        <f t="shared" si="410"/>
        <v/>
      </c>
      <c r="BO1102" t="str">
        <f t="shared" si="411"/>
        <v/>
      </c>
      <c r="BP1102" t="str">
        <f t="shared" si="412"/>
        <v/>
      </c>
      <c r="BQ1102" t="str">
        <f t="shared" si="413"/>
        <v/>
      </c>
      <c r="BR1102" t="str">
        <f t="shared" si="414"/>
        <v/>
      </c>
      <c r="BS1102" t="str">
        <f t="shared" si="415"/>
        <v/>
      </c>
      <c r="BT1102" t="str">
        <f t="shared" si="416"/>
        <v/>
      </c>
      <c r="BU1102" t="str">
        <f t="shared" si="417"/>
        <v/>
      </c>
    </row>
    <row r="1103" spans="1:73">
      <c r="A1103" s="1">
        <v>83291</v>
      </c>
      <c r="B1103" t="str">
        <f>VLOOKUP($A1103,[1]Table!$A$2:$N1252,B$1,FALSE)</f>
        <v>H01CB02</v>
      </c>
      <c r="C1103" t="str">
        <f>VLOOKUP($A1103,[1]Table!$A$2:$N1252,C$1,FALSE)</f>
        <v>HYPOFYSE- EN HYPOTHALAMUSHORMONEN EN VERWANTE VERBINDINGEN</v>
      </c>
      <c r="D1103" t="str">
        <f>VLOOKUP($A1103,[1]Table!$A$2:$N1252,D$1,FALSE)</f>
        <v>HYPOTHALAMUSHORMONEN</v>
      </c>
      <c r="E1103" t="str">
        <f>VLOOKUP($A1103,[1]Table!$A$2:$N1252,E$1,FALSE)</f>
        <v>OCTREOTIDE</v>
      </c>
      <c r="F1103" t="str">
        <f>VLOOKUP($A1103,[1]Table!$A$2:$N1252,F$1,FALSE)</f>
        <v>OCTREOTIDE   0,5 MG/ML INJVLST AMPUL 1ML</v>
      </c>
      <c r="G1103" t="str">
        <f>VLOOKUP($A1103,[1]Table!$A$2:$N1252,G$1,FALSE)</f>
        <v>OCTREOTIDE 0,5MG/ML INJVLST</v>
      </c>
      <c r="H1103" t="str">
        <f>VLOOKUP($A1103,[1]Table!$A$2:$N1252,H$1,FALSE)</f>
        <v>injectievloeistof</v>
      </c>
      <c r="I1103" t="str">
        <f>VLOOKUP($A1103,[1]Table!$A$2:$N1252,I$1,FALSE)</f>
        <v>iv||sc</v>
      </c>
      <c r="J1103">
        <f>VLOOKUP($A1103,[1]Table!$A$2:$N1252,J$1,FALSE)</f>
        <v>0.5</v>
      </c>
      <c r="K1103" t="str">
        <f>VLOOKUP($A1103,[1]Table!$A$2:$N1252,K$1,FALSE)</f>
        <v>mg/ml</v>
      </c>
      <c r="L1103">
        <f>VLOOKUP($A1103,[1]Table!$A$2:$N1252,L$1,FALSE)</f>
        <v>0.5</v>
      </c>
      <c r="M1103" t="str">
        <f>VLOOKUP($A1103,[1]Table!$A$2:$N1252,M$1,FALSE)</f>
        <v>mg</v>
      </c>
      <c r="N1103" t="str">
        <f>VLOOKUP($A1103,[1]Table!$A$2:$N1252,N$1,FALSE)</f>
        <v>Hyperinsulinisme||Hypersecretie groeihormoon||Gastro-intestinale bloedingen</v>
      </c>
      <c r="O1103" t="str">
        <f>ConcatenateRange(AZ1103:BU1103,"||")</f>
        <v/>
      </c>
      <c r="AZ1103" t="str">
        <f t="shared" si="396"/>
        <v/>
      </c>
      <c r="BA1103" t="str">
        <f t="shared" si="397"/>
        <v/>
      </c>
      <c r="BB1103" t="str">
        <f t="shared" si="398"/>
        <v/>
      </c>
      <c r="BC1103" t="str">
        <f t="shared" si="399"/>
        <v/>
      </c>
      <c r="BD1103" t="str">
        <f t="shared" si="400"/>
        <v/>
      </c>
      <c r="BE1103" t="str">
        <f t="shared" si="401"/>
        <v/>
      </c>
      <c r="BF1103" t="str">
        <f t="shared" si="402"/>
        <v/>
      </c>
      <c r="BG1103" t="str">
        <f t="shared" si="403"/>
        <v/>
      </c>
      <c r="BH1103" t="str">
        <f t="shared" si="404"/>
        <v/>
      </c>
      <c r="BI1103" t="str">
        <f t="shared" si="405"/>
        <v/>
      </c>
      <c r="BJ1103" t="str">
        <f t="shared" si="406"/>
        <v/>
      </c>
      <c r="BK1103" t="str">
        <f t="shared" si="407"/>
        <v/>
      </c>
      <c r="BL1103" t="str">
        <f t="shared" si="408"/>
        <v/>
      </c>
      <c r="BM1103" t="str">
        <f t="shared" si="409"/>
        <v/>
      </c>
      <c r="BN1103" t="str">
        <f t="shared" si="410"/>
        <v/>
      </c>
      <c r="BO1103" t="str">
        <f t="shared" si="411"/>
        <v/>
      </c>
      <c r="BP1103" t="str">
        <f t="shared" si="412"/>
        <v/>
      </c>
      <c r="BQ1103" t="str">
        <f t="shared" si="413"/>
        <v/>
      </c>
      <c r="BR1103" t="str">
        <f t="shared" si="414"/>
        <v/>
      </c>
      <c r="BS1103" t="str">
        <f t="shared" si="415"/>
        <v/>
      </c>
      <c r="BT1103" t="str">
        <f t="shared" si="416"/>
        <v/>
      </c>
      <c r="BU1103" t="str">
        <f t="shared" si="417"/>
        <v/>
      </c>
    </row>
    <row r="1104" spans="1:73">
      <c r="A1104" s="1">
        <v>118427</v>
      </c>
      <c r="B1104" t="str">
        <f>VLOOKUP($A1104,[1]Table!$A$2:$N1253,B$1,FALSE)</f>
        <v>H01CB02</v>
      </c>
      <c r="C1104" t="str">
        <f>VLOOKUP($A1104,[1]Table!$A$2:$N1253,C$1,FALSE)</f>
        <v>HYPOFYSE- EN HYPOTHALAMUSHORMONEN EN VERWANTE VERBINDINGEN</v>
      </c>
      <c r="D1104" t="str">
        <f>VLOOKUP($A1104,[1]Table!$A$2:$N1253,D$1,FALSE)</f>
        <v>HYPOTHALAMUSHORMONEN</v>
      </c>
      <c r="E1104" t="str">
        <f>VLOOKUP($A1104,[1]Table!$A$2:$N1253,E$1,FALSE)</f>
        <v>OCTREOTIDE</v>
      </c>
      <c r="F1104" t="str">
        <f>VLOOKUP($A1104,[1]Table!$A$2:$N1253,F$1,FALSE)</f>
        <v>SANDOSTATINE LAR 10 MG POEDER VOOR INJE</v>
      </c>
      <c r="G1104" t="str">
        <f>VLOOKUP($A1104,[1]Table!$A$2:$N1253,G$1,FALSE)</f>
        <v>OCTREOTIDE 10MG P V INJSUSP</v>
      </c>
      <c r="H1104" t="str">
        <f>VLOOKUP($A1104,[1]Table!$A$2:$N1253,H$1,FALSE)</f>
        <v>poeder voor suspensie voor injectie</v>
      </c>
      <c r="I1104" t="str">
        <f>VLOOKUP($A1104,[1]Table!$A$2:$N1253,I$1,FALSE)</f>
        <v>im</v>
      </c>
      <c r="J1104">
        <f>VLOOKUP($A1104,[1]Table!$A$2:$N1253,J$1,FALSE)</f>
        <v>10</v>
      </c>
      <c r="K1104" t="str">
        <f>VLOOKUP($A1104,[1]Table!$A$2:$N1253,K$1,FALSE)</f>
        <v>mg/stuk</v>
      </c>
      <c r="L1104">
        <f>VLOOKUP($A1104,[1]Table!$A$2:$N1253,L$1,FALSE)</f>
        <v>10</v>
      </c>
      <c r="M1104" t="str">
        <f>VLOOKUP($A1104,[1]Table!$A$2:$N1253,M$1,FALSE)</f>
        <v>mg</v>
      </c>
      <c r="N1104" t="str">
        <f>VLOOKUP($A1104,[1]Table!$A$2:$N1253,N$1,FALSE)</f>
        <v>Hyperinsulinisme||Hypersecretie groeihormoon||Gastro-intestinale bloedingen</v>
      </c>
      <c r="O1104" t="str">
        <f>ConcatenateRange(AZ1104:BU1104,"||")</f>
        <v/>
      </c>
      <c r="AZ1104" t="str">
        <f t="shared" si="396"/>
        <v/>
      </c>
      <c r="BA1104" t="str">
        <f t="shared" si="397"/>
        <v/>
      </c>
      <c r="BB1104" t="str">
        <f t="shared" si="398"/>
        <v/>
      </c>
      <c r="BC1104" t="str">
        <f t="shared" si="399"/>
        <v/>
      </c>
      <c r="BD1104" t="str">
        <f t="shared" si="400"/>
        <v/>
      </c>
      <c r="BE1104" t="str">
        <f t="shared" si="401"/>
        <v/>
      </c>
      <c r="BF1104" t="str">
        <f t="shared" si="402"/>
        <v/>
      </c>
      <c r="BG1104" t="str">
        <f t="shared" si="403"/>
        <v/>
      </c>
      <c r="BH1104" t="str">
        <f t="shared" si="404"/>
        <v/>
      </c>
      <c r="BI1104" t="str">
        <f t="shared" si="405"/>
        <v/>
      </c>
      <c r="BJ1104" t="str">
        <f t="shared" si="406"/>
        <v/>
      </c>
      <c r="BK1104" t="str">
        <f t="shared" si="407"/>
        <v/>
      </c>
      <c r="BL1104" t="str">
        <f t="shared" si="408"/>
        <v/>
      </c>
      <c r="BM1104" t="str">
        <f t="shared" si="409"/>
        <v/>
      </c>
      <c r="BN1104" t="str">
        <f t="shared" si="410"/>
        <v/>
      </c>
      <c r="BO1104" t="str">
        <f t="shared" si="411"/>
        <v/>
      </c>
      <c r="BP1104" t="str">
        <f t="shared" si="412"/>
        <v/>
      </c>
      <c r="BQ1104" t="str">
        <f t="shared" si="413"/>
        <v/>
      </c>
      <c r="BR1104" t="str">
        <f t="shared" si="414"/>
        <v/>
      </c>
      <c r="BS1104" t="str">
        <f t="shared" si="415"/>
        <v/>
      </c>
      <c r="BT1104" t="str">
        <f t="shared" si="416"/>
        <v/>
      </c>
      <c r="BU1104" t="str">
        <f t="shared" si="417"/>
        <v/>
      </c>
    </row>
    <row r="1105" spans="1:73">
      <c r="A1105" s="1">
        <v>118435</v>
      </c>
      <c r="B1105" t="str">
        <f>VLOOKUP($A1105,[1]Table!$A$2:$N1254,B$1,FALSE)</f>
        <v>H01CB02</v>
      </c>
      <c r="C1105" t="str">
        <f>VLOOKUP($A1105,[1]Table!$A$2:$N1254,C$1,FALSE)</f>
        <v>HYPOFYSE- EN HYPOTHALAMUSHORMONEN EN VERWANTE VERBINDINGEN</v>
      </c>
      <c r="D1105" t="str">
        <f>VLOOKUP($A1105,[1]Table!$A$2:$N1254,D$1,FALSE)</f>
        <v>HYPOTHALAMUSHORMONEN</v>
      </c>
      <c r="E1105" t="str">
        <f>VLOOKUP($A1105,[1]Table!$A$2:$N1254,E$1,FALSE)</f>
        <v>OCTREOTIDE</v>
      </c>
      <c r="F1105" t="str">
        <f>VLOOKUP($A1105,[1]Table!$A$2:$N1254,F$1,FALSE)</f>
        <v>SANDOSTATINE LAR 20 MG POEDER VOOR INJE</v>
      </c>
      <c r="G1105" t="str">
        <f>VLOOKUP($A1105,[1]Table!$A$2:$N1254,G$1,FALSE)</f>
        <v>OCTREOTIDE 20MG P V INJSUSP</v>
      </c>
      <c r="H1105" t="str">
        <f>VLOOKUP($A1105,[1]Table!$A$2:$N1254,H$1,FALSE)</f>
        <v>poeder voor suspensie voor injectie</v>
      </c>
      <c r="I1105" t="str">
        <f>VLOOKUP($A1105,[1]Table!$A$2:$N1254,I$1,FALSE)</f>
        <v>im</v>
      </c>
      <c r="J1105">
        <f>VLOOKUP($A1105,[1]Table!$A$2:$N1254,J$1,FALSE)</f>
        <v>20</v>
      </c>
      <c r="K1105" t="str">
        <f>VLOOKUP($A1105,[1]Table!$A$2:$N1254,K$1,FALSE)</f>
        <v>mg/stuk</v>
      </c>
      <c r="L1105">
        <f>VLOOKUP($A1105,[1]Table!$A$2:$N1254,L$1,FALSE)</f>
        <v>20</v>
      </c>
      <c r="M1105" t="str">
        <f>VLOOKUP($A1105,[1]Table!$A$2:$N1254,M$1,FALSE)</f>
        <v>mg</v>
      </c>
      <c r="N1105" t="str">
        <f>VLOOKUP($A1105,[1]Table!$A$2:$N1254,N$1,FALSE)</f>
        <v>Hyperinsulinisme||Hypersecretie groeihormoon||Gastro-intestinale bloedingen</v>
      </c>
      <c r="O1105" t="str">
        <f>ConcatenateRange(AZ1105:BU1105,"||")</f>
        <v/>
      </c>
      <c r="AZ1105" t="str">
        <f t="shared" si="396"/>
        <v/>
      </c>
      <c r="BA1105" t="str">
        <f t="shared" si="397"/>
        <v/>
      </c>
      <c r="BB1105" t="str">
        <f t="shared" si="398"/>
        <v/>
      </c>
      <c r="BC1105" t="str">
        <f t="shared" si="399"/>
        <v/>
      </c>
      <c r="BD1105" t="str">
        <f t="shared" si="400"/>
        <v/>
      </c>
      <c r="BE1105" t="str">
        <f t="shared" si="401"/>
        <v/>
      </c>
      <c r="BF1105" t="str">
        <f t="shared" si="402"/>
        <v/>
      </c>
      <c r="BG1105" t="str">
        <f t="shared" si="403"/>
        <v/>
      </c>
      <c r="BH1105" t="str">
        <f t="shared" si="404"/>
        <v/>
      </c>
      <c r="BI1105" t="str">
        <f t="shared" si="405"/>
        <v/>
      </c>
      <c r="BJ1105" t="str">
        <f t="shared" si="406"/>
        <v/>
      </c>
      <c r="BK1105" t="str">
        <f t="shared" si="407"/>
        <v/>
      </c>
      <c r="BL1105" t="str">
        <f t="shared" si="408"/>
        <v/>
      </c>
      <c r="BM1105" t="str">
        <f t="shared" si="409"/>
        <v/>
      </c>
      <c r="BN1105" t="str">
        <f t="shared" si="410"/>
        <v/>
      </c>
      <c r="BO1105" t="str">
        <f t="shared" si="411"/>
        <v/>
      </c>
      <c r="BP1105" t="str">
        <f t="shared" si="412"/>
        <v/>
      </c>
      <c r="BQ1105" t="str">
        <f t="shared" si="413"/>
        <v/>
      </c>
      <c r="BR1105" t="str">
        <f t="shared" si="414"/>
        <v/>
      </c>
      <c r="BS1105" t="str">
        <f t="shared" si="415"/>
        <v/>
      </c>
      <c r="BT1105" t="str">
        <f t="shared" si="416"/>
        <v/>
      </c>
      <c r="BU1105" t="str">
        <f t="shared" si="417"/>
        <v/>
      </c>
    </row>
    <row r="1106" spans="1:73">
      <c r="A1106" s="1">
        <v>118443</v>
      </c>
      <c r="B1106" t="str">
        <f>VLOOKUP($A1106,[1]Table!$A$2:$N1255,B$1,FALSE)</f>
        <v>H01CB02</v>
      </c>
      <c r="C1106" t="str">
        <f>VLOOKUP($A1106,[1]Table!$A$2:$N1255,C$1,FALSE)</f>
        <v>HYPOFYSE- EN HYPOTHALAMUSHORMONEN EN VERWANTE VERBINDINGEN</v>
      </c>
      <c r="D1106" t="str">
        <f>VLOOKUP($A1106,[1]Table!$A$2:$N1255,D$1,FALSE)</f>
        <v>HYPOTHALAMUSHORMONEN</v>
      </c>
      <c r="E1106" t="str">
        <f>VLOOKUP($A1106,[1]Table!$A$2:$N1255,E$1,FALSE)</f>
        <v>OCTREOTIDE</v>
      </c>
      <c r="F1106" t="str">
        <f>VLOOKUP($A1106,[1]Table!$A$2:$N1255,F$1,FALSE)</f>
        <v>SANDOSTATINE LAR 30 MG POEDER VOOR INJE</v>
      </c>
      <c r="G1106" t="str">
        <f>VLOOKUP($A1106,[1]Table!$A$2:$N1255,G$1,FALSE)</f>
        <v>OCTREOTIDE 30MG P V INJSUSP</v>
      </c>
      <c r="H1106" t="str">
        <f>VLOOKUP($A1106,[1]Table!$A$2:$N1255,H$1,FALSE)</f>
        <v>poeder voor suspensie voor injectie</v>
      </c>
      <c r="I1106" t="str">
        <f>VLOOKUP($A1106,[1]Table!$A$2:$N1255,I$1,FALSE)</f>
        <v>im</v>
      </c>
      <c r="J1106">
        <f>VLOOKUP($A1106,[1]Table!$A$2:$N1255,J$1,FALSE)</f>
        <v>30</v>
      </c>
      <c r="K1106" t="str">
        <f>VLOOKUP($A1106,[1]Table!$A$2:$N1255,K$1,FALSE)</f>
        <v>mg/stuk</v>
      </c>
      <c r="L1106">
        <f>VLOOKUP($A1106,[1]Table!$A$2:$N1255,L$1,FALSE)</f>
        <v>30</v>
      </c>
      <c r="M1106" t="str">
        <f>VLOOKUP($A1106,[1]Table!$A$2:$N1255,M$1,FALSE)</f>
        <v>mg</v>
      </c>
      <c r="N1106" t="str">
        <f>VLOOKUP($A1106,[1]Table!$A$2:$N1255,N$1,FALSE)</f>
        <v>Hyperinsulinisme||Hypersecretie groeihormoon||Gastro-intestinale bloedingen</v>
      </c>
      <c r="O1106" t="str">
        <f>ConcatenateRange(AZ1106:BU1106,"||")</f>
        <v/>
      </c>
      <c r="AZ1106" t="str">
        <f t="shared" si="396"/>
        <v/>
      </c>
      <c r="BA1106" t="str">
        <f t="shared" si="397"/>
        <v/>
      </c>
      <c r="BB1106" t="str">
        <f t="shared" si="398"/>
        <v/>
      </c>
      <c r="BC1106" t="str">
        <f t="shared" si="399"/>
        <v/>
      </c>
      <c r="BD1106" t="str">
        <f t="shared" si="400"/>
        <v/>
      </c>
      <c r="BE1106" t="str">
        <f t="shared" si="401"/>
        <v/>
      </c>
      <c r="BF1106" t="str">
        <f t="shared" si="402"/>
        <v/>
      </c>
      <c r="BG1106" t="str">
        <f t="shared" si="403"/>
        <v/>
      </c>
      <c r="BH1106" t="str">
        <f t="shared" si="404"/>
        <v/>
      </c>
      <c r="BI1106" t="str">
        <f t="shared" si="405"/>
        <v/>
      </c>
      <c r="BJ1106" t="str">
        <f t="shared" si="406"/>
        <v/>
      </c>
      <c r="BK1106" t="str">
        <f t="shared" si="407"/>
        <v/>
      </c>
      <c r="BL1106" t="str">
        <f t="shared" si="408"/>
        <v/>
      </c>
      <c r="BM1106" t="str">
        <f t="shared" si="409"/>
        <v/>
      </c>
      <c r="BN1106" t="str">
        <f t="shared" si="410"/>
        <v/>
      </c>
      <c r="BO1106" t="str">
        <f t="shared" si="411"/>
        <v/>
      </c>
      <c r="BP1106" t="str">
        <f t="shared" si="412"/>
        <v/>
      </c>
      <c r="BQ1106" t="str">
        <f t="shared" si="413"/>
        <v/>
      </c>
      <c r="BR1106" t="str">
        <f t="shared" si="414"/>
        <v/>
      </c>
      <c r="BS1106" t="str">
        <f t="shared" si="415"/>
        <v/>
      </c>
      <c r="BT1106" t="str">
        <f t="shared" si="416"/>
        <v/>
      </c>
      <c r="BU1106" t="str">
        <f t="shared" si="417"/>
        <v/>
      </c>
    </row>
    <row r="1107" spans="1:73">
      <c r="A1107" s="1">
        <v>10200</v>
      </c>
      <c r="B1107" t="str">
        <f>VLOOKUP($A1107,[1]Table!$A$2:$N1256,B$1,FALSE)</f>
        <v>G03CA57</v>
      </c>
      <c r="C1107" t="str">
        <f>VLOOKUP($A1107,[1]Table!$A$2:$N1256,C$1,FALSE)</f>
        <v>GESLACHTSHORMONEN EN MODULATOREN VAN HET GENITALE STELSEL</v>
      </c>
      <c r="D1107" t="str">
        <f>VLOOKUP($A1107,[1]Table!$A$2:$N1256,D$1,FALSE)</f>
        <v>OESTROGENEN</v>
      </c>
      <c r="E1107" t="str">
        <f>VLOOKUP($A1107,[1]Table!$A$2:$N1256,E$1,FALSE)</f>
        <v>OESTROGENEN GECONJUGEERD</v>
      </c>
      <c r="F1107" t="str">
        <f>VLOOKUP($A1107,[1]Table!$A$2:$N1256,F$1,FALSE)</f>
        <v>DAGYNIL 0,625 MG TABLET</v>
      </c>
      <c r="G1107" t="str">
        <f>VLOOKUP($A1107,[1]Table!$A$2:$N1256,G$1,FALSE)</f>
        <v>OESTROG GECON 0,625MG TABL</v>
      </c>
      <c r="H1107" t="str">
        <f>VLOOKUP($A1107,[1]Table!$A$2:$N1256,H$1,FALSE)</f>
        <v>tablet</v>
      </c>
      <c r="I1107" t="str">
        <f>VLOOKUP($A1107,[1]Table!$A$2:$N1256,I$1,FALSE)</f>
        <v>or</v>
      </c>
      <c r="J1107">
        <f>VLOOKUP($A1107,[1]Table!$A$2:$N1256,J$1,FALSE)</f>
        <v>0.625</v>
      </c>
      <c r="K1107" t="str">
        <f>VLOOKUP($A1107,[1]Table!$A$2:$N1256,K$1,FALSE)</f>
        <v>mg/stuk</v>
      </c>
      <c r="L1107">
        <f>VLOOKUP($A1107,[1]Table!$A$2:$N1256,L$1,FALSE)</f>
        <v>0.625</v>
      </c>
      <c r="M1107" t="str">
        <f>VLOOKUP($A1107,[1]Table!$A$2:$N1256,M$1,FALSE)</f>
        <v>mg</v>
      </c>
      <c r="N1107" t="str">
        <f>VLOOKUP($A1107,[1]Table!$A$2:$N1256,N$1,FALSE)</f>
        <v>Hevige abnormale uterusbloedingen</v>
      </c>
      <c r="O1107" t="str">
        <f>ConcatenateRange(AZ1107:BU1107,"||")</f>
        <v/>
      </c>
      <c r="AZ1107" t="str">
        <f t="shared" si="396"/>
        <v/>
      </c>
      <c r="BA1107" t="str">
        <f t="shared" si="397"/>
        <v/>
      </c>
      <c r="BB1107" t="str">
        <f t="shared" si="398"/>
        <v/>
      </c>
      <c r="BC1107" t="str">
        <f t="shared" si="399"/>
        <v/>
      </c>
      <c r="BD1107" t="str">
        <f t="shared" si="400"/>
        <v/>
      </c>
      <c r="BE1107" t="str">
        <f t="shared" si="401"/>
        <v/>
      </c>
      <c r="BF1107" t="str">
        <f t="shared" si="402"/>
        <v/>
      </c>
      <c r="BG1107" t="str">
        <f t="shared" si="403"/>
        <v/>
      </c>
      <c r="BH1107" t="str">
        <f t="shared" si="404"/>
        <v/>
      </c>
      <c r="BI1107" t="str">
        <f t="shared" si="405"/>
        <v/>
      </c>
      <c r="BJ1107" t="str">
        <f t="shared" si="406"/>
        <v/>
      </c>
      <c r="BK1107" t="str">
        <f t="shared" si="407"/>
        <v/>
      </c>
      <c r="BL1107" t="str">
        <f t="shared" si="408"/>
        <v/>
      </c>
      <c r="BM1107" t="str">
        <f t="shared" si="409"/>
        <v/>
      </c>
      <c r="BN1107" t="str">
        <f t="shared" si="410"/>
        <v/>
      </c>
      <c r="BO1107" t="str">
        <f t="shared" si="411"/>
        <v/>
      </c>
      <c r="BP1107" t="str">
        <f t="shared" si="412"/>
        <v/>
      </c>
      <c r="BQ1107" t="str">
        <f t="shared" si="413"/>
        <v/>
      </c>
      <c r="BR1107" t="str">
        <f t="shared" si="414"/>
        <v/>
      </c>
      <c r="BS1107" t="str">
        <f t="shared" si="415"/>
        <v/>
      </c>
      <c r="BT1107" t="str">
        <f t="shared" si="416"/>
        <v/>
      </c>
      <c r="BU1107" t="str">
        <f t="shared" si="417"/>
        <v/>
      </c>
    </row>
    <row r="1108" spans="1:73">
      <c r="A1108" s="1">
        <v>116076</v>
      </c>
      <c r="B1108" t="str">
        <f>VLOOKUP($A1108,[1]Table!$A$2:$N1257,B$1,FALSE)</f>
        <v>J01MA01</v>
      </c>
      <c r="C1108" t="str">
        <f>VLOOKUP($A1108,[1]Table!$A$2:$N1257,C$1,FALSE)</f>
        <v>ANTIBACTERIELE MIDDELEN VOOR SYSTEMISCH GEBRUIK</v>
      </c>
      <c r="D1108" t="str">
        <f>VLOOKUP($A1108,[1]Table!$A$2:$N1257,D$1,FALSE)</f>
        <v>CHINOLONEN</v>
      </c>
      <c r="E1108" t="str">
        <f>VLOOKUP($A1108,[1]Table!$A$2:$N1257,E$1,FALSE)</f>
        <v>OFLOXACINE</v>
      </c>
      <c r="F1108" t="str">
        <f>VLOOKUP($A1108,[1]Table!$A$2:$N1257,F$1,FALSE)</f>
        <v>OFLOXACINE 200 MG TABLET FILMOMHULD</v>
      </c>
      <c r="G1108" t="str">
        <f>VLOOKUP($A1108,[1]Table!$A$2:$N1257,G$1,FALSE)</f>
        <v>OFLOXACINE 200MG TABLET FO</v>
      </c>
      <c r="H1108" t="str">
        <f>VLOOKUP($A1108,[1]Table!$A$2:$N1257,H$1,FALSE)</f>
        <v>filmomhulde tablet</v>
      </c>
      <c r="I1108" t="str">
        <f>VLOOKUP($A1108,[1]Table!$A$2:$N1257,I$1,FALSE)</f>
        <v>or</v>
      </c>
      <c r="J1108">
        <f>VLOOKUP($A1108,[1]Table!$A$2:$N1257,J$1,FALSE)</f>
        <v>200</v>
      </c>
      <c r="K1108" t="str">
        <f>VLOOKUP($A1108,[1]Table!$A$2:$N1257,K$1,FALSE)</f>
        <v>mg/stuk</v>
      </c>
      <c r="L1108">
        <f>VLOOKUP($A1108,[1]Table!$A$2:$N1257,L$1,FALSE)</f>
        <v>200</v>
      </c>
      <c r="M1108" t="str">
        <f>VLOOKUP($A1108,[1]Table!$A$2:$N1257,M$1,FALSE)</f>
        <v>mg</v>
      </c>
      <c r="N1108" t="str">
        <f>VLOOKUP($A1108,[1]Table!$A$2:$N1257,N$1,FALSE)</f>
        <v>Ernstige infecties||Infecties bij cystische fibrose</v>
      </c>
      <c r="O1108" t="str">
        <f>ConcatenateRange(AZ1108:BU1108,"||")</f>
        <v/>
      </c>
      <c r="AZ1108" t="str">
        <f t="shared" ref="AZ1108:AZ1169" si="418">IF(AA1108&lt;&gt;0,AA$2,"")</f>
        <v/>
      </c>
      <c r="BA1108" t="str">
        <f t="shared" ref="BA1108:BA1169" si="419">IF(AB1108&lt;&gt;0,AB$2,"")</f>
        <v/>
      </c>
      <c r="BB1108" t="str">
        <f t="shared" ref="BB1108:BB1169" si="420">IF(AC1108&lt;&gt;0,AC$2,"")</f>
        <v/>
      </c>
      <c r="BC1108" t="str">
        <f t="shared" ref="BC1108:BC1169" si="421">IF(AD1108&lt;&gt;0,AD$2,"")</f>
        <v/>
      </c>
      <c r="BD1108" t="str">
        <f t="shared" ref="BD1108:BD1169" si="422">IF(AE1108&lt;&gt;0,AE$2,"")</f>
        <v/>
      </c>
      <c r="BE1108" t="str">
        <f t="shared" ref="BE1108:BE1169" si="423">IF(AF1108&lt;&gt;0,AF$2,"")</f>
        <v/>
      </c>
      <c r="BF1108" t="str">
        <f t="shared" ref="BF1108:BF1169" si="424">IF(AG1108&lt;&gt;0,AG$2,"")</f>
        <v/>
      </c>
      <c r="BG1108" t="str">
        <f t="shared" ref="BG1108:BG1169" si="425">IF(AH1108&lt;&gt;0,AH$2,"")</f>
        <v/>
      </c>
      <c r="BH1108" t="str">
        <f t="shared" ref="BH1108:BH1169" si="426">IF(AI1108&lt;&gt;0,AI$2,"")</f>
        <v/>
      </c>
      <c r="BI1108" t="str">
        <f t="shared" ref="BI1108:BI1169" si="427">IF(AJ1108&lt;&gt;0,AJ$2,"")</f>
        <v/>
      </c>
      <c r="BJ1108" t="str">
        <f t="shared" ref="BJ1108:BJ1169" si="428">IF(AK1108&lt;&gt;0,AK$2,"")</f>
        <v/>
      </c>
      <c r="BK1108" t="str">
        <f t="shared" ref="BK1108:BK1169" si="429">IF(AL1108&lt;&gt;0,AL$2,"")</f>
        <v/>
      </c>
      <c r="BL1108" t="str">
        <f t="shared" ref="BL1108:BL1169" si="430">IF(AM1108&lt;&gt;0,AM$2,"")</f>
        <v/>
      </c>
      <c r="BM1108" t="str">
        <f t="shared" ref="BM1108:BM1169" si="431">IF(AN1108&lt;&gt;0,AN$2,"")</f>
        <v/>
      </c>
      <c r="BN1108" t="str">
        <f t="shared" ref="BN1108:BN1169" si="432">IF(AO1108&lt;&gt;0,AO$2,"")</f>
        <v/>
      </c>
      <c r="BO1108" t="str">
        <f t="shared" ref="BO1108:BO1169" si="433">IF(AP1108&lt;&gt;0,AP$2,"")</f>
        <v/>
      </c>
      <c r="BP1108" t="str">
        <f t="shared" ref="BP1108:BP1169" si="434">IF(AQ1108&lt;&gt;0,AQ$2,"")</f>
        <v/>
      </c>
      <c r="BQ1108" t="str">
        <f t="shared" ref="BQ1108:BQ1169" si="435">IF(AR1108&lt;&gt;0,AR$2,"")</f>
        <v/>
      </c>
      <c r="BR1108" t="str">
        <f t="shared" ref="BR1108:BR1169" si="436">IF(AS1108&lt;&gt;0,AS$2,"")</f>
        <v/>
      </c>
      <c r="BS1108" t="str">
        <f t="shared" ref="BS1108:BS1169" si="437">IF(AT1108&lt;&gt;0,AT$2,"")</f>
        <v/>
      </c>
      <c r="BT1108" t="str">
        <f t="shared" ref="BT1108:BT1169" si="438">IF(AU1108&lt;&gt;0,AU$2,"")</f>
        <v/>
      </c>
      <c r="BU1108" t="str">
        <f t="shared" ref="BU1108:BU1169" si="439">IF(AV1108&lt;&gt;0,AV$2,"")</f>
        <v/>
      </c>
    </row>
    <row r="1109" spans="1:73">
      <c r="A1109" s="1">
        <v>116084</v>
      </c>
      <c r="B1109" t="str">
        <f>VLOOKUP($A1109,[1]Table!$A$2:$N1257,B$1,FALSE)</f>
        <v>J01MA01</v>
      </c>
      <c r="C1109" t="str">
        <f>VLOOKUP($A1109,[1]Table!$A$2:$N1257,C$1,FALSE)</f>
        <v>ANTIBACTERIELE MIDDELEN VOOR SYSTEMISCH GEBRUIK</v>
      </c>
      <c r="D1109" t="str">
        <f>VLOOKUP($A1109,[1]Table!$A$2:$N1257,D$1,FALSE)</f>
        <v>CHINOLONEN</v>
      </c>
      <c r="E1109" t="str">
        <f>VLOOKUP($A1109,[1]Table!$A$2:$N1257,E$1,FALSE)</f>
        <v>OFLOXACINE</v>
      </c>
      <c r="F1109" t="str">
        <f>VLOOKUP($A1109,[1]Table!$A$2:$N1257,F$1,FALSE)</f>
        <v>OFLOXACINE 400 MG TABLET FILMOMHULD</v>
      </c>
      <c r="G1109" t="str">
        <f>VLOOKUP($A1109,[1]Table!$A$2:$N1257,G$1,FALSE)</f>
        <v>OFLOXACINE 400MG TABLET FO</v>
      </c>
      <c r="H1109" t="str">
        <f>VLOOKUP($A1109,[1]Table!$A$2:$N1257,H$1,FALSE)</f>
        <v>filmomhulde tablet</v>
      </c>
      <c r="I1109" t="str">
        <f>VLOOKUP($A1109,[1]Table!$A$2:$N1257,I$1,FALSE)</f>
        <v>or</v>
      </c>
      <c r="J1109">
        <f>VLOOKUP($A1109,[1]Table!$A$2:$N1257,J$1,FALSE)</f>
        <v>400</v>
      </c>
      <c r="K1109" t="str">
        <f>VLOOKUP($A1109,[1]Table!$A$2:$N1257,K$1,FALSE)</f>
        <v>mg/stuk</v>
      </c>
      <c r="L1109">
        <f>VLOOKUP($A1109,[1]Table!$A$2:$N1257,L$1,FALSE)</f>
        <v>200</v>
      </c>
      <c r="M1109" t="str">
        <f>VLOOKUP($A1109,[1]Table!$A$2:$N1257,M$1,FALSE)</f>
        <v>mg</v>
      </c>
      <c r="N1109" t="str">
        <f>VLOOKUP($A1109,[1]Table!$A$2:$N1257,N$1,FALSE)</f>
        <v>Ernstige infecties||Infecties bij cystische fibrose</v>
      </c>
      <c r="O1109" t="str">
        <f>ConcatenateRange(AZ1109:BU1109,"||")</f>
        <v/>
      </c>
      <c r="AZ1109" t="str">
        <f t="shared" si="418"/>
        <v/>
      </c>
      <c r="BA1109" t="str">
        <f t="shared" si="419"/>
        <v/>
      </c>
      <c r="BB1109" t="str">
        <f t="shared" si="420"/>
        <v/>
      </c>
      <c r="BC1109" t="str">
        <f t="shared" si="421"/>
        <v/>
      </c>
      <c r="BD1109" t="str">
        <f t="shared" si="422"/>
        <v/>
      </c>
      <c r="BE1109" t="str">
        <f t="shared" si="423"/>
        <v/>
      </c>
      <c r="BF1109" t="str">
        <f t="shared" si="424"/>
        <v/>
      </c>
      <c r="BG1109" t="str">
        <f t="shared" si="425"/>
        <v/>
      </c>
      <c r="BH1109" t="str">
        <f t="shared" si="426"/>
        <v/>
      </c>
      <c r="BI1109" t="str">
        <f t="shared" si="427"/>
        <v/>
      </c>
      <c r="BJ1109" t="str">
        <f t="shared" si="428"/>
        <v/>
      </c>
      <c r="BK1109" t="str">
        <f t="shared" si="429"/>
        <v/>
      </c>
      <c r="BL1109" t="str">
        <f t="shared" si="430"/>
        <v/>
      </c>
      <c r="BM1109" t="str">
        <f t="shared" si="431"/>
        <v/>
      </c>
      <c r="BN1109" t="str">
        <f t="shared" si="432"/>
        <v/>
      </c>
      <c r="BO1109" t="str">
        <f t="shared" si="433"/>
        <v/>
      </c>
      <c r="BP1109" t="str">
        <f t="shared" si="434"/>
        <v/>
      </c>
      <c r="BQ1109" t="str">
        <f t="shared" si="435"/>
        <v/>
      </c>
      <c r="BR1109" t="str">
        <f t="shared" si="436"/>
        <v/>
      </c>
      <c r="BS1109" t="str">
        <f t="shared" si="437"/>
        <v/>
      </c>
      <c r="BT1109" t="str">
        <f t="shared" si="438"/>
        <v/>
      </c>
      <c r="BU1109" t="str">
        <f t="shared" si="439"/>
        <v/>
      </c>
    </row>
    <row r="1110" spans="1:73">
      <c r="A1110" s="1">
        <v>82570</v>
      </c>
      <c r="B1110" t="str">
        <f>VLOOKUP($A1110,[1]Table!$A$2:$N1257,B$1,FALSE)</f>
        <v>S01AE01</v>
      </c>
      <c r="C1110" t="str">
        <f>VLOOKUP($A1110,[1]Table!$A$2:$N1257,C$1,FALSE)</f>
        <v>MIDDELEN VOOR OOGHEELKUNDIG GEBRUIK</v>
      </c>
      <c r="D1110" t="str">
        <f>VLOOKUP($A1110,[1]Table!$A$2:$N1257,D$1,FALSE)</f>
        <v>ANTIMICROBIELE MIDDELEN</v>
      </c>
      <c r="E1110" t="str">
        <f>VLOOKUP($A1110,[1]Table!$A$2:$N1257,E$1,FALSE)</f>
        <v>OFLOXACINE</v>
      </c>
      <c r="F1110" t="str">
        <f>VLOOKUP($A1110,[1]Table!$A$2:$N1257,F$1,FALSE)</f>
        <v>OFLOXACINE 0,3% OOGDRUPPELS 0,5 ML</v>
      </c>
      <c r="G1110" t="str">
        <f>VLOOKUP($A1110,[1]Table!$A$2:$N1257,G$1,FALSE)</f>
        <v>OFLOXACINE 3MG/ML OOGDRUPPE</v>
      </c>
      <c r="H1110" t="str">
        <f>VLOOKUP($A1110,[1]Table!$A$2:$N1257,H$1,FALSE)</f>
        <v>oogdruppels</v>
      </c>
      <c r="I1110" t="str">
        <f>VLOOKUP($A1110,[1]Table!$A$2:$N1257,I$1,FALSE)</f>
        <v>oog</v>
      </c>
      <c r="J1110">
        <f>VLOOKUP($A1110,[1]Table!$A$2:$N1257,J$1,FALSE)</f>
        <v>3</v>
      </c>
      <c r="K1110" t="str">
        <f>VLOOKUP($A1110,[1]Table!$A$2:$N1257,K$1,FALSE)</f>
        <v>mg/ml</v>
      </c>
      <c r="L1110">
        <f>VLOOKUP($A1110,[1]Table!$A$2:$N1257,L$1,FALSE)</f>
        <v>3</v>
      </c>
      <c r="M1110" t="str">
        <f>VLOOKUP($A1110,[1]Table!$A$2:$N1257,M$1,FALSE)</f>
        <v>mg</v>
      </c>
      <c r="N1110" t="str">
        <f>VLOOKUP($A1110,[1]Table!$A$2:$N1257,N$1,FALSE)</f>
        <v>Ooginfectie, breed spectrum||Chronische suppuratieve otitis media met geperforeerd trommelvlies, otitis media met buisjes, otitis externa</v>
      </c>
      <c r="O1110" t="str">
        <f>ConcatenateRange(AZ1110:BU1110,"||")</f>
        <v/>
      </c>
      <c r="AZ1110" t="str">
        <f t="shared" si="418"/>
        <v/>
      </c>
      <c r="BA1110" t="str">
        <f t="shared" si="419"/>
        <v/>
      </c>
      <c r="BB1110" t="str">
        <f t="shared" si="420"/>
        <v/>
      </c>
      <c r="BC1110" t="str">
        <f t="shared" si="421"/>
        <v/>
      </c>
      <c r="BD1110" t="str">
        <f t="shared" si="422"/>
        <v/>
      </c>
      <c r="BE1110" t="str">
        <f t="shared" si="423"/>
        <v/>
      </c>
      <c r="BF1110" t="str">
        <f t="shared" si="424"/>
        <v/>
      </c>
      <c r="BG1110" t="str">
        <f t="shared" si="425"/>
        <v/>
      </c>
      <c r="BH1110" t="str">
        <f t="shared" si="426"/>
        <v/>
      </c>
      <c r="BI1110" t="str">
        <f t="shared" si="427"/>
        <v/>
      </c>
      <c r="BJ1110" t="str">
        <f t="shared" si="428"/>
        <v/>
      </c>
      <c r="BK1110" t="str">
        <f t="shared" si="429"/>
        <v/>
      </c>
      <c r="BL1110" t="str">
        <f t="shared" si="430"/>
        <v/>
      </c>
      <c r="BM1110" t="str">
        <f t="shared" si="431"/>
        <v/>
      </c>
      <c r="BN1110" t="str">
        <f t="shared" si="432"/>
        <v/>
      </c>
      <c r="BO1110" t="str">
        <f t="shared" si="433"/>
        <v/>
      </c>
      <c r="BP1110" t="str">
        <f t="shared" si="434"/>
        <v/>
      </c>
      <c r="BQ1110" t="str">
        <f t="shared" si="435"/>
        <v/>
      </c>
      <c r="BR1110" t="str">
        <f t="shared" si="436"/>
        <v/>
      </c>
      <c r="BS1110" t="str">
        <f t="shared" si="437"/>
        <v/>
      </c>
      <c r="BT1110" t="str">
        <f t="shared" si="438"/>
        <v/>
      </c>
      <c r="BU1110" t="str">
        <f t="shared" si="439"/>
        <v/>
      </c>
    </row>
    <row r="1111" spans="1:73">
      <c r="A1111" s="1">
        <v>82589</v>
      </c>
      <c r="B1111" t="str">
        <f>VLOOKUP($A1111,[1]Table!$A$2:$N1258,B$1,FALSE)</f>
        <v>S01AE01</v>
      </c>
      <c r="C1111" t="str">
        <f>VLOOKUP($A1111,[1]Table!$A$2:$N1258,C$1,FALSE)</f>
        <v>MIDDELEN VOOR OOGHEELKUNDIG GEBRUIK</v>
      </c>
      <c r="D1111" t="str">
        <f>VLOOKUP($A1111,[1]Table!$A$2:$N1258,D$1,FALSE)</f>
        <v>ANTIMICROBIELE MIDDELEN</v>
      </c>
      <c r="E1111" t="str">
        <f>VLOOKUP($A1111,[1]Table!$A$2:$N1258,E$1,FALSE)</f>
        <v>OFLOXACINE</v>
      </c>
      <c r="F1111" t="str">
        <f>VLOOKUP($A1111,[1]Table!$A$2:$N1258,F$1,FALSE)</f>
        <v>TRAFLOXAL 0.3 % OOGZALF 3G</v>
      </c>
      <c r="G1111" t="str">
        <f>VLOOKUP($A1111,[1]Table!$A$2:$N1258,G$1,FALSE)</f>
        <v>OFLOXACINE 3MG/G OOGZALF</v>
      </c>
      <c r="H1111" t="str">
        <f>VLOOKUP($A1111,[1]Table!$A$2:$N1258,H$1,FALSE)</f>
        <v>oogzalf</v>
      </c>
      <c r="I1111" t="str">
        <f>VLOOKUP($A1111,[1]Table!$A$2:$N1258,I$1,FALSE)</f>
        <v>oog</v>
      </c>
      <c r="J1111">
        <f>VLOOKUP($A1111,[1]Table!$A$2:$N1258,J$1,FALSE)</f>
        <v>3</v>
      </c>
      <c r="K1111" t="str">
        <f>VLOOKUP($A1111,[1]Table!$A$2:$N1258,K$1,FALSE)</f>
        <v>mg/gr</v>
      </c>
      <c r="L1111">
        <f>VLOOKUP($A1111,[1]Table!$A$2:$N1258,L$1,FALSE)</f>
        <v>3</v>
      </c>
      <c r="M1111" t="str">
        <f>VLOOKUP($A1111,[1]Table!$A$2:$N1258,M$1,FALSE)</f>
        <v>mg</v>
      </c>
      <c r="N1111" t="str">
        <f>VLOOKUP($A1111,[1]Table!$A$2:$N1258,N$1,FALSE)</f>
        <v>Ooginfectie, breed spectrum||Chronische suppuratieve otitis media met geperforeerd trommelvlies, otitis media met buisjes, otitis externa</v>
      </c>
      <c r="O1111" t="str">
        <f>ConcatenateRange(AZ1111:BU1111,"||")</f>
        <v/>
      </c>
      <c r="AZ1111" t="str">
        <f t="shared" si="418"/>
        <v/>
      </c>
      <c r="BA1111" t="str">
        <f t="shared" si="419"/>
        <v/>
      </c>
      <c r="BB1111" t="str">
        <f t="shared" si="420"/>
        <v/>
      </c>
      <c r="BC1111" t="str">
        <f t="shared" si="421"/>
        <v/>
      </c>
      <c r="BD1111" t="str">
        <f t="shared" si="422"/>
        <v/>
      </c>
      <c r="BE1111" t="str">
        <f t="shared" si="423"/>
        <v/>
      </c>
      <c r="BF1111" t="str">
        <f t="shared" si="424"/>
        <v/>
      </c>
      <c r="BG1111" t="str">
        <f t="shared" si="425"/>
        <v/>
      </c>
      <c r="BH1111" t="str">
        <f t="shared" si="426"/>
        <v/>
      </c>
      <c r="BI1111" t="str">
        <f t="shared" si="427"/>
        <v/>
      </c>
      <c r="BJ1111" t="str">
        <f t="shared" si="428"/>
        <v/>
      </c>
      <c r="BK1111" t="str">
        <f t="shared" si="429"/>
        <v/>
      </c>
      <c r="BL1111" t="str">
        <f t="shared" si="430"/>
        <v/>
      </c>
      <c r="BM1111" t="str">
        <f t="shared" si="431"/>
        <v/>
      </c>
      <c r="BN1111" t="str">
        <f t="shared" si="432"/>
        <v/>
      </c>
      <c r="BO1111" t="str">
        <f t="shared" si="433"/>
        <v/>
      </c>
      <c r="BP1111" t="str">
        <f t="shared" si="434"/>
        <v/>
      </c>
      <c r="BQ1111" t="str">
        <f t="shared" si="435"/>
        <v/>
      </c>
      <c r="BR1111" t="str">
        <f t="shared" si="436"/>
        <v/>
      </c>
      <c r="BS1111" t="str">
        <f t="shared" si="437"/>
        <v/>
      </c>
      <c r="BT1111" t="str">
        <f t="shared" si="438"/>
        <v/>
      </c>
      <c r="BU1111" t="str">
        <f t="shared" si="439"/>
        <v/>
      </c>
    </row>
    <row r="1112" spans="1:73">
      <c r="A1112" s="1">
        <v>118710</v>
      </c>
      <c r="B1112" t="str">
        <f>VLOOKUP($A1112,[1]Table!$A$2:$N1259,B$1,FALSE)</f>
        <v>N05AH03</v>
      </c>
      <c r="C1112" t="str">
        <f>VLOOKUP($A1112,[1]Table!$A$2:$N1259,C$1,FALSE)</f>
        <v>PSYCHOLEPTICA</v>
      </c>
      <c r="D1112" t="str">
        <f>VLOOKUP($A1112,[1]Table!$A$2:$N1259,D$1,FALSE)</f>
        <v>ANTIPSYCHOTICA</v>
      </c>
      <c r="E1112" t="str">
        <f>VLOOKUP($A1112,[1]Table!$A$2:$N1259,E$1,FALSE)</f>
        <v>OLANZAPINE</v>
      </c>
      <c r="F1112" t="str">
        <f>VLOOKUP($A1112,[1]Table!$A$2:$N1259,F$1,FALSE)</f>
        <v>ZYPREXA 10 MG POEDER VOOR INJECTIE</v>
      </c>
      <c r="G1112" t="str">
        <f>VLOOKUP($A1112,[1]Table!$A$2:$N1259,G$1,FALSE)</f>
        <v>OLANZAPINE 10MG PDR INJOPL</v>
      </c>
      <c r="H1112" t="str">
        <f>VLOOKUP($A1112,[1]Table!$A$2:$N1259,H$1,FALSE)</f>
        <v>poeder voor injectievloeistof</v>
      </c>
      <c r="I1112" t="str">
        <f>VLOOKUP($A1112,[1]Table!$A$2:$N1259,I$1,FALSE)</f>
        <v>im</v>
      </c>
      <c r="J1112">
        <f>VLOOKUP($A1112,[1]Table!$A$2:$N1259,J$1,FALSE)</f>
        <v>10</v>
      </c>
      <c r="K1112" t="str">
        <f>VLOOKUP($A1112,[1]Table!$A$2:$N1259,K$1,FALSE)</f>
        <v>mg/stuk</v>
      </c>
      <c r="L1112">
        <f>VLOOKUP($A1112,[1]Table!$A$2:$N1259,L$1,FALSE)</f>
        <v>10</v>
      </c>
      <c r="M1112" t="str">
        <f>VLOOKUP($A1112,[1]Table!$A$2:$N1259,M$1,FALSE)</f>
        <v>mg</v>
      </c>
      <c r="N1112" t="str">
        <f>VLOOKUP($A1112,[1]Table!$A$2:$N1259,N$1,FALSE)</f>
        <v>Autisme spectrum stoornis (ASS), manie en psychose</v>
      </c>
      <c r="O1112" t="str">
        <f>ConcatenateRange(AZ1112:BU1112,"||")</f>
        <v/>
      </c>
      <c r="AZ1112" t="str">
        <f t="shared" si="418"/>
        <v/>
      </c>
      <c r="BA1112" t="str">
        <f t="shared" si="419"/>
        <v/>
      </c>
      <c r="BB1112" t="str">
        <f t="shared" si="420"/>
        <v/>
      </c>
      <c r="BC1112" t="str">
        <f t="shared" si="421"/>
        <v/>
      </c>
      <c r="BD1112" t="str">
        <f t="shared" si="422"/>
        <v/>
      </c>
      <c r="BE1112" t="str">
        <f t="shared" si="423"/>
        <v/>
      </c>
      <c r="BF1112" t="str">
        <f t="shared" si="424"/>
        <v/>
      </c>
      <c r="BG1112" t="str">
        <f t="shared" si="425"/>
        <v/>
      </c>
      <c r="BH1112" t="str">
        <f t="shared" si="426"/>
        <v/>
      </c>
      <c r="BI1112" t="str">
        <f t="shared" si="427"/>
        <v/>
      </c>
      <c r="BJ1112" t="str">
        <f t="shared" si="428"/>
        <v/>
      </c>
      <c r="BK1112" t="str">
        <f t="shared" si="429"/>
        <v/>
      </c>
      <c r="BL1112" t="str">
        <f t="shared" si="430"/>
        <v/>
      </c>
      <c r="BM1112" t="str">
        <f t="shared" si="431"/>
        <v/>
      </c>
      <c r="BN1112" t="str">
        <f t="shared" si="432"/>
        <v/>
      </c>
      <c r="BO1112" t="str">
        <f t="shared" si="433"/>
        <v/>
      </c>
      <c r="BP1112" t="str">
        <f t="shared" si="434"/>
        <v/>
      </c>
      <c r="BQ1112" t="str">
        <f t="shared" si="435"/>
        <v/>
      </c>
      <c r="BR1112" t="str">
        <f t="shared" si="436"/>
        <v/>
      </c>
      <c r="BS1112" t="str">
        <f t="shared" si="437"/>
        <v/>
      </c>
      <c r="BT1112" t="str">
        <f t="shared" si="438"/>
        <v/>
      </c>
      <c r="BU1112" t="str">
        <f t="shared" si="439"/>
        <v/>
      </c>
    </row>
    <row r="1113" spans="1:73">
      <c r="A1113" s="1">
        <v>131520</v>
      </c>
      <c r="B1113" t="str">
        <f>VLOOKUP($A1113,[1]Table!$A$2:$N1260,B$1,FALSE)</f>
        <v>N05AH03</v>
      </c>
      <c r="C1113" t="str">
        <f>VLOOKUP($A1113,[1]Table!$A$2:$N1260,C$1,FALSE)</f>
        <v>PSYCHOLEPTICA</v>
      </c>
      <c r="D1113" t="str">
        <f>VLOOKUP($A1113,[1]Table!$A$2:$N1260,D$1,FALSE)</f>
        <v>ANTIPSYCHOTICA</v>
      </c>
      <c r="E1113" t="str">
        <f>VLOOKUP($A1113,[1]Table!$A$2:$N1260,E$1,FALSE)</f>
        <v>OLANZAPINE</v>
      </c>
      <c r="F1113" t="str">
        <f>VLOOKUP($A1113,[1]Table!$A$2:$N1260,F$1,FALSE)</f>
        <v>ZYPADHERA INJPDR MVA FLACON 210MG +SOLV</v>
      </c>
      <c r="G1113" t="str">
        <f>VLOOKUP($A1113,[1]Table!$A$2:$N1260,G$1,FALSE)</f>
        <v>OLANZAPINE 210MG PDR INJSUS</v>
      </c>
      <c r="H1113" t="str">
        <f>VLOOKUP($A1113,[1]Table!$A$2:$N1260,H$1,FALSE)</f>
        <v>poeder voor suspensie voor injectie</v>
      </c>
      <c r="I1113" t="str">
        <f>VLOOKUP($A1113,[1]Table!$A$2:$N1260,I$1,FALSE)</f>
        <v>im</v>
      </c>
      <c r="J1113">
        <f>VLOOKUP($A1113,[1]Table!$A$2:$N1260,J$1,FALSE)</f>
        <v>210</v>
      </c>
      <c r="K1113" t="str">
        <f>VLOOKUP($A1113,[1]Table!$A$2:$N1260,K$1,FALSE)</f>
        <v>mg/stuk</v>
      </c>
      <c r="L1113">
        <f>VLOOKUP($A1113,[1]Table!$A$2:$N1260,L$1,FALSE)</f>
        <v>210</v>
      </c>
      <c r="M1113" t="str">
        <f>VLOOKUP($A1113,[1]Table!$A$2:$N1260,M$1,FALSE)</f>
        <v>mg</v>
      </c>
      <c r="N1113" t="str">
        <f>VLOOKUP($A1113,[1]Table!$A$2:$N1260,N$1,FALSE)</f>
        <v>Autisme spectrum stoornis (ASS), manie en psychose</v>
      </c>
      <c r="O1113" t="str">
        <f>ConcatenateRange(AZ1113:BU1113,"||")</f>
        <v/>
      </c>
      <c r="AZ1113" t="str">
        <f t="shared" si="418"/>
        <v/>
      </c>
      <c r="BA1113" t="str">
        <f t="shared" si="419"/>
        <v/>
      </c>
      <c r="BB1113" t="str">
        <f t="shared" si="420"/>
        <v/>
      </c>
      <c r="BC1113" t="str">
        <f t="shared" si="421"/>
        <v/>
      </c>
      <c r="BD1113" t="str">
        <f t="shared" si="422"/>
        <v/>
      </c>
      <c r="BE1113" t="str">
        <f t="shared" si="423"/>
        <v/>
      </c>
      <c r="BF1113" t="str">
        <f t="shared" si="424"/>
        <v/>
      </c>
      <c r="BG1113" t="str">
        <f t="shared" si="425"/>
        <v/>
      </c>
      <c r="BH1113" t="str">
        <f t="shared" si="426"/>
        <v/>
      </c>
      <c r="BI1113" t="str">
        <f t="shared" si="427"/>
        <v/>
      </c>
      <c r="BJ1113" t="str">
        <f t="shared" si="428"/>
        <v/>
      </c>
      <c r="BK1113" t="str">
        <f t="shared" si="429"/>
        <v/>
      </c>
      <c r="BL1113" t="str">
        <f t="shared" si="430"/>
        <v/>
      </c>
      <c r="BM1113" t="str">
        <f t="shared" si="431"/>
        <v/>
      </c>
      <c r="BN1113" t="str">
        <f t="shared" si="432"/>
        <v/>
      </c>
      <c r="BO1113" t="str">
        <f t="shared" si="433"/>
        <v/>
      </c>
      <c r="BP1113" t="str">
        <f t="shared" si="434"/>
        <v/>
      </c>
      <c r="BQ1113" t="str">
        <f t="shared" si="435"/>
        <v/>
      </c>
      <c r="BR1113" t="str">
        <f t="shared" si="436"/>
        <v/>
      </c>
      <c r="BS1113" t="str">
        <f t="shared" si="437"/>
        <v/>
      </c>
      <c r="BT1113" t="str">
        <f t="shared" si="438"/>
        <v/>
      </c>
      <c r="BU1113" t="str">
        <f t="shared" si="439"/>
        <v/>
      </c>
    </row>
    <row r="1114" spans="1:73">
      <c r="A1114" s="1">
        <v>131539</v>
      </c>
      <c r="B1114" t="str">
        <f>VLOOKUP($A1114,[1]Table!$A$2:$N1261,B$1,FALSE)</f>
        <v>N05AH03</v>
      </c>
      <c r="C1114" t="str">
        <f>VLOOKUP($A1114,[1]Table!$A$2:$N1261,C$1,FALSE)</f>
        <v>PSYCHOLEPTICA</v>
      </c>
      <c r="D1114" t="str">
        <f>VLOOKUP($A1114,[1]Table!$A$2:$N1261,D$1,FALSE)</f>
        <v>ANTIPSYCHOTICA</v>
      </c>
      <c r="E1114" t="str">
        <f>VLOOKUP($A1114,[1]Table!$A$2:$N1261,E$1,FALSE)</f>
        <v>OLANZAPINE</v>
      </c>
      <c r="F1114" t="str">
        <f>VLOOKUP($A1114,[1]Table!$A$2:$N1261,F$1,FALSE)</f>
        <v>ZYPADHERA 300 MG INJPDR MVA FLACON + SOLVENS 3 ML</v>
      </c>
      <c r="G1114" t="str">
        <f>VLOOKUP($A1114,[1]Table!$A$2:$N1261,G$1,FALSE)</f>
        <v>OLANZAPINE 300MG PDR INJSUS</v>
      </c>
      <c r="H1114" t="str">
        <f>VLOOKUP($A1114,[1]Table!$A$2:$N1261,H$1,FALSE)</f>
        <v>poeder voor suspensie voor injectie</v>
      </c>
      <c r="I1114" t="str">
        <f>VLOOKUP($A1114,[1]Table!$A$2:$N1261,I$1,FALSE)</f>
        <v>im</v>
      </c>
      <c r="J1114">
        <f>VLOOKUP($A1114,[1]Table!$A$2:$N1261,J$1,FALSE)</f>
        <v>300</v>
      </c>
      <c r="K1114" t="str">
        <f>VLOOKUP($A1114,[1]Table!$A$2:$N1261,K$1,FALSE)</f>
        <v>mg/stuk</v>
      </c>
      <c r="L1114">
        <f>VLOOKUP($A1114,[1]Table!$A$2:$N1261,L$1,FALSE)</f>
        <v>300</v>
      </c>
      <c r="M1114" t="str">
        <f>VLOOKUP($A1114,[1]Table!$A$2:$N1261,M$1,FALSE)</f>
        <v>mg</v>
      </c>
      <c r="N1114" t="str">
        <f>VLOOKUP($A1114,[1]Table!$A$2:$N1261,N$1,FALSE)</f>
        <v>Autisme spectrum stoornis (ASS), manie en psychose</v>
      </c>
      <c r="O1114" t="str">
        <f>ConcatenateRange(AZ1114:BU1114,"||")</f>
        <v/>
      </c>
      <c r="AZ1114" t="str">
        <f t="shared" si="418"/>
        <v/>
      </c>
      <c r="BA1114" t="str">
        <f t="shared" si="419"/>
        <v/>
      </c>
      <c r="BB1114" t="str">
        <f t="shared" si="420"/>
        <v/>
      </c>
      <c r="BC1114" t="str">
        <f t="shared" si="421"/>
        <v/>
      </c>
      <c r="BD1114" t="str">
        <f t="shared" si="422"/>
        <v/>
      </c>
      <c r="BE1114" t="str">
        <f t="shared" si="423"/>
        <v/>
      </c>
      <c r="BF1114" t="str">
        <f t="shared" si="424"/>
        <v/>
      </c>
      <c r="BG1114" t="str">
        <f t="shared" si="425"/>
        <v/>
      </c>
      <c r="BH1114" t="str">
        <f t="shared" si="426"/>
        <v/>
      </c>
      <c r="BI1114" t="str">
        <f t="shared" si="427"/>
        <v/>
      </c>
      <c r="BJ1114" t="str">
        <f t="shared" si="428"/>
        <v/>
      </c>
      <c r="BK1114" t="str">
        <f t="shared" si="429"/>
        <v/>
      </c>
      <c r="BL1114" t="str">
        <f t="shared" si="430"/>
        <v/>
      </c>
      <c r="BM1114" t="str">
        <f t="shared" si="431"/>
        <v/>
      </c>
      <c r="BN1114" t="str">
        <f t="shared" si="432"/>
        <v/>
      </c>
      <c r="BO1114" t="str">
        <f t="shared" si="433"/>
        <v/>
      </c>
      <c r="BP1114" t="str">
        <f t="shared" si="434"/>
        <v/>
      </c>
      <c r="BQ1114" t="str">
        <f t="shared" si="435"/>
        <v/>
      </c>
      <c r="BR1114" t="str">
        <f t="shared" si="436"/>
        <v/>
      </c>
      <c r="BS1114" t="str">
        <f t="shared" si="437"/>
        <v/>
      </c>
      <c r="BT1114" t="str">
        <f t="shared" si="438"/>
        <v/>
      </c>
      <c r="BU1114" t="str">
        <f t="shared" si="439"/>
        <v/>
      </c>
    </row>
    <row r="1115" spans="1:73">
      <c r="A1115" s="1">
        <v>131547</v>
      </c>
      <c r="B1115" t="str">
        <f>VLOOKUP($A1115,[1]Table!$A$2:$N1262,B$1,FALSE)</f>
        <v>N05AH03</v>
      </c>
      <c r="C1115" t="str">
        <f>VLOOKUP($A1115,[1]Table!$A$2:$N1262,C$1,FALSE)</f>
        <v>PSYCHOLEPTICA</v>
      </c>
      <c r="D1115" t="str">
        <f>VLOOKUP($A1115,[1]Table!$A$2:$N1262,D$1,FALSE)</f>
        <v>ANTIPSYCHOTICA</v>
      </c>
      <c r="E1115" t="str">
        <f>VLOOKUP($A1115,[1]Table!$A$2:$N1262,E$1,FALSE)</f>
        <v>OLANZAPINE</v>
      </c>
      <c r="F1115" t="str">
        <f>VLOOKUP($A1115,[1]Table!$A$2:$N1262,F$1,FALSE)</f>
        <v>ZYPADHERA 405 MG INJPDR MVA FLACON +SOLV</v>
      </c>
      <c r="G1115" t="str">
        <f>VLOOKUP($A1115,[1]Table!$A$2:$N1262,G$1,FALSE)</f>
        <v>OLANZAPINE 405MG PDR INJSUS</v>
      </c>
      <c r="H1115" t="str">
        <f>VLOOKUP($A1115,[1]Table!$A$2:$N1262,H$1,FALSE)</f>
        <v>poeder voor suspensie voor injectie</v>
      </c>
      <c r="I1115" t="str">
        <f>VLOOKUP($A1115,[1]Table!$A$2:$N1262,I$1,FALSE)</f>
        <v>im</v>
      </c>
      <c r="J1115">
        <f>VLOOKUP($A1115,[1]Table!$A$2:$N1262,J$1,FALSE)</f>
        <v>405</v>
      </c>
      <c r="K1115" t="str">
        <f>VLOOKUP($A1115,[1]Table!$A$2:$N1262,K$1,FALSE)</f>
        <v>mg/stuk</v>
      </c>
      <c r="L1115">
        <f>VLOOKUP($A1115,[1]Table!$A$2:$N1262,L$1,FALSE)</f>
        <v>405</v>
      </c>
      <c r="M1115" t="str">
        <f>VLOOKUP($A1115,[1]Table!$A$2:$N1262,M$1,FALSE)</f>
        <v>mg</v>
      </c>
      <c r="N1115" t="str">
        <f>VLOOKUP($A1115,[1]Table!$A$2:$N1262,N$1,FALSE)</f>
        <v>Autisme spectrum stoornis (ASS), manie en psychose</v>
      </c>
      <c r="O1115" t="str">
        <f>ConcatenateRange(AZ1115:BU1115,"||")</f>
        <v/>
      </c>
      <c r="AZ1115" t="str">
        <f t="shared" si="418"/>
        <v/>
      </c>
      <c r="BA1115" t="str">
        <f t="shared" si="419"/>
        <v/>
      </c>
      <c r="BB1115" t="str">
        <f t="shared" si="420"/>
        <v/>
      </c>
      <c r="BC1115" t="str">
        <f t="shared" si="421"/>
        <v/>
      </c>
      <c r="BD1115" t="str">
        <f t="shared" si="422"/>
        <v/>
      </c>
      <c r="BE1115" t="str">
        <f t="shared" si="423"/>
        <v/>
      </c>
      <c r="BF1115" t="str">
        <f t="shared" si="424"/>
        <v/>
      </c>
      <c r="BG1115" t="str">
        <f t="shared" si="425"/>
        <v/>
      </c>
      <c r="BH1115" t="str">
        <f t="shared" si="426"/>
        <v/>
      </c>
      <c r="BI1115" t="str">
        <f t="shared" si="427"/>
        <v/>
      </c>
      <c r="BJ1115" t="str">
        <f t="shared" si="428"/>
        <v/>
      </c>
      <c r="BK1115" t="str">
        <f t="shared" si="429"/>
        <v/>
      </c>
      <c r="BL1115" t="str">
        <f t="shared" si="430"/>
        <v/>
      </c>
      <c r="BM1115" t="str">
        <f t="shared" si="431"/>
        <v/>
      </c>
      <c r="BN1115" t="str">
        <f t="shared" si="432"/>
        <v/>
      </c>
      <c r="BO1115" t="str">
        <f t="shared" si="433"/>
        <v/>
      </c>
      <c r="BP1115" t="str">
        <f t="shared" si="434"/>
        <v/>
      </c>
      <c r="BQ1115" t="str">
        <f t="shared" si="435"/>
        <v/>
      </c>
      <c r="BR1115" t="str">
        <f t="shared" si="436"/>
        <v/>
      </c>
      <c r="BS1115" t="str">
        <f t="shared" si="437"/>
        <v/>
      </c>
      <c r="BT1115" t="str">
        <f t="shared" si="438"/>
        <v/>
      </c>
      <c r="BU1115" t="str">
        <f t="shared" si="439"/>
        <v/>
      </c>
    </row>
    <row r="1116" spans="1:73">
      <c r="A1116" s="1">
        <v>114596</v>
      </c>
      <c r="B1116" t="str">
        <f>VLOOKUP($A1116,[1]Table!$A$2:$N1263,B$1,FALSE)</f>
        <v>N05AH03</v>
      </c>
      <c r="C1116" t="str">
        <f>VLOOKUP($A1116,[1]Table!$A$2:$N1263,C$1,FALSE)</f>
        <v>PSYCHOLEPTICA</v>
      </c>
      <c r="D1116" t="str">
        <f>VLOOKUP($A1116,[1]Table!$A$2:$N1263,D$1,FALSE)</f>
        <v>ANTIPSYCHOTICA</v>
      </c>
      <c r="E1116" t="str">
        <f>VLOOKUP($A1116,[1]Table!$A$2:$N1263,E$1,FALSE)</f>
        <v>OLANZAPINE</v>
      </c>
      <c r="F1116" t="str">
        <f>VLOOKUP($A1116,[1]Table!$A$2:$N1263,F$1,FALSE)</f>
        <v>ZYPREXA VELOTAB 5 MG SMELTTABLET</v>
      </c>
      <c r="G1116" t="str">
        <f>VLOOKUP($A1116,[1]Table!$A$2:$N1263,G$1,FALSE)</f>
        <v>OLANZAPINE 5MG SMELTTABLET</v>
      </c>
      <c r="H1116" t="str">
        <f>VLOOKUP($A1116,[1]Table!$A$2:$N1263,H$1,FALSE)</f>
        <v>smelttablet</v>
      </c>
      <c r="I1116" t="str">
        <f>VLOOKUP($A1116,[1]Table!$A$2:$N1263,I$1,FALSE)</f>
        <v>or</v>
      </c>
      <c r="J1116">
        <f>VLOOKUP($A1116,[1]Table!$A$2:$N1263,J$1,FALSE)</f>
        <v>5</v>
      </c>
      <c r="K1116" t="str">
        <f>VLOOKUP($A1116,[1]Table!$A$2:$N1263,K$1,FALSE)</f>
        <v>mg/stuk</v>
      </c>
      <c r="L1116">
        <f>VLOOKUP($A1116,[1]Table!$A$2:$N1263,L$1,FALSE)</f>
        <v>5</v>
      </c>
      <c r="M1116" t="str">
        <f>VLOOKUP($A1116,[1]Table!$A$2:$N1263,M$1,FALSE)</f>
        <v>mg</v>
      </c>
      <c r="N1116" t="str">
        <f>VLOOKUP($A1116,[1]Table!$A$2:$N1263,N$1,FALSE)</f>
        <v>Autisme spectrum stoornis (ASS), manie en psychose</v>
      </c>
      <c r="O1116" t="str">
        <f>ConcatenateRange(AZ1116:BU1116,"||")</f>
        <v/>
      </c>
      <c r="AZ1116" t="str">
        <f t="shared" si="418"/>
        <v/>
      </c>
      <c r="BA1116" t="str">
        <f t="shared" si="419"/>
        <v/>
      </c>
      <c r="BB1116" t="str">
        <f t="shared" si="420"/>
        <v/>
      </c>
      <c r="BC1116" t="str">
        <f t="shared" si="421"/>
        <v/>
      </c>
      <c r="BD1116" t="str">
        <f t="shared" si="422"/>
        <v/>
      </c>
      <c r="BE1116" t="str">
        <f t="shared" si="423"/>
        <v/>
      </c>
      <c r="BF1116" t="str">
        <f t="shared" si="424"/>
        <v/>
      </c>
      <c r="BG1116" t="str">
        <f t="shared" si="425"/>
        <v/>
      </c>
      <c r="BH1116" t="str">
        <f t="shared" si="426"/>
        <v/>
      </c>
      <c r="BI1116" t="str">
        <f t="shared" si="427"/>
        <v/>
      </c>
      <c r="BJ1116" t="str">
        <f t="shared" si="428"/>
        <v/>
      </c>
      <c r="BK1116" t="str">
        <f t="shared" si="429"/>
        <v/>
      </c>
      <c r="BL1116" t="str">
        <f t="shared" si="430"/>
        <v/>
      </c>
      <c r="BM1116" t="str">
        <f t="shared" si="431"/>
        <v/>
      </c>
      <c r="BN1116" t="str">
        <f t="shared" si="432"/>
        <v/>
      </c>
      <c r="BO1116" t="str">
        <f t="shared" si="433"/>
        <v/>
      </c>
      <c r="BP1116" t="str">
        <f t="shared" si="434"/>
        <v/>
      </c>
      <c r="BQ1116" t="str">
        <f t="shared" si="435"/>
        <v/>
      </c>
      <c r="BR1116" t="str">
        <f t="shared" si="436"/>
        <v/>
      </c>
      <c r="BS1116" t="str">
        <f t="shared" si="437"/>
        <v/>
      </c>
      <c r="BT1116" t="str">
        <f t="shared" si="438"/>
        <v/>
      </c>
      <c r="BU1116" t="str">
        <f t="shared" si="439"/>
        <v/>
      </c>
    </row>
    <row r="1117" spans="1:73">
      <c r="A1117" s="1">
        <v>114588</v>
      </c>
      <c r="B1117" t="str">
        <f>VLOOKUP($A1117,[1]Table!$A$2:$N1264,B$1,FALSE)</f>
        <v>N05AH03</v>
      </c>
      <c r="C1117" t="str">
        <f>VLOOKUP($A1117,[1]Table!$A$2:$N1264,C$1,FALSE)</f>
        <v>PSYCHOLEPTICA</v>
      </c>
      <c r="D1117" t="str">
        <f>VLOOKUP($A1117,[1]Table!$A$2:$N1264,D$1,FALSE)</f>
        <v>ANTIPSYCHOTICA</v>
      </c>
      <c r="E1117" t="str">
        <f>VLOOKUP($A1117,[1]Table!$A$2:$N1264,E$1,FALSE)</f>
        <v>OLANZAPINE</v>
      </c>
      <c r="F1117" t="str">
        <f>VLOOKUP($A1117,[1]Table!$A$2:$N1264,F$1,FALSE)</f>
        <v>ZYPREXA VELOTAB 10 MG SMELTTABLET</v>
      </c>
      <c r="G1117" t="str">
        <f>VLOOKUP($A1117,[1]Table!$A$2:$N1264,G$1,FALSE)</f>
        <v>OLANZAPINE 10MG SMELTTABLET</v>
      </c>
      <c r="H1117" t="str">
        <f>VLOOKUP($A1117,[1]Table!$A$2:$N1264,H$1,FALSE)</f>
        <v>smelttablet</v>
      </c>
      <c r="I1117" t="str">
        <f>VLOOKUP($A1117,[1]Table!$A$2:$N1264,I$1,FALSE)</f>
        <v>or</v>
      </c>
      <c r="J1117">
        <f>VLOOKUP($A1117,[1]Table!$A$2:$N1264,J$1,FALSE)</f>
        <v>10</v>
      </c>
      <c r="K1117" t="str">
        <f>VLOOKUP($A1117,[1]Table!$A$2:$N1264,K$1,FALSE)</f>
        <v>mg/stuk</v>
      </c>
      <c r="L1117">
        <f>VLOOKUP($A1117,[1]Table!$A$2:$N1264,L$1,FALSE)</f>
        <v>10</v>
      </c>
      <c r="M1117" t="str">
        <f>VLOOKUP($A1117,[1]Table!$A$2:$N1264,M$1,FALSE)</f>
        <v>mg</v>
      </c>
      <c r="N1117" t="str">
        <f>VLOOKUP($A1117,[1]Table!$A$2:$N1264,N$1,FALSE)</f>
        <v>Autisme spectrum stoornis (ASS), manie en psychose</v>
      </c>
      <c r="O1117" t="str">
        <f>ConcatenateRange(AZ1117:BU1117,"||")</f>
        <v/>
      </c>
      <c r="AZ1117" t="str">
        <f t="shared" si="418"/>
        <v/>
      </c>
      <c r="BA1117" t="str">
        <f t="shared" si="419"/>
        <v/>
      </c>
      <c r="BB1117" t="str">
        <f t="shared" si="420"/>
        <v/>
      </c>
      <c r="BC1117" t="str">
        <f t="shared" si="421"/>
        <v/>
      </c>
      <c r="BD1117" t="str">
        <f t="shared" si="422"/>
        <v/>
      </c>
      <c r="BE1117" t="str">
        <f t="shared" si="423"/>
        <v/>
      </c>
      <c r="BF1117" t="str">
        <f t="shared" si="424"/>
        <v/>
      </c>
      <c r="BG1117" t="str">
        <f t="shared" si="425"/>
        <v/>
      </c>
      <c r="BH1117" t="str">
        <f t="shared" si="426"/>
        <v/>
      </c>
      <c r="BI1117" t="str">
        <f t="shared" si="427"/>
        <v/>
      </c>
      <c r="BJ1117" t="str">
        <f t="shared" si="428"/>
        <v/>
      </c>
      <c r="BK1117" t="str">
        <f t="shared" si="429"/>
        <v/>
      </c>
      <c r="BL1117" t="str">
        <f t="shared" si="430"/>
        <v/>
      </c>
      <c r="BM1117" t="str">
        <f t="shared" si="431"/>
        <v/>
      </c>
      <c r="BN1117" t="str">
        <f t="shared" si="432"/>
        <v/>
      </c>
      <c r="BO1117" t="str">
        <f t="shared" si="433"/>
        <v/>
      </c>
      <c r="BP1117" t="str">
        <f t="shared" si="434"/>
        <v/>
      </c>
      <c r="BQ1117" t="str">
        <f t="shared" si="435"/>
        <v/>
      </c>
      <c r="BR1117" t="str">
        <f t="shared" si="436"/>
        <v/>
      </c>
      <c r="BS1117" t="str">
        <f t="shared" si="437"/>
        <v/>
      </c>
      <c r="BT1117" t="str">
        <f t="shared" si="438"/>
        <v/>
      </c>
      <c r="BU1117" t="str">
        <f t="shared" si="439"/>
        <v/>
      </c>
    </row>
    <row r="1118" spans="1:73">
      <c r="A1118" s="1">
        <v>114847</v>
      </c>
      <c r="B1118" t="str">
        <f>VLOOKUP($A1118,[1]Table!$A$2:$N1265,B$1,FALSE)</f>
        <v>N05AH03</v>
      </c>
      <c r="C1118" t="str">
        <f>VLOOKUP($A1118,[1]Table!$A$2:$N1265,C$1,FALSE)</f>
        <v>PSYCHOLEPTICA</v>
      </c>
      <c r="D1118" t="str">
        <f>VLOOKUP($A1118,[1]Table!$A$2:$N1265,D$1,FALSE)</f>
        <v>ANTIPSYCHOTICA</v>
      </c>
      <c r="E1118" t="str">
        <f>VLOOKUP($A1118,[1]Table!$A$2:$N1265,E$1,FALSE)</f>
        <v>OLANZAPINE</v>
      </c>
      <c r="F1118" t="str">
        <f>VLOOKUP($A1118,[1]Table!$A$2:$N1265,F$1,FALSE)</f>
        <v>ZYPREXA VELOTAB 15 MG SMELTTABLET</v>
      </c>
      <c r="G1118" t="str">
        <f>VLOOKUP($A1118,[1]Table!$A$2:$N1265,G$1,FALSE)</f>
        <v>OLANZAPINE 15MG SMELTTABLET</v>
      </c>
      <c r="H1118" t="str">
        <f>VLOOKUP($A1118,[1]Table!$A$2:$N1265,H$1,FALSE)</f>
        <v>smelttablet</v>
      </c>
      <c r="I1118" t="str">
        <f>VLOOKUP($A1118,[1]Table!$A$2:$N1265,I$1,FALSE)</f>
        <v>or</v>
      </c>
      <c r="J1118">
        <f>VLOOKUP($A1118,[1]Table!$A$2:$N1265,J$1,FALSE)</f>
        <v>15</v>
      </c>
      <c r="K1118" t="str">
        <f>VLOOKUP($A1118,[1]Table!$A$2:$N1265,K$1,FALSE)</f>
        <v>mg/stuk</v>
      </c>
      <c r="L1118">
        <f>VLOOKUP($A1118,[1]Table!$A$2:$N1265,L$1,FALSE)</f>
        <v>15</v>
      </c>
      <c r="M1118" t="str">
        <f>VLOOKUP($A1118,[1]Table!$A$2:$N1265,M$1,FALSE)</f>
        <v>mg</v>
      </c>
      <c r="N1118" t="str">
        <f>VLOOKUP($A1118,[1]Table!$A$2:$N1265,N$1,FALSE)</f>
        <v>Autisme spectrum stoornis (ASS), manie en psychose</v>
      </c>
      <c r="O1118" t="str">
        <f>ConcatenateRange(AZ1118:BU1118,"||")</f>
        <v/>
      </c>
      <c r="AZ1118" t="str">
        <f t="shared" si="418"/>
        <v/>
      </c>
      <c r="BA1118" t="str">
        <f t="shared" si="419"/>
        <v/>
      </c>
      <c r="BB1118" t="str">
        <f t="shared" si="420"/>
        <v/>
      </c>
      <c r="BC1118" t="str">
        <f t="shared" si="421"/>
        <v/>
      </c>
      <c r="BD1118" t="str">
        <f t="shared" si="422"/>
        <v/>
      </c>
      <c r="BE1118" t="str">
        <f t="shared" si="423"/>
        <v/>
      </c>
      <c r="BF1118" t="str">
        <f t="shared" si="424"/>
        <v/>
      </c>
      <c r="BG1118" t="str">
        <f t="shared" si="425"/>
        <v/>
      </c>
      <c r="BH1118" t="str">
        <f t="shared" si="426"/>
        <v/>
      </c>
      <c r="BI1118" t="str">
        <f t="shared" si="427"/>
        <v/>
      </c>
      <c r="BJ1118" t="str">
        <f t="shared" si="428"/>
        <v/>
      </c>
      <c r="BK1118" t="str">
        <f t="shared" si="429"/>
        <v/>
      </c>
      <c r="BL1118" t="str">
        <f t="shared" si="430"/>
        <v/>
      </c>
      <c r="BM1118" t="str">
        <f t="shared" si="431"/>
        <v/>
      </c>
      <c r="BN1118" t="str">
        <f t="shared" si="432"/>
        <v/>
      </c>
      <c r="BO1118" t="str">
        <f t="shared" si="433"/>
        <v/>
      </c>
      <c r="BP1118" t="str">
        <f t="shared" si="434"/>
        <v/>
      </c>
      <c r="BQ1118" t="str">
        <f t="shared" si="435"/>
        <v/>
      </c>
      <c r="BR1118" t="str">
        <f t="shared" si="436"/>
        <v/>
      </c>
      <c r="BS1118" t="str">
        <f t="shared" si="437"/>
        <v/>
      </c>
      <c r="BT1118" t="str">
        <f t="shared" si="438"/>
        <v/>
      </c>
      <c r="BU1118" t="str">
        <f t="shared" si="439"/>
        <v/>
      </c>
    </row>
    <row r="1119" spans="1:73">
      <c r="A1119" s="1">
        <v>117781</v>
      </c>
      <c r="B1119" t="str">
        <f>VLOOKUP($A1119,[1]Table!$A$2:$N1266,B$1,FALSE)</f>
        <v>N05AH03</v>
      </c>
      <c r="C1119" t="str">
        <f>VLOOKUP($A1119,[1]Table!$A$2:$N1266,C$1,FALSE)</f>
        <v>PSYCHOLEPTICA</v>
      </c>
      <c r="D1119" t="str">
        <f>VLOOKUP($A1119,[1]Table!$A$2:$N1266,D$1,FALSE)</f>
        <v>ANTIPSYCHOTICA</v>
      </c>
      <c r="E1119" t="str">
        <f>VLOOKUP($A1119,[1]Table!$A$2:$N1266,E$1,FALSE)</f>
        <v>OLANZAPINE</v>
      </c>
      <c r="F1119" t="str">
        <f>VLOOKUP($A1119,[1]Table!$A$2:$N1266,F$1,FALSE)</f>
        <v>ZYPREXA VELOTAB 20 MG SMELTTABLET</v>
      </c>
      <c r="G1119" t="str">
        <f>VLOOKUP($A1119,[1]Table!$A$2:$N1266,G$1,FALSE)</f>
        <v>OLANZAPINE 20MG SMELTTABLET</v>
      </c>
      <c r="H1119" t="str">
        <f>VLOOKUP($A1119,[1]Table!$A$2:$N1266,H$1,FALSE)</f>
        <v>smelttablet</v>
      </c>
      <c r="I1119" t="str">
        <f>VLOOKUP($A1119,[1]Table!$A$2:$N1266,I$1,FALSE)</f>
        <v>or</v>
      </c>
      <c r="J1119">
        <f>VLOOKUP($A1119,[1]Table!$A$2:$N1266,J$1,FALSE)</f>
        <v>20</v>
      </c>
      <c r="K1119" t="str">
        <f>VLOOKUP($A1119,[1]Table!$A$2:$N1266,K$1,FALSE)</f>
        <v>mg/stuk</v>
      </c>
      <c r="L1119">
        <f>VLOOKUP($A1119,[1]Table!$A$2:$N1266,L$1,FALSE)</f>
        <v>20</v>
      </c>
      <c r="M1119" t="str">
        <f>VLOOKUP($A1119,[1]Table!$A$2:$N1266,M$1,FALSE)</f>
        <v>mg</v>
      </c>
      <c r="N1119" t="str">
        <f>VLOOKUP($A1119,[1]Table!$A$2:$N1266,N$1,FALSE)</f>
        <v>Autisme spectrum stoornis (ASS), manie en psychose</v>
      </c>
      <c r="O1119" t="str">
        <f>ConcatenateRange(AZ1119:BU1119,"||")</f>
        <v/>
      </c>
      <c r="AZ1119" t="str">
        <f t="shared" si="418"/>
        <v/>
      </c>
      <c r="BA1119" t="str">
        <f t="shared" si="419"/>
        <v/>
      </c>
      <c r="BB1119" t="str">
        <f t="shared" si="420"/>
        <v/>
      </c>
      <c r="BC1119" t="str">
        <f t="shared" si="421"/>
        <v/>
      </c>
      <c r="BD1119" t="str">
        <f t="shared" si="422"/>
        <v/>
      </c>
      <c r="BE1119" t="str">
        <f t="shared" si="423"/>
        <v/>
      </c>
      <c r="BF1119" t="str">
        <f t="shared" si="424"/>
        <v/>
      </c>
      <c r="BG1119" t="str">
        <f t="shared" si="425"/>
        <v/>
      </c>
      <c r="BH1119" t="str">
        <f t="shared" si="426"/>
        <v/>
      </c>
      <c r="BI1119" t="str">
        <f t="shared" si="427"/>
        <v/>
      </c>
      <c r="BJ1119" t="str">
        <f t="shared" si="428"/>
        <v/>
      </c>
      <c r="BK1119" t="str">
        <f t="shared" si="429"/>
        <v/>
      </c>
      <c r="BL1119" t="str">
        <f t="shared" si="430"/>
        <v/>
      </c>
      <c r="BM1119" t="str">
        <f t="shared" si="431"/>
        <v/>
      </c>
      <c r="BN1119" t="str">
        <f t="shared" si="432"/>
        <v/>
      </c>
      <c r="BO1119" t="str">
        <f t="shared" si="433"/>
        <v/>
      </c>
      <c r="BP1119" t="str">
        <f t="shared" si="434"/>
        <v/>
      </c>
      <c r="BQ1119" t="str">
        <f t="shared" si="435"/>
        <v/>
      </c>
      <c r="BR1119" t="str">
        <f t="shared" si="436"/>
        <v/>
      </c>
      <c r="BS1119" t="str">
        <f t="shared" si="437"/>
        <v/>
      </c>
      <c r="BT1119" t="str">
        <f t="shared" si="438"/>
        <v/>
      </c>
      <c r="BU1119" t="str">
        <f t="shared" si="439"/>
        <v/>
      </c>
    </row>
    <row r="1120" spans="1:73">
      <c r="A1120" s="1">
        <v>115096</v>
      </c>
      <c r="B1120" t="str">
        <f>VLOOKUP($A1120,[1]Table!$A$2:$N1267,B$1,FALSE)</f>
        <v>N05AH03</v>
      </c>
      <c r="C1120" t="str">
        <f>VLOOKUP($A1120,[1]Table!$A$2:$N1267,C$1,FALSE)</f>
        <v>PSYCHOLEPTICA</v>
      </c>
      <c r="D1120" t="str">
        <f>VLOOKUP($A1120,[1]Table!$A$2:$N1267,D$1,FALSE)</f>
        <v>ANTIPSYCHOTICA</v>
      </c>
      <c r="E1120" t="str">
        <f>VLOOKUP($A1120,[1]Table!$A$2:$N1267,E$1,FALSE)</f>
        <v>OLANZAPINE</v>
      </c>
      <c r="F1120" t="str">
        <f>VLOOKUP($A1120,[1]Table!$A$2:$N1267,F$1,FALSE)</f>
        <v>ZYPREXA 2.5 MG TABLET OMHULD</v>
      </c>
      <c r="G1120" t="str">
        <f>VLOOKUP($A1120,[1]Table!$A$2:$N1267,G$1,FALSE)</f>
        <v>OLANZAPINE 2,5MG TABLET</v>
      </c>
      <c r="H1120" t="str">
        <f>VLOOKUP($A1120,[1]Table!$A$2:$N1267,H$1,FALSE)</f>
        <v>tablet</v>
      </c>
      <c r="I1120" t="str">
        <f>VLOOKUP($A1120,[1]Table!$A$2:$N1267,I$1,FALSE)</f>
        <v>or</v>
      </c>
      <c r="J1120">
        <f>VLOOKUP($A1120,[1]Table!$A$2:$N1267,J$1,FALSE)</f>
        <v>2.5</v>
      </c>
      <c r="K1120" t="str">
        <f>VLOOKUP($A1120,[1]Table!$A$2:$N1267,K$1,FALSE)</f>
        <v>mg/stuk</v>
      </c>
      <c r="L1120">
        <f>VLOOKUP($A1120,[1]Table!$A$2:$N1267,L$1,FALSE)</f>
        <v>2.5</v>
      </c>
      <c r="M1120" t="str">
        <f>VLOOKUP($A1120,[1]Table!$A$2:$N1267,M$1,FALSE)</f>
        <v>mg</v>
      </c>
      <c r="N1120" t="str">
        <f>VLOOKUP($A1120,[1]Table!$A$2:$N1267,N$1,FALSE)</f>
        <v>Autisme spectrum stoornis (ASS), manie en psychose</v>
      </c>
      <c r="O1120" t="str">
        <f>ConcatenateRange(AZ1120:BU1120,"||")</f>
        <v/>
      </c>
      <c r="AZ1120" t="str">
        <f t="shared" si="418"/>
        <v/>
      </c>
      <c r="BA1120" t="str">
        <f t="shared" si="419"/>
        <v/>
      </c>
      <c r="BB1120" t="str">
        <f t="shared" si="420"/>
        <v/>
      </c>
      <c r="BC1120" t="str">
        <f t="shared" si="421"/>
        <v/>
      </c>
      <c r="BD1120" t="str">
        <f t="shared" si="422"/>
        <v/>
      </c>
      <c r="BE1120" t="str">
        <f t="shared" si="423"/>
        <v/>
      </c>
      <c r="BF1120" t="str">
        <f t="shared" si="424"/>
        <v/>
      </c>
      <c r="BG1120" t="str">
        <f t="shared" si="425"/>
        <v/>
      </c>
      <c r="BH1120" t="str">
        <f t="shared" si="426"/>
        <v/>
      </c>
      <c r="BI1120" t="str">
        <f t="shared" si="427"/>
        <v/>
      </c>
      <c r="BJ1120" t="str">
        <f t="shared" si="428"/>
        <v/>
      </c>
      <c r="BK1120" t="str">
        <f t="shared" si="429"/>
        <v/>
      </c>
      <c r="BL1120" t="str">
        <f t="shared" si="430"/>
        <v/>
      </c>
      <c r="BM1120" t="str">
        <f t="shared" si="431"/>
        <v/>
      </c>
      <c r="BN1120" t="str">
        <f t="shared" si="432"/>
        <v/>
      </c>
      <c r="BO1120" t="str">
        <f t="shared" si="433"/>
        <v/>
      </c>
      <c r="BP1120" t="str">
        <f t="shared" si="434"/>
        <v/>
      </c>
      <c r="BQ1120" t="str">
        <f t="shared" si="435"/>
        <v/>
      </c>
      <c r="BR1120" t="str">
        <f t="shared" si="436"/>
        <v/>
      </c>
      <c r="BS1120" t="str">
        <f t="shared" si="437"/>
        <v/>
      </c>
      <c r="BT1120" t="str">
        <f t="shared" si="438"/>
        <v/>
      </c>
      <c r="BU1120" t="str">
        <f t="shared" si="439"/>
        <v/>
      </c>
    </row>
    <row r="1121" spans="1:73">
      <c r="A1121" s="1">
        <v>99953</v>
      </c>
      <c r="B1121" t="str">
        <f>VLOOKUP($A1121,[1]Table!$A$2:$N1268,B$1,FALSE)</f>
        <v>N05AH03</v>
      </c>
      <c r="C1121" t="str">
        <f>VLOOKUP($A1121,[1]Table!$A$2:$N1268,C$1,FALSE)</f>
        <v>PSYCHOLEPTICA</v>
      </c>
      <c r="D1121" t="str">
        <f>VLOOKUP($A1121,[1]Table!$A$2:$N1268,D$1,FALSE)</f>
        <v>ANTIPSYCHOTICA</v>
      </c>
      <c r="E1121" t="str">
        <f>VLOOKUP($A1121,[1]Table!$A$2:$N1268,E$1,FALSE)</f>
        <v>OLANZAPINE</v>
      </c>
      <c r="F1121" t="str">
        <f>VLOOKUP($A1121,[1]Table!$A$2:$N1268,F$1,FALSE)</f>
        <v>ZYPREXA 5 MG TABLET</v>
      </c>
      <c r="G1121" t="str">
        <f>VLOOKUP($A1121,[1]Table!$A$2:$N1268,G$1,FALSE)</f>
        <v>OLANZAPINE 5MG TABLET</v>
      </c>
      <c r="H1121" t="str">
        <f>VLOOKUP($A1121,[1]Table!$A$2:$N1268,H$1,FALSE)</f>
        <v>tablet</v>
      </c>
      <c r="I1121" t="str">
        <f>VLOOKUP($A1121,[1]Table!$A$2:$N1268,I$1,FALSE)</f>
        <v>or</v>
      </c>
      <c r="J1121">
        <f>VLOOKUP($A1121,[1]Table!$A$2:$N1268,J$1,FALSE)</f>
        <v>5</v>
      </c>
      <c r="K1121" t="str">
        <f>VLOOKUP($A1121,[1]Table!$A$2:$N1268,K$1,FALSE)</f>
        <v>mg/stuk</v>
      </c>
      <c r="L1121">
        <f>VLOOKUP($A1121,[1]Table!$A$2:$N1268,L$1,FALSE)</f>
        <v>5</v>
      </c>
      <c r="M1121" t="str">
        <f>VLOOKUP($A1121,[1]Table!$A$2:$N1268,M$1,FALSE)</f>
        <v>mg</v>
      </c>
      <c r="N1121" t="str">
        <f>VLOOKUP($A1121,[1]Table!$A$2:$N1268,N$1,FALSE)</f>
        <v>Autisme spectrum stoornis (ASS), manie en psychose</v>
      </c>
      <c r="O1121" t="str">
        <f>ConcatenateRange(AZ1121:BU1121,"||")</f>
        <v/>
      </c>
      <c r="AZ1121" t="str">
        <f t="shared" si="418"/>
        <v/>
      </c>
      <c r="BA1121" t="str">
        <f t="shared" si="419"/>
        <v/>
      </c>
      <c r="BB1121" t="str">
        <f t="shared" si="420"/>
        <v/>
      </c>
      <c r="BC1121" t="str">
        <f t="shared" si="421"/>
        <v/>
      </c>
      <c r="BD1121" t="str">
        <f t="shared" si="422"/>
        <v/>
      </c>
      <c r="BE1121" t="str">
        <f t="shared" si="423"/>
        <v/>
      </c>
      <c r="BF1121" t="str">
        <f t="shared" si="424"/>
        <v/>
      </c>
      <c r="BG1121" t="str">
        <f t="shared" si="425"/>
        <v/>
      </c>
      <c r="BH1121" t="str">
        <f t="shared" si="426"/>
        <v/>
      </c>
      <c r="BI1121" t="str">
        <f t="shared" si="427"/>
        <v/>
      </c>
      <c r="BJ1121" t="str">
        <f t="shared" si="428"/>
        <v/>
      </c>
      <c r="BK1121" t="str">
        <f t="shared" si="429"/>
        <v/>
      </c>
      <c r="BL1121" t="str">
        <f t="shared" si="430"/>
        <v/>
      </c>
      <c r="BM1121" t="str">
        <f t="shared" si="431"/>
        <v/>
      </c>
      <c r="BN1121" t="str">
        <f t="shared" si="432"/>
        <v/>
      </c>
      <c r="BO1121" t="str">
        <f t="shared" si="433"/>
        <v/>
      </c>
      <c r="BP1121" t="str">
        <f t="shared" si="434"/>
        <v/>
      </c>
      <c r="BQ1121" t="str">
        <f t="shared" si="435"/>
        <v/>
      </c>
      <c r="BR1121" t="str">
        <f t="shared" si="436"/>
        <v/>
      </c>
      <c r="BS1121" t="str">
        <f t="shared" si="437"/>
        <v/>
      </c>
      <c r="BT1121" t="str">
        <f t="shared" si="438"/>
        <v/>
      </c>
      <c r="BU1121" t="str">
        <f t="shared" si="439"/>
        <v/>
      </c>
    </row>
    <row r="1122" spans="1:73">
      <c r="A1122" s="1">
        <v>99988</v>
      </c>
      <c r="B1122" t="str">
        <f>VLOOKUP($A1122,[1]Table!$A$2:$N1269,B$1,FALSE)</f>
        <v>N05AH03</v>
      </c>
      <c r="C1122" t="str">
        <f>VLOOKUP($A1122,[1]Table!$A$2:$N1269,C$1,FALSE)</f>
        <v>PSYCHOLEPTICA</v>
      </c>
      <c r="D1122" t="str">
        <f>VLOOKUP($A1122,[1]Table!$A$2:$N1269,D$1,FALSE)</f>
        <v>ANTIPSYCHOTICA</v>
      </c>
      <c r="E1122" t="str">
        <f>VLOOKUP($A1122,[1]Table!$A$2:$N1269,E$1,FALSE)</f>
        <v>OLANZAPINE</v>
      </c>
      <c r="F1122" t="str">
        <f>VLOOKUP($A1122,[1]Table!$A$2:$N1269,F$1,FALSE)</f>
        <v>ZYPREXA 10 MG TABLET OMHULD</v>
      </c>
      <c r="G1122" t="str">
        <f>VLOOKUP($A1122,[1]Table!$A$2:$N1269,G$1,FALSE)</f>
        <v>OLANZAPINE 10MG TABLET</v>
      </c>
      <c r="H1122" t="str">
        <f>VLOOKUP($A1122,[1]Table!$A$2:$N1269,H$1,FALSE)</f>
        <v>tablet</v>
      </c>
      <c r="I1122" t="str">
        <f>VLOOKUP($A1122,[1]Table!$A$2:$N1269,I$1,FALSE)</f>
        <v>or</v>
      </c>
      <c r="J1122">
        <f>VLOOKUP($A1122,[1]Table!$A$2:$N1269,J$1,FALSE)</f>
        <v>10</v>
      </c>
      <c r="K1122" t="str">
        <f>VLOOKUP($A1122,[1]Table!$A$2:$N1269,K$1,FALSE)</f>
        <v>mg/stuk</v>
      </c>
      <c r="L1122">
        <f>VLOOKUP($A1122,[1]Table!$A$2:$N1269,L$1,FALSE)</f>
        <v>10</v>
      </c>
      <c r="M1122" t="str">
        <f>VLOOKUP($A1122,[1]Table!$A$2:$N1269,M$1,FALSE)</f>
        <v>mg</v>
      </c>
      <c r="N1122" t="str">
        <f>VLOOKUP($A1122,[1]Table!$A$2:$N1269,N$1,FALSE)</f>
        <v>Autisme spectrum stoornis (ASS), manie en psychose</v>
      </c>
      <c r="O1122" t="str">
        <f>ConcatenateRange(AZ1122:BU1122,"||")</f>
        <v/>
      </c>
      <c r="AZ1122" t="str">
        <f t="shared" si="418"/>
        <v/>
      </c>
      <c r="BA1122" t="str">
        <f t="shared" si="419"/>
        <v/>
      </c>
      <c r="BB1122" t="str">
        <f t="shared" si="420"/>
        <v/>
      </c>
      <c r="BC1122" t="str">
        <f t="shared" si="421"/>
        <v/>
      </c>
      <c r="BD1122" t="str">
        <f t="shared" si="422"/>
        <v/>
      </c>
      <c r="BE1122" t="str">
        <f t="shared" si="423"/>
        <v/>
      </c>
      <c r="BF1122" t="str">
        <f t="shared" si="424"/>
        <v/>
      </c>
      <c r="BG1122" t="str">
        <f t="shared" si="425"/>
        <v/>
      </c>
      <c r="BH1122" t="str">
        <f t="shared" si="426"/>
        <v/>
      </c>
      <c r="BI1122" t="str">
        <f t="shared" si="427"/>
        <v/>
      </c>
      <c r="BJ1122" t="str">
        <f t="shared" si="428"/>
        <v/>
      </c>
      <c r="BK1122" t="str">
        <f t="shared" si="429"/>
        <v/>
      </c>
      <c r="BL1122" t="str">
        <f t="shared" si="430"/>
        <v/>
      </c>
      <c r="BM1122" t="str">
        <f t="shared" si="431"/>
        <v/>
      </c>
      <c r="BN1122" t="str">
        <f t="shared" si="432"/>
        <v/>
      </c>
      <c r="BO1122" t="str">
        <f t="shared" si="433"/>
        <v/>
      </c>
      <c r="BP1122" t="str">
        <f t="shared" si="434"/>
        <v/>
      </c>
      <c r="BQ1122" t="str">
        <f t="shared" si="435"/>
        <v/>
      </c>
      <c r="BR1122" t="str">
        <f t="shared" si="436"/>
        <v/>
      </c>
      <c r="BS1122" t="str">
        <f t="shared" si="437"/>
        <v/>
      </c>
      <c r="BT1122" t="str">
        <f t="shared" si="438"/>
        <v/>
      </c>
      <c r="BU1122" t="str">
        <f t="shared" si="439"/>
        <v/>
      </c>
    </row>
    <row r="1123" spans="1:73">
      <c r="A1123" s="1">
        <v>114839</v>
      </c>
      <c r="B1123" t="str">
        <f>VLOOKUP($A1123,[1]Table!$A$2:$N1270,B$1,FALSE)</f>
        <v>N05AH03</v>
      </c>
      <c r="C1123" t="str">
        <f>VLOOKUP($A1123,[1]Table!$A$2:$N1270,C$1,FALSE)</f>
        <v>PSYCHOLEPTICA</v>
      </c>
      <c r="D1123" t="str">
        <f>VLOOKUP($A1123,[1]Table!$A$2:$N1270,D$1,FALSE)</f>
        <v>ANTIPSYCHOTICA</v>
      </c>
      <c r="E1123" t="str">
        <f>VLOOKUP($A1123,[1]Table!$A$2:$N1270,E$1,FALSE)</f>
        <v>OLANZAPINE</v>
      </c>
      <c r="F1123" t="str">
        <f>VLOOKUP($A1123,[1]Table!$A$2:$N1270,F$1,FALSE)</f>
        <v>ZYPREXA 15 MG TABLET OMHULD</v>
      </c>
      <c r="G1123" t="str">
        <f>VLOOKUP($A1123,[1]Table!$A$2:$N1270,G$1,FALSE)</f>
        <v>OLANZAPINE 15MG TABLET</v>
      </c>
      <c r="H1123" t="str">
        <f>VLOOKUP($A1123,[1]Table!$A$2:$N1270,H$1,FALSE)</f>
        <v>tablet</v>
      </c>
      <c r="I1123" t="str">
        <f>VLOOKUP($A1123,[1]Table!$A$2:$N1270,I$1,FALSE)</f>
        <v>or</v>
      </c>
      <c r="J1123">
        <f>VLOOKUP($A1123,[1]Table!$A$2:$N1270,J$1,FALSE)</f>
        <v>15</v>
      </c>
      <c r="K1123" t="str">
        <f>VLOOKUP($A1123,[1]Table!$A$2:$N1270,K$1,FALSE)</f>
        <v>mg/stuk</v>
      </c>
      <c r="L1123">
        <f>VLOOKUP($A1123,[1]Table!$A$2:$N1270,L$1,FALSE)</f>
        <v>15</v>
      </c>
      <c r="M1123" t="str">
        <f>VLOOKUP($A1123,[1]Table!$A$2:$N1270,M$1,FALSE)</f>
        <v>mg</v>
      </c>
      <c r="N1123" t="str">
        <f>VLOOKUP($A1123,[1]Table!$A$2:$N1270,N$1,FALSE)</f>
        <v>Autisme spectrum stoornis (ASS), manie en psychose</v>
      </c>
      <c r="O1123" t="str">
        <f>ConcatenateRange(AZ1123:BU1123,"||")</f>
        <v/>
      </c>
      <c r="AZ1123" t="str">
        <f t="shared" si="418"/>
        <v/>
      </c>
      <c r="BA1123" t="str">
        <f t="shared" si="419"/>
        <v/>
      </c>
      <c r="BB1123" t="str">
        <f t="shared" si="420"/>
        <v/>
      </c>
      <c r="BC1123" t="str">
        <f t="shared" si="421"/>
        <v/>
      </c>
      <c r="BD1123" t="str">
        <f t="shared" si="422"/>
        <v/>
      </c>
      <c r="BE1123" t="str">
        <f t="shared" si="423"/>
        <v/>
      </c>
      <c r="BF1123" t="str">
        <f t="shared" si="424"/>
        <v/>
      </c>
      <c r="BG1123" t="str">
        <f t="shared" si="425"/>
        <v/>
      </c>
      <c r="BH1123" t="str">
        <f t="shared" si="426"/>
        <v/>
      </c>
      <c r="BI1123" t="str">
        <f t="shared" si="427"/>
        <v/>
      </c>
      <c r="BJ1123" t="str">
        <f t="shared" si="428"/>
        <v/>
      </c>
      <c r="BK1123" t="str">
        <f t="shared" si="429"/>
        <v/>
      </c>
      <c r="BL1123" t="str">
        <f t="shared" si="430"/>
        <v/>
      </c>
      <c r="BM1123" t="str">
        <f t="shared" si="431"/>
        <v/>
      </c>
      <c r="BN1123" t="str">
        <f t="shared" si="432"/>
        <v/>
      </c>
      <c r="BO1123" t="str">
        <f t="shared" si="433"/>
        <v/>
      </c>
      <c r="BP1123" t="str">
        <f t="shared" si="434"/>
        <v/>
      </c>
      <c r="BQ1123" t="str">
        <f t="shared" si="435"/>
        <v/>
      </c>
      <c r="BR1123" t="str">
        <f t="shared" si="436"/>
        <v/>
      </c>
      <c r="BS1123" t="str">
        <f t="shared" si="437"/>
        <v/>
      </c>
      <c r="BT1123" t="str">
        <f t="shared" si="438"/>
        <v/>
      </c>
      <c r="BU1123" t="str">
        <f t="shared" si="439"/>
        <v/>
      </c>
    </row>
    <row r="1124" spans="1:73">
      <c r="A1124" s="1">
        <v>117773</v>
      </c>
      <c r="B1124" t="str">
        <f>VLOOKUP($A1124,[1]Table!$A$2:$N1271,B$1,FALSE)</f>
        <v>N05AH03</v>
      </c>
      <c r="C1124" t="str">
        <f>VLOOKUP($A1124,[1]Table!$A$2:$N1271,C$1,FALSE)</f>
        <v>PSYCHOLEPTICA</v>
      </c>
      <c r="D1124" t="str">
        <f>VLOOKUP($A1124,[1]Table!$A$2:$N1271,D$1,FALSE)</f>
        <v>ANTIPSYCHOTICA</v>
      </c>
      <c r="E1124" t="str">
        <f>VLOOKUP($A1124,[1]Table!$A$2:$N1271,E$1,FALSE)</f>
        <v>OLANZAPINE</v>
      </c>
      <c r="F1124" t="str">
        <f>VLOOKUP($A1124,[1]Table!$A$2:$N1271,F$1,FALSE)</f>
        <v>ZYPREXA 20 MG TABLET OMHULD</v>
      </c>
      <c r="G1124" t="str">
        <f>VLOOKUP($A1124,[1]Table!$A$2:$N1271,G$1,FALSE)</f>
        <v>OLANZAPINE 20MG TABLET</v>
      </c>
      <c r="H1124" t="str">
        <f>VLOOKUP($A1124,[1]Table!$A$2:$N1271,H$1,FALSE)</f>
        <v>tablet</v>
      </c>
      <c r="I1124" t="str">
        <f>VLOOKUP($A1124,[1]Table!$A$2:$N1271,I$1,FALSE)</f>
        <v>or</v>
      </c>
      <c r="J1124">
        <f>VLOOKUP($A1124,[1]Table!$A$2:$N1271,J$1,FALSE)</f>
        <v>20</v>
      </c>
      <c r="K1124" t="str">
        <f>VLOOKUP($A1124,[1]Table!$A$2:$N1271,K$1,FALSE)</f>
        <v>mg/stuk</v>
      </c>
      <c r="L1124">
        <f>VLOOKUP($A1124,[1]Table!$A$2:$N1271,L$1,FALSE)</f>
        <v>20</v>
      </c>
      <c r="M1124" t="str">
        <f>VLOOKUP($A1124,[1]Table!$A$2:$N1271,M$1,FALSE)</f>
        <v>mg</v>
      </c>
      <c r="N1124" t="str">
        <f>VLOOKUP($A1124,[1]Table!$A$2:$N1271,N$1,FALSE)</f>
        <v>Autisme spectrum stoornis (ASS), manie en psychose</v>
      </c>
      <c r="O1124" t="str">
        <f>ConcatenateRange(AZ1124:BU1124,"||")</f>
        <v/>
      </c>
      <c r="AZ1124" t="str">
        <f t="shared" si="418"/>
        <v/>
      </c>
      <c r="BA1124" t="str">
        <f t="shared" si="419"/>
        <v/>
      </c>
      <c r="BB1124" t="str">
        <f t="shared" si="420"/>
        <v/>
      </c>
      <c r="BC1124" t="str">
        <f t="shared" si="421"/>
        <v/>
      </c>
      <c r="BD1124" t="str">
        <f t="shared" si="422"/>
        <v/>
      </c>
      <c r="BE1124" t="str">
        <f t="shared" si="423"/>
        <v/>
      </c>
      <c r="BF1124" t="str">
        <f t="shared" si="424"/>
        <v/>
      </c>
      <c r="BG1124" t="str">
        <f t="shared" si="425"/>
        <v/>
      </c>
      <c r="BH1124" t="str">
        <f t="shared" si="426"/>
        <v/>
      </c>
      <c r="BI1124" t="str">
        <f t="shared" si="427"/>
        <v/>
      </c>
      <c r="BJ1124" t="str">
        <f t="shared" si="428"/>
        <v/>
      </c>
      <c r="BK1124" t="str">
        <f t="shared" si="429"/>
        <v/>
      </c>
      <c r="BL1124" t="str">
        <f t="shared" si="430"/>
        <v/>
      </c>
      <c r="BM1124" t="str">
        <f t="shared" si="431"/>
        <v/>
      </c>
      <c r="BN1124" t="str">
        <f t="shared" si="432"/>
        <v/>
      </c>
      <c r="BO1124" t="str">
        <f t="shared" si="433"/>
        <v/>
      </c>
      <c r="BP1124" t="str">
        <f t="shared" si="434"/>
        <v/>
      </c>
      <c r="BQ1124" t="str">
        <f t="shared" si="435"/>
        <v/>
      </c>
      <c r="BR1124" t="str">
        <f t="shared" si="436"/>
        <v/>
      </c>
      <c r="BS1124" t="str">
        <f t="shared" si="437"/>
        <v/>
      </c>
      <c r="BT1124" t="str">
        <f t="shared" si="438"/>
        <v/>
      </c>
      <c r="BU1124" t="str">
        <f t="shared" si="439"/>
        <v/>
      </c>
    </row>
    <row r="1125" spans="1:73">
      <c r="A1125" s="1">
        <v>116424</v>
      </c>
      <c r="B1125" t="str">
        <f>VLOOKUP($A1125,[1]Table!$A$2:$N1272,B$1,FALSE)</f>
        <v>S01GX09</v>
      </c>
      <c r="C1125" t="str">
        <f>VLOOKUP($A1125,[1]Table!$A$2:$N1272,C$1,FALSE)</f>
        <v>MIDDELEN VOOR OOGHEELKUNDIG GEBRUIK</v>
      </c>
      <c r="D1125" t="str">
        <f>VLOOKUP($A1125,[1]Table!$A$2:$N1272,D$1,FALSE)</f>
        <v>DECONGESTIVA EN ALLERGIEMIDDELEN</v>
      </c>
      <c r="E1125" t="str">
        <f>VLOOKUP($A1125,[1]Table!$A$2:$N1272,E$1,FALSE)</f>
        <v>OLOPATADINE</v>
      </c>
      <c r="F1125" t="str">
        <f>VLOOKUP($A1125,[1]Table!$A$2:$N1272,F$1,FALSE)</f>
        <v>OPATANOL  1 MG/ML OOGDRUPPELS 5 ML</v>
      </c>
      <c r="G1125" t="str">
        <f>VLOOKUP($A1125,[1]Table!$A$2:$N1272,G$1,FALSE)</f>
        <v>OLOPATADINE 1MG/ML OOGDRUPP</v>
      </c>
      <c r="H1125" t="str">
        <f>VLOOKUP($A1125,[1]Table!$A$2:$N1272,H$1,FALSE)</f>
        <v>oogdruppels</v>
      </c>
      <c r="I1125" t="str">
        <f>VLOOKUP($A1125,[1]Table!$A$2:$N1272,I$1,FALSE)</f>
        <v>oog</v>
      </c>
      <c r="J1125">
        <f>VLOOKUP($A1125,[1]Table!$A$2:$N1272,J$1,FALSE)</f>
        <v>1</v>
      </c>
      <c r="K1125" t="str">
        <f>VLOOKUP($A1125,[1]Table!$A$2:$N1272,K$1,FALSE)</f>
        <v>mg/ml</v>
      </c>
      <c r="L1125">
        <f>VLOOKUP($A1125,[1]Table!$A$2:$N1272,L$1,FALSE)</f>
        <v>1</v>
      </c>
      <c r="M1125" t="str">
        <f>VLOOKUP($A1125,[1]Table!$A$2:$N1272,M$1,FALSE)</f>
        <v>mg</v>
      </c>
      <c r="N1125" t="str">
        <f>VLOOKUP($A1125,[1]Table!$A$2:$N1272,N$1,FALSE)</f>
        <v>Allergische conjunctivitis, conjunctivitis vernalis</v>
      </c>
      <c r="O1125" t="str">
        <f>ConcatenateRange(AZ1125:BU1125,"||")</f>
        <v/>
      </c>
      <c r="AZ1125" t="str">
        <f t="shared" si="418"/>
        <v/>
      </c>
      <c r="BA1125" t="str">
        <f t="shared" si="419"/>
        <v/>
      </c>
      <c r="BB1125" t="str">
        <f t="shared" si="420"/>
        <v/>
      </c>
      <c r="BC1125" t="str">
        <f t="shared" si="421"/>
        <v/>
      </c>
      <c r="BD1125" t="str">
        <f t="shared" si="422"/>
        <v/>
      </c>
      <c r="BE1125" t="str">
        <f t="shared" si="423"/>
        <v/>
      </c>
      <c r="BF1125" t="str">
        <f t="shared" si="424"/>
        <v/>
      </c>
      <c r="BG1125" t="str">
        <f t="shared" si="425"/>
        <v/>
      </c>
      <c r="BH1125" t="str">
        <f t="shared" si="426"/>
        <v/>
      </c>
      <c r="BI1125" t="str">
        <f t="shared" si="427"/>
        <v/>
      </c>
      <c r="BJ1125" t="str">
        <f t="shared" si="428"/>
        <v/>
      </c>
      <c r="BK1125" t="str">
        <f t="shared" si="429"/>
        <v/>
      </c>
      <c r="BL1125" t="str">
        <f t="shared" si="430"/>
        <v/>
      </c>
      <c r="BM1125" t="str">
        <f t="shared" si="431"/>
        <v/>
      </c>
      <c r="BN1125" t="str">
        <f t="shared" si="432"/>
        <v/>
      </c>
      <c r="BO1125" t="str">
        <f t="shared" si="433"/>
        <v/>
      </c>
      <c r="BP1125" t="str">
        <f t="shared" si="434"/>
        <v/>
      </c>
      <c r="BQ1125" t="str">
        <f t="shared" si="435"/>
        <v/>
      </c>
      <c r="BR1125" t="str">
        <f t="shared" si="436"/>
        <v/>
      </c>
      <c r="BS1125" t="str">
        <f t="shared" si="437"/>
        <v/>
      </c>
      <c r="BT1125" t="str">
        <f t="shared" si="438"/>
        <v/>
      </c>
      <c r="BU1125" t="str">
        <f t="shared" si="439"/>
        <v/>
      </c>
    </row>
    <row r="1126" spans="1:73">
      <c r="A1126" s="1">
        <v>134961</v>
      </c>
      <c r="B1126" t="str">
        <f>VLOOKUP($A1126,[1]Table!$A$2:$N1273,B$1,FALSE)</f>
        <v>R03DX05</v>
      </c>
      <c r="C1126" t="str">
        <f>VLOOKUP($A1126,[1]Table!$A$2:$N1273,C$1,FALSE)</f>
        <v>MIDDELEN BIJ ASTMA/COPD</v>
      </c>
      <c r="D1126" t="str">
        <f>VLOOKUP($A1126,[1]Table!$A$2:$N1273,D$1,FALSE)</f>
        <v>OVERIGE MIDDELEN BIJ ASTMA/COPD VOOR SYSTEMISCH GEBRUIK</v>
      </c>
      <c r="E1126" t="str">
        <f>VLOOKUP($A1126,[1]Table!$A$2:$N1273,E$1,FALSE)</f>
        <v>OMALIZUMAB</v>
      </c>
      <c r="F1126" t="str">
        <f>VLOOKUP($A1126,[1]Table!$A$2:$N1273,F$1,FALSE)</f>
        <v>XOLAIR 150 MG/ML WWSP 1 ML</v>
      </c>
      <c r="G1126" t="str">
        <f>VLOOKUP($A1126,[1]Table!$A$2:$N1273,G$1,FALSE)</f>
        <v>OMALIZUMAB 150MG/ML INJVLST</v>
      </c>
      <c r="H1126" t="str">
        <f>VLOOKUP($A1126,[1]Table!$A$2:$N1273,H$1,FALSE)</f>
        <v>injectievloeistof</v>
      </c>
      <c r="I1126" t="str">
        <f>VLOOKUP($A1126,[1]Table!$A$2:$N1273,I$1,FALSE)</f>
        <v>sc</v>
      </c>
      <c r="J1126">
        <f>VLOOKUP($A1126,[1]Table!$A$2:$N1273,J$1,FALSE)</f>
        <v>150</v>
      </c>
      <c r="K1126" t="str">
        <f>VLOOKUP($A1126,[1]Table!$A$2:$N1273,K$1,FALSE)</f>
        <v>mg/ml</v>
      </c>
      <c r="L1126">
        <f>VLOOKUP($A1126,[1]Table!$A$2:$N1273,L$1,FALSE)</f>
        <v>150</v>
      </c>
      <c r="M1126" t="str">
        <f>VLOOKUP($A1126,[1]Table!$A$2:$N1273,M$1,FALSE)</f>
        <v>mg</v>
      </c>
      <c r="N1126" t="str">
        <f>VLOOKUP($A1126,[1]Table!$A$2:$N1273,N$1,FALSE)</f>
        <v>Verbeteren astma controle bij ernstig persistent astma||Chronische urticaria</v>
      </c>
      <c r="O1126" t="str">
        <f>ConcatenateRange(AZ1126:BU1126,"||")</f>
        <v/>
      </c>
      <c r="AZ1126" t="str">
        <f t="shared" si="418"/>
        <v/>
      </c>
      <c r="BA1126" t="str">
        <f t="shared" si="419"/>
        <v/>
      </c>
      <c r="BB1126" t="str">
        <f t="shared" si="420"/>
        <v/>
      </c>
      <c r="BC1126" t="str">
        <f t="shared" si="421"/>
        <v/>
      </c>
      <c r="BD1126" t="str">
        <f t="shared" si="422"/>
        <v/>
      </c>
      <c r="BE1126" t="str">
        <f t="shared" si="423"/>
        <v/>
      </c>
      <c r="BF1126" t="str">
        <f t="shared" si="424"/>
        <v/>
      </c>
      <c r="BG1126" t="str">
        <f t="shared" si="425"/>
        <v/>
      </c>
      <c r="BH1126" t="str">
        <f t="shared" si="426"/>
        <v/>
      </c>
      <c r="BI1126" t="str">
        <f t="shared" si="427"/>
        <v/>
      </c>
      <c r="BJ1126" t="str">
        <f t="shared" si="428"/>
        <v/>
      </c>
      <c r="BK1126" t="str">
        <f t="shared" si="429"/>
        <v/>
      </c>
      <c r="BL1126" t="str">
        <f t="shared" si="430"/>
        <v/>
      </c>
      <c r="BM1126" t="str">
        <f t="shared" si="431"/>
        <v/>
      </c>
      <c r="BN1126" t="str">
        <f t="shared" si="432"/>
        <v/>
      </c>
      <c r="BO1126" t="str">
        <f t="shared" si="433"/>
        <v/>
      </c>
      <c r="BP1126" t="str">
        <f t="shared" si="434"/>
        <v/>
      </c>
      <c r="BQ1126" t="str">
        <f t="shared" si="435"/>
        <v/>
      </c>
      <c r="BR1126" t="str">
        <f t="shared" si="436"/>
        <v/>
      </c>
      <c r="BS1126" t="str">
        <f t="shared" si="437"/>
        <v/>
      </c>
      <c r="BT1126" t="str">
        <f t="shared" si="438"/>
        <v/>
      </c>
      <c r="BU1126" t="str">
        <f t="shared" si="439"/>
        <v/>
      </c>
    </row>
    <row r="1127" spans="1:73">
      <c r="A1127" s="1">
        <v>124583</v>
      </c>
      <c r="B1127" t="str">
        <f>VLOOKUP($A1127,[1]Table!$A$2:$N1274,B$1,FALSE)</f>
        <v>R03DX05</v>
      </c>
      <c r="C1127" t="str">
        <f>VLOOKUP($A1127,[1]Table!$A$2:$N1274,C$1,FALSE)</f>
        <v>MIDDELEN BIJ ASTMA/COPD</v>
      </c>
      <c r="D1127" t="str">
        <f>VLOOKUP($A1127,[1]Table!$A$2:$N1274,D$1,FALSE)</f>
        <v>OVERIGE MIDDELEN BIJ ASTMA/COPD VOOR SYSTEMISCH GEBRUIK</v>
      </c>
      <c r="E1127" t="str">
        <f>VLOOKUP($A1127,[1]Table!$A$2:$N1274,E$1,FALSE)</f>
        <v>OMALIZUMAB</v>
      </c>
      <c r="F1127" t="str">
        <f>VLOOKUP($A1127,[1]Table!$A$2:$N1274,F$1,FALSE)</f>
        <v>XOLAIR 150 MG INJECTIEPOEDER FLACON +SOLVENS</v>
      </c>
      <c r="G1127" t="str">
        <f>VLOOKUP($A1127,[1]Table!$A$2:$N1274,G$1,FALSE)</f>
        <v>OMALIZUMAB 150MG INJPDR</v>
      </c>
      <c r="H1127" t="str">
        <f>VLOOKUP($A1127,[1]Table!$A$2:$N1274,H$1,FALSE)</f>
        <v>poeder voor injectievloeistof</v>
      </c>
      <c r="I1127" t="str">
        <f>VLOOKUP($A1127,[1]Table!$A$2:$N1274,I$1,FALSE)</f>
        <v>sc</v>
      </c>
      <c r="J1127">
        <f>VLOOKUP($A1127,[1]Table!$A$2:$N1274,J$1,FALSE)</f>
        <v>150</v>
      </c>
      <c r="K1127" t="str">
        <f>VLOOKUP($A1127,[1]Table!$A$2:$N1274,K$1,FALSE)</f>
        <v>mg/stuk</v>
      </c>
      <c r="L1127">
        <f>VLOOKUP($A1127,[1]Table!$A$2:$N1274,L$1,FALSE)</f>
        <v>150</v>
      </c>
      <c r="M1127" t="str">
        <f>VLOOKUP($A1127,[1]Table!$A$2:$N1274,M$1,FALSE)</f>
        <v>mg</v>
      </c>
      <c r="N1127" t="str">
        <f>VLOOKUP($A1127,[1]Table!$A$2:$N1274,N$1,FALSE)</f>
        <v>Verbeteren astma controle bij ernstig persistent astma||Chronische urticaria</v>
      </c>
      <c r="O1127" t="str">
        <f>ConcatenateRange(AZ1127:BU1127,"||")</f>
        <v/>
      </c>
      <c r="AZ1127" t="str">
        <f t="shared" si="418"/>
        <v/>
      </c>
      <c r="BA1127" t="str">
        <f t="shared" si="419"/>
        <v/>
      </c>
      <c r="BB1127" t="str">
        <f t="shared" si="420"/>
        <v/>
      </c>
      <c r="BC1127" t="str">
        <f t="shared" si="421"/>
        <v/>
      </c>
      <c r="BD1127" t="str">
        <f t="shared" si="422"/>
        <v/>
      </c>
      <c r="BE1127" t="str">
        <f t="shared" si="423"/>
        <v/>
      </c>
      <c r="BF1127" t="str">
        <f t="shared" si="424"/>
        <v/>
      </c>
      <c r="BG1127" t="str">
        <f t="shared" si="425"/>
        <v/>
      </c>
      <c r="BH1127" t="str">
        <f t="shared" si="426"/>
        <v/>
      </c>
      <c r="BI1127" t="str">
        <f t="shared" si="427"/>
        <v/>
      </c>
      <c r="BJ1127" t="str">
        <f t="shared" si="428"/>
        <v/>
      </c>
      <c r="BK1127" t="str">
        <f t="shared" si="429"/>
        <v/>
      </c>
      <c r="BL1127" t="str">
        <f t="shared" si="430"/>
        <v/>
      </c>
      <c r="BM1127" t="str">
        <f t="shared" si="431"/>
        <v/>
      </c>
      <c r="BN1127" t="str">
        <f t="shared" si="432"/>
        <v/>
      </c>
      <c r="BO1127" t="str">
        <f t="shared" si="433"/>
        <v/>
      </c>
      <c r="BP1127" t="str">
        <f t="shared" si="434"/>
        <v/>
      </c>
      <c r="BQ1127" t="str">
        <f t="shared" si="435"/>
        <v/>
      </c>
      <c r="BR1127" t="str">
        <f t="shared" si="436"/>
        <v/>
      </c>
      <c r="BS1127" t="str">
        <f t="shared" si="437"/>
        <v/>
      </c>
      <c r="BT1127" t="str">
        <f t="shared" si="438"/>
        <v/>
      </c>
      <c r="BU1127" t="str">
        <f t="shared" si="439"/>
        <v/>
      </c>
    </row>
    <row r="1128" spans="1:73">
      <c r="A1128" s="1">
        <v>115150</v>
      </c>
      <c r="B1128" t="str">
        <f>VLOOKUP($A1128,[1]Table!$A$2:$N1275,B$1,FALSE)</f>
        <v>A02BC01</v>
      </c>
      <c r="C1128" t="str">
        <f>VLOOKUP($A1128,[1]Table!$A$2:$N1275,C$1,FALSE)</f>
        <v>MIDDELEN BIJ ZUURGERELATEERDE AFWIJKINGEN</v>
      </c>
      <c r="D1128" t="str">
        <f>VLOOKUP($A1128,[1]Table!$A$2:$N1275,D$1,FALSE)</f>
        <v>MIDDELEN BIJ ULCUS PEPTICUM EN GASTRO-OESOFAGEALE REFLUX</v>
      </c>
      <c r="E1128" t="str">
        <f>VLOOKUP($A1128,[1]Table!$A$2:$N1275,E$1,FALSE)</f>
        <v>OMEPRAZOL</v>
      </c>
      <c r="F1128" t="str">
        <f>VLOOKUP($A1128,[1]Table!$A$2:$N1275,F$1,FALSE)</f>
        <v>OMEPRAZOL 40 MG CAPSULE MSR</v>
      </c>
      <c r="G1128" t="str">
        <f>VLOOKUP($A1128,[1]Table!$A$2:$N1275,G$1,FALSE)</f>
        <v>OMEPRAZOL 40MG CAPSULE MSR</v>
      </c>
      <c r="H1128" t="str">
        <f>VLOOKUP($A1128,[1]Table!$A$2:$N1275,H$1,FALSE)</f>
        <v>maagsapresistente capsule</v>
      </c>
      <c r="I1128" t="str">
        <f>VLOOKUP($A1128,[1]Table!$A$2:$N1275,I$1,FALSE)</f>
        <v>or</v>
      </c>
      <c r="J1128">
        <f>VLOOKUP($A1128,[1]Table!$A$2:$N1275,J$1,FALSE)</f>
        <v>40</v>
      </c>
      <c r="K1128" t="str">
        <f>VLOOKUP($A1128,[1]Table!$A$2:$N1275,K$1,FALSE)</f>
        <v>mg/stuk</v>
      </c>
      <c r="L1128">
        <f>VLOOKUP($A1128,[1]Table!$A$2:$N1275,L$1,FALSE)</f>
        <v>40</v>
      </c>
      <c r="M1128" t="str">
        <f>VLOOKUP($A1128,[1]Table!$A$2:$N1275,M$1,FALSE)</f>
        <v>mg</v>
      </c>
      <c r="N1128" t="str">
        <f>VLOOKUP($A1128,[1]Table!$A$2:$N1275,N$1,FALSE)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8" t="str">
        <f>ConcatenateRange(AZ1128:BU1128,"||")</f>
        <v/>
      </c>
      <c r="AZ1128" t="str">
        <f t="shared" si="418"/>
        <v/>
      </c>
      <c r="BA1128" t="str">
        <f t="shared" si="419"/>
        <v/>
      </c>
      <c r="BB1128" t="str">
        <f t="shared" si="420"/>
        <v/>
      </c>
      <c r="BC1128" t="str">
        <f t="shared" si="421"/>
        <v/>
      </c>
      <c r="BD1128" t="str">
        <f t="shared" si="422"/>
        <v/>
      </c>
      <c r="BE1128" t="str">
        <f t="shared" si="423"/>
        <v/>
      </c>
      <c r="BF1128" t="str">
        <f t="shared" si="424"/>
        <v/>
      </c>
      <c r="BG1128" t="str">
        <f t="shared" si="425"/>
        <v/>
      </c>
      <c r="BH1128" t="str">
        <f t="shared" si="426"/>
        <v/>
      </c>
      <c r="BI1128" t="str">
        <f t="shared" si="427"/>
        <v/>
      </c>
      <c r="BJ1128" t="str">
        <f t="shared" si="428"/>
        <v/>
      </c>
      <c r="BK1128" t="str">
        <f t="shared" si="429"/>
        <v/>
      </c>
      <c r="BL1128" t="str">
        <f t="shared" si="430"/>
        <v/>
      </c>
      <c r="BM1128" t="str">
        <f t="shared" si="431"/>
        <v/>
      </c>
      <c r="BN1128" t="str">
        <f t="shared" si="432"/>
        <v/>
      </c>
      <c r="BO1128" t="str">
        <f t="shared" si="433"/>
        <v/>
      </c>
      <c r="BP1128" t="str">
        <f t="shared" si="434"/>
        <v/>
      </c>
      <c r="BQ1128" t="str">
        <f t="shared" si="435"/>
        <v/>
      </c>
      <c r="BR1128" t="str">
        <f t="shared" si="436"/>
        <v/>
      </c>
      <c r="BS1128" t="str">
        <f t="shared" si="437"/>
        <v/>
      </c>
      <c r="BT1128" t="str">
        <f t="shared" si="438"/>
        <v/>
      </c>
      <c r="BU1128" t="str">
        <f t="shared" si="439"/>
        <v/>
      </c>
    </row>
    <row r="1129" spans="1:73">
      <c r="A1129" s="1">
        <v>130613</v>
      </c>
      <c r="B1129" t="str">
        <f>VLOOKUP($A1129,[1]Table!$A$2:$N1276,B$1,FALSE)</f>
        <v>A02BC01</v>
      </c>
      <c r="C1129" t="str">
        <f>VLOOKUP($A1129,[1]Table!$A$2:$N1276,C$1,FALSE)</f>
        <v>MIDDELEN BIJ ZUURGERELATEERDE AFWIJKINGEN</v>
      </c>
      <c r="D1129" t="str">
        <f>VLOOKUP($A1129,[1]Table!$A$2:$N1276,D$1,FALSE)</f>
        <v>MIDDELEN BIJ ULCUS PEPTICUM EN GASTRO-OESOFAGEALE REFLUX</v>
      </c>
      <c r="E1129" t="str">
        <f>VLOOKUP($A1129,[1]Table!$A$2:$N1276,E$1,FALSE)</f>
        <v>OMEPRAZOL</v>
      </c>
      <c r="F1129" t="str">
        <f>VLOOKUP($A1129,[1]Table!$A$2:$N1276,F$1,FALSE)</f>
        <v>LOSEC MUPS 10 MG TABLET MSR</v>
      </c>
      <c r="G1129" t="str">
        <f>VLOOKUP($A1129,[1]Table!$A$2:$N1276,G$1,FALSE)</f>
        <v>OMEPRAZOL 10MG TABLET MSR</v>
      </c>
      <c r="H1129" t="str">
        <f>VLOOKUP($A1129,[1]Table!$A$2:$N1276,H$1,FALSE)</f>
        <v>maagsapresistente tablet</v>
      </c>
      <c r="I1129" t="str">
        <f>VLOOKUP($A1129,[1]Table!$A$2:$N1276,I$1,FALSE)</f>
        <v>or</v>
      </c>
      <c r="J1129">
        <f>VLOOKUP($A1129,[1]Table!$A$2:$N1276,J$1,FALSE)</f>
        <v>10</v>
      </c>
      <c r="K1129" t="str">
        <f>VLOOKUP($A1129,[1]Table!$A$2:$N1276,K$1,FALSE)</f>
        <v>mg/stuk</v>
      </c>
      <c r="L1129">
        <f>VLOOKUP($A1129,[1]Table!$A$2:$N1276,L$1,FALSE)</f>
        <v>10</v>
      </c>
      <c r="M1129" t="str">
        <f>VLOOKUP($A1129,[1]Table!$A$2:$N1276,M$1,FALSE)</f>
        <v>mg</v>
      </c>
      <c r="N1129" t="str">
        <f>VLOOKUP($A1129,[1]Table!$A$2:$N1276,N$1,FALSE)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9" t="str">
        <f>ConcatenateRange(AZ1129:BU1129,"||")</f>
        <v/>
      </c>
      <c r="AZ1129" t="str">
        <f t="shared" si="418"/>
        <v/>
      </c>
      <c r="BA1129" t="str">
        <f t="shared" si="419"/>
        <v/>
      </c>
      <c r="BB1129" t="str">
        <f t="shared" si="420"/>
        <v/>
      </c>
      <c r="BC1129" t="str">
        <f t="shared" si="421"/>
        <v/>
      </c>
      <c r="BD1129" t="str">
        <f t="shared" si="422"/>
        <v/>
      </c>
      <c r="BE1129" t="str">
        <f t="shared" si="423"/>
        <v/>
      </c>
      <c r="BF1129" t="str">
        <f t="shared" si="424"/>
        <v/>
      </c>
      <c r="BG1129" t="str">
        <f t="shared" si="425"/>
        <v/>
      </c>
      <c r="BH1129" t="str">
        <f t="shared" si="426"/>
        <v/>
      </c>
      <c r="BI1129" t="str">
        <f t="shared" si="427"/>
        <v/>
      </c>
      <c r="BJ1129" t="str">
        <f t="shared" si="428"/>
        <v/>
      </c>
      <c r="BK1129" t="str">
        <f t="shared" si="429"/>
        <v/>
      </c>
      <c r="BL1129" t="str">
        <f t="shared" si="430"/>
        <v/>
      </c>
      <c r="BM1129" t="str">
        <f t="shared" si="431"/>
        <v/>
      </c>
      <c r="BN1129" t="str">
        <f t="shared" si="432"/>
        <v/>
      </c>
      <c r="BO1129" t="str">
        <f t="shared" si="433"/>
        <v/>
      </c>
      <c r="BP1129" t="str">
        <f t="shared" si="434"/>
        <v/>
      </c>
      <c r="BQ1129" t="str">
        <f t="shared" si="435"/>
        <v/>
      </c>
      <c r="BR1129" t="str">
        <f t="shared" si="436"/>
        <v/>
      </c>
      <c r="BS1129" t="str">
        <f t="shared" si="437"/>
        <v/>
      </c>
      <c r="BT1129" t="str">
        <f t="shared" si="438"/>
        <v/>
      </c>
      <c r="BU1129" t="str">
        <f t="shared" si="439"/>
        <v/>
      </c>
    </row>
    <row r="1130" spans="1:73">
      <c r="A1130" s="1">
        <v>130648</v>
      </c>
      <c r="B1130" t="str">
        <f>VLOOKUP($A1130,[1]Table!$A$2:$N1277,B$1,FALSE)</f>
        <v>A02BC01</v>
      </c>
      <c r="C1130" t="str">
        <f>VLOOKUP($A1130,[1]Table!$A$2:$N1277,C$1,FALSE)</f>
        <v>MIDDELEN BIJ ZUURGERELATEERDE AFWIJKINGEN</v>
      </c>
      <c r="D1130" t="str">
        <f>VLOOKUP($A1130,[1]Table!$A$2:$N1277,D$1,FALSE)</f>
        <v>MIDDELEN BIJ ULCUS PEPTICUM EN GASTRO-OESOFAGEALE REFLUX</v>
      </c>
      <c r="E1130" t="str">
        <f>VLOOKUP($A1130,[1]Table!$A$2:$N1277,E$1,FALSE)</f>
        <v>OMEPRAZOL</v>
      </c>
      <c r="F1130" t="str">
        <f>VLOOKUP($A1130,[1]Table!$A$2:$N1277,F$1,FALSE)</f>
        <v>LOSEC MUPS 20 MG TABLET MSR</v>
      </c>
      <c r="G1130" t="str">
        <f>VLOOKUP($A1130,[1]Table!$A$2:$N1277,G$1,FALSE)</f>
        <v>OMEPRAZOL 20MG TABLET MSR</v>
      </c>
      <c r="H1130" t="str">
        <f>VLOOKUP($A1130,[1]Table!$A$2:$N1277,H$1,FALSE)</f>
        <v>maagsapresistente tablet</v>
      </c>
      <c r="I1130" t="str">
        <f>VLOOKUP($A1130,[1]Table!$A$2:$N1277,I$1,FALSE)</f>
        <v>or</v>
      </c>
      <c r="J1130">
        <f>VLOOKUP($A1130,[1]Table!$A$2:$N1277,J$1,FALSE)</f>
        <v>20</v>
      </c>
      <c r="K1130" t="str">
        <f>VLOOKUP($A1130,[1]Table!$A$2:$N1277,K$1,FALSE)</f>
        <v>mg/stuk</v>
      </c>
      <c r="L1130">
        <f>VLOOKUP($A1130,[1]Table!$A$2:$N1277,L$1,FALSE)</f>
        <v>20</v>
      </c>
      <c r="M1130" t="str">
        <f>VLOOKUP($A1130,[1]Table!$A$2:$N1277,M$1,FALSE)</f>
        <v>mg</v>
      </c>
      <c r="N1130" t="str">
        <f>VLOOKUP($A1130,[1]Table!$A$2:$N1277,N$1,FALSE)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0" t="str">
        <f>ConcatenateRange(AZ1130:BU1130,"||")</f>
        <v/>
      </c>
      <c r="AZ1130" t="str">
        <f t="shared" si="418"/>
        <v/>
      </c>
      <c r="BA1130" t="str">
        <f t="shared" si="419"/>
        <v/>
      </c>
      <c r="BB1130" t="str">
        <f t="shared" si="420"/>
        <v/>
      </c>
      <c r="BC1130" t="str">
        <f t="shared" si="421"/>
        <v/>
      </c>
      <c r="BD1130" t="str">
        <f t="shared" si="422"/>
        <v/>
      </c>
      <c r="BE1130" t="str">
        <f t="shared" si="423"/>
        <v/>
      </c>
      <c r="BF1130" t="str">
        <f t="shared" si="424"/>
        <v/>
      </c>
      <c r="BG1130" t="str">
        <f t="shared" si="425"/>
        <v/>
      </c>
      <c r="BH1130" t="str">
        <f t="shared" si="426"/>
        <v/>
      </c>
      <c r="BI1130" t="str">
        <f t="shared" si="427"/>
        <v/>
      </c>
      <c r="BJ1130" t="str">
        <f t="shared" si="428"/>
        <v/>
      </c>
      <c r="BK1130" t="str">
        <f t="shared" si="429"/>
        <v/>
      </c>
      <c r="BL1130" t="str">
        <f t="shared" si="430"/>
        <v/>
      </c>
      <c r="BM1130" t="str">
        <f t="shared" si="431"/>
        <v/>
      </c>
      <c r="BN1130" t="str">
        <f t="shared" si="432"/>
        <v/>
      </c>
      <c r="BO1130" t="str">
        <f t="shared" si="433"/>
        <v/>
      </c>
      <c r="BP1130" t="str">
        <f t="shared" si="434"/>
        <v/>
      </c>
      <c r="BQ1130" t="str">
        <f t="shared" si="435"/>
        <v/>
      </c>
      <c r="BR1130" t="str">
        <f t="shared" si="436"/>
        <v/>
      </c>
      <c r="BS1130" t="str">
        <f t="shared" si="437"/>
        <v/>
      </c>
      <c r="BT1130" t="str">
        <f t="shared" si="438"/>
        <v/>
      </c>
      <c r="BU1130" t="str">
        <f t="shared" si="439"/>
        <v/>
      </c>
    </row>
    <row r="1131" spans="1:73">
      <c r="A1131" s="1">
        <v>141372</v>
      </c>
      <c r="B1131" t="str">
        <f>VLOOKUP($A1131,[1]Table!$A$2:$N1278,B$1,FALSE)</f>
        <v>A02BC01</v>
      </c>
      <c r="C1131" t="str">
        <f>VLOOKUP($A1131,[1]Table!$A$2:$N1278,C$1,FALSE)</f>
        <v>MIDDELEN BIJ ZUURGERELATEERDE AFWIJKINGEN</v>
      </c>
      <c r="D1131" t="str">
        <f>VLOOKUP($A1131,[1]Table!$A$2:$N1278,D$1,FALSE)</f>
        <v>MIDDELEN BIJ ULCUS PEPTICUM EN GASTRO-OESOFAGEALE REFLUX</v>
      </c>
      <c r="E1131" t="str">
        <f>VLOOKUP($A1131,[1]Table!$A$2:$N1278,E$1,FALSE)</f>
        <v>OMEPRAZOL</v>
      </c>
      <c r="F1131" t="str">
        <f>VLOOKUP($A1131,[1]Table!$A$2:$N1278,F$1,FALSE)</f>
        <v>OMEPRAZOL EN SYRSPEND SF ALKA KIT 2MG/ML 200 ML</v>
      </c>
      <c r="G1131" t="str">
        <f>VLOOKUP($A1131,[1]Table!$A$2:$N1278,G$1,FALSE)</f>
        <v>OMEPRAZOL 2MG/ML SUSPENSIE</v>
      </c>
      <c r="H1131" t="str">
        <f>VLOOKUP($A1131,[1]Table!$A$2:$N1278,H$1,FALSE)</f>
        <v>suspensie voor oraal gebruik</v>
      </c>
      <c r="I1131" t="str">
        <f>VLOOKUP($A1131,[1]Table!$A$2:$N1278,I$1,FALSE)</f>
        <v>or</v>
      </c>
      <c r="J1131">
        <f>VLOOKUP($A1131,[1]Table!$A$2:$N1278,J$1,FALSE)</f>
        <v>2</v>
      </c>
      <c r="K1131" t="str">
        <f>VLOOKUP($A1131,[1]Table!$A$2:$N1278,K$1,FALSE)</f>
        <v>mg/ml</v>
      </c>
      <c r="L1131">
        <f>VLOOKUP($A1131,[1]Table!$A$2:$N1278,L$1,FALSE)</f>
        <v>2</v>
      </c>
      <c r="M1131" t="str">
        <f>VLOOKUP($A1131,[1]Table!$A$2:$N1278,M$1,FALSE)</f>
        <v>mg</v>
      </c>
      <c r="N1131" t="str">
        <f>VLOOKUP($A1131,[1]Table!$A$2:$N1278,N$1,FALSE)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1" t="str">
        <f>ConcatenateRange(AZ1131:BU1131,"||")</f>
        <v/>
      </c>
      <c r="AZ1131" t="str">
        <f t="shared" si="418"/>
        <v/>
      </c>
      <c r="BA1131" t="str">
        <f t="shared" si="419"/>
        <v/>
      </c>
      <c r="BB1131" t="str">
        <f t="shared" si="420"/>
        <v/>
      </c>
      <c r="BC1131" t="str">
        <f t="shared" si="421"/>
        <v/>
      </c>
      <c r="BD1131" t="str">
        <f t="shared" si="422"/>
        <v/>
      </c>
      <c r="BE1131" t="str">
        <f t="shared" si="423"/>
        <v/>
      </c>
      <c r="BF1131" t="str">
        <f t="shared" si="424"/>
        <v/>
      </c>
      <c r="BG1131" t="str">
        <f t="shared" si="425"/>
        <v/>
      </c>
      <c r="BH1131" t="str">
        <f t="shared" si="426"/>
        <v/>
      </c>
      <c r="BI1131" t="str">
        <f t="shared" si="427"/>
        <v/>
      </c>
      <c r="BJ1131" t="str">
        <f t="shared" si="428"/>
        <v/>
      </c>
      <c r="BK1131" t="str">
        <f t="shared" si="429"/>
        <v/>
      </c>
      <c r="BL1131" t="str">
        <f t="shared" si="430"/>
        <v/>
      </c>
      <c r="BM1131" t="str">
        <f t="shared" si="431"/>
        <v/>
      </c>
      <c r="BN1131" t="str">
        <f t="shared" si="432"/>
        <v/>
      </c>
      <c r="BO1131" t="str">
        <f t="shared" si="433"/>
        <v/>
      </c>
      <c r="BP1131" t="str">
        <f t="shared" si="434"/>
        <v/>
      </c>
      <c r="BQ1131" t="str">
        <f t="shared" si="435"/>
        <v/>
      </c>
      <c r="BR1131" t="str">
        <f t="shared" si="436"/>
        <v/>
      </c>
      <c r="BS1131" t="str">
        <f t="shared" si="437"/>
        <v/>
      </c>
      <c r="BT1131" t="str">
        <f t="shared" si="438"/>
        <v/>
      </c>
      <c r="BU1131" t="str">
        <f t="shared" si="439"/>
        <v/>
      </c>
    </row>
    <row r="1132" spans="1:73">
      <c r="A1132" s="1">
        <v>82708</v>
      </c>
      <c r="B1132" t="str">
        <f>VLOOKUP($A1132,[1]Table!$A$2:$N1279,B$1,FALSE)</f>
        <v>A04AA01</v>
      </c>
      <c r="C1132" t="str">
        <f>VLOOKUP($A1132,[1]Table!$A$2:$N1279,C$1,FALSE)</f>
        <v>ANTI-EMETICA</v>
      </c>
      <c r="D1132" t="str">
        <f>VLOOKUP($A1132,[1]Table!$A$2:$N1279,D$1,FALSE)</f>
        <v>ANTI-EMETICA</v>
      </c>
      <c r="E1132" t="str">
        <f>VLOOKUP($A1132,[1]Table!$A$2:$N1279,E$1,FALSE)</f>
        <v>ONDANSETRON</v>
      </c>
      <c r="F1132" t="str">
        <f>VLOOKUP($A1132,[1]Table!$A$2:$N1279,F$1,FALSE)</f>
        <v>ONDANSETRON 2 MG/ML AMPUL 2 ML</v>
      </c>
      <c r="G1132" t="str">
        <f>VLOOKUP($A1132,[1]Table!$A$2:$N1279,G$1,FALSE)</f>
        <v>ONDANSETRON 2MG/ML INJVLST</v>
      </c>
      <c r="H1132" t="str">
        <f>VLOOKUP($A1132,[1]Table!$A$2:$N1279,H$1,FALSE)</f>
        <v>injectievloeistof</v>
      </c>
      <c r="I1132" t="str">
        <f>VLOOKUP($A1132,[1]Table!$A$2:$N1279,I$1,FALSE)</f>
        <v>iv||im</v>
      </c>
      <c r="J1132">
        <f>VLOOKUP($A1132,[1]Table!$A$2:$N1279,J$1,FALSE)</f>
        <v>2</v>
      </c>
      <c r="K1132" t="str">
        <f>VLOOKUP($A1132,[1]Table!$A$2:$N1279,K$1,FALSE)</f>
        <v>mg/ml</v>
      </c>
      <c r="L1132">
        <f>VLOOKUP($A1132,[1]Table!$A$2:$N1279,L$1,FALSE)</f>
        <v>2</v>
      </c>
      <c r="M1132" t="str">
        <f>VLOOKUP($A1132,[1]Table!$A$2:$N1279,M$1,FALSE)</f>
        <v>mg</v>
      </c>
      <c r="N1132" t="str">
        <f>VLOOKUP($A1132,[1]Table!$A$2:$N1279,N$1,FALSE)</f>
        <v xml:space="preserve">Misselijkheid en braken bij chemotherapie||Misselijkheid en braken, postoperatief||Acute gastro-enteritis met braken met dehydratie </v>
      </c>
      <c r="O1132" t="str">
        <f>ConcatenateRange(AZ1132:BU1132,"||")</f>
        <v/>
      </c>
      <c r="AZ1132" t="str">
        <f t="shared" si="418"/>
        <v/>
      </c>
      <c r="BA1132" t="str">
        <f t="shared" si="419"/>
        <v/>
      </c>
      <c r="BB1132" t="str">
        <f t="shared" si="420"/>
        <v/>
      </c>
      <c r="BC1132" t="str">
        <f t="shared" si="421"/>
        <v/>
      </c>
      <c r="BD1132" t="str">
        <f t="shared" si="422"/>
        <v/>
      </c>
      <c r="BE1132" t="str">
        <f t="shared" si="423"/>
        <v/>
      </c>
      <c r="BF1132" t="str">
        <f t="shared" si="424"/>
        <v/>
      </c>
      <c r="BG1132" t="str">
        <f t="shared" si="425"/>
        <v/>
      </c>
      <c r="BH1132" t="str">
        <f t="shared" si="426"/>
        <v/>
      </c>
      <c r="BI1132" t="str">
        <f t="shared" si="427"/>
        <v/>
      </c>
      <c r="BJ1132" t="str">
        <f t="shared" si="428"/>
        <v/>
      </c>
      <c r="BK1132" t="str">
        <f t="shared" si="429"/>
        <v/>
      </c>
      <c r="BL1132" t="str">
        <f t="shared" si="430"/>
        <v/>
      </c>
      <c r="BM1132" t="str">
        <f t="shared" si="431"/>
        <v/>
      </c>
      <c r="BN1132" t="str">
        <f t="shared" si="432"/>
        <v/>
      </c>
      <c r="BO1132" t="str">
        <f t="shared" si="433"/>
        <v/>
      </c>
      <c r="BP1132" t="str">
        <f t="shared" si="434"/>
        <v/>
      </c>
      <c r="BQ1132" t="str">
        <f t="shared" si="435"/>
        <v/>
      </c>
      <c r="BR1132" t="str">
        <f t="shared" si="436"/>
        <v/>
      </c>
      <c r="BS1132" t="str">
        <f t="shared" si="437"/>
        <v/>
      </c>
      <c r="BT1132" t="str">
        <f t="shared" si="438"/>
        <v/>
      </c>
      <c r="BU1132" t="str">
        <f t="shared" si="439"/>
        <v/>
      </c>
    </row>
    <row r="1133" spans="1:73">
      <c r="A1133" s="1">
        <v>104981</v>
      </c>
      <c r="B1133" t="str">
        <f>VLOOKUP($A1133,[1]Table!$A$2:$N1280,B$1,FALSE)</f>
        <v>A04AA01</v>
      </c>
      <c r="C1133" t="str">
        <f>VLOOKUP($A1133,[1]Table!$A$2:$N1280,C$1,FALSE)</f>
        <v>ANTI-EMETICA</v>
      </c>
      <c r="D1133" t="str">
        <f>VLOOKUP($A1133,[1]Table!$A$2:$N1280,D$1,FALSE)</f>
        <v>ANTI-EMETICA</v>
      </c>
      <c r="E1133" t="str">
        <f>VLOOKUP($A1133,[1]Table!$A$2:$N1280,E$1,FALSE)</f>
        <v>ONDANSETRON</v>
      </c>
      <c r="F1133" t="str">
        <f>VLOOKUP($A1133,[1]Table!$A$2:$N1280,F$1,FALSE)</f>
        <v>ZOFRAN ZYDIS 4 MG SMELTTABLET</v>
      </c>
      <c r="G1133" t="str">
        <f>VLOOKUP($A1133,[1]Table!$A$2:$N1280,G$1,FALSE)</f>
        <v>ONDANSETRON 4MG SMELTTABLET</v>
      </c>
      <c r="H1133" t="str">
        <f>VLOOKUP($A1133,[1]Table!$A$2:$N1280,H$1,FALSE)</f>
        <v>smelttablet</v>
      </c>
      <c r="I1133" t="str">
        <f>VLOOKUP($A1133,[1]Table!$A$2:$N1280,I$1,FALSE)</f>
        <v>or</v>
      </c>
      <c r="J1133">
        <f>VLOOKUP($A1133,[1]Table!$A$2:$N1280,J$1,FALSE)</f>
        <v>4</v>
      </c>
      <c r="K1133" t="str">
        <f>VLOOKUP($A1133,[1]Table!$A$2:$N1280,K$1,FALSE)</f>
        <v>mg/stuk</v>
      </c>
      <c r="L1133">
        <f>VLOOKUP($A1133,[1]Table!$A$2:$N1280,L$1,FALSE)</f>
        <v>4</v>
      </c>
      <c r="M1133" t="str">
        <f>VLOOKUP($A1133,[1]Table!$A$2:$N1280,M$1,FALSE)</f>
        <v>mg</v>
      </c>
      <c r="N1133" t="str">
        <f>VLOOKUP($A1133,[1]Table!$A$2:$N1280,N$1,FALSE)</f>
        <v xml:space="preserve">Misselijkheid en braken bij chemotherapie||Misselijkheid en braken, postoperatief||Acute gastro-enteritis met braken met dehydratie </v>
      </c>
      <c r="O1133" t="str">
        <f>ConcatenateRange(AZ1133:BU1133,"||")</f>
        <v/>
      </c>
      <c r="AZ1133" t="str">
        <f t="shared" si="418"/>
        <v/>
      </c>
      <c r="BA1133" t="str">
        <f t="shared" si="419"/>
        <v/>
      </c>
      <c r="BB1133" t="str">
        <f t="shared" si="420"/>
        <v/>
      </c>
      <c r="BC1133" t="str">
        <f t="shared" si="421"/>
        <v/>
      </c>
      <c r="BD1133" t="str">
        <f t="shared" si="422"/>
        <v/>
      </c>
      <c r="BE1133" t="str">
        <f t="shared" si="423"/>
        <v/>
      </c>
      <c r="BF1133" t="str">
        <f t="shared" si="424"/>
        <v/>
      </c>
      <c r="BG1133" t="str">
        <f t="shared" si="425"/>
        <v/>
      </c>
      <c r="BH1133" t="str">
        <f t="shared" si="426"/>
        <v/>
      </c>
      <c r="BI1133" t="str">
        <f t="shared" si="427"/>
        <v/>
      </c>
      <c r="BJ1133" t="str">
        <f t="shared" si="428"/>
        <v/>
      </c>
      <c r="BK1133" t="str">
        <f t="shared" si="429"/>
        <v/>
      </c>
      <c r="BL1133" t="str">
        <f t="shared" si="430"/>
        <v/>
      </c>
      <c r="BM1133" t="str">
        <f t="shared" si="431"/>
        <v/>
      </c>
      <c r="BN1133" t="str">
        <f t="shared" si="432"/>
        <v/>
      </c>
      <c r="BO1133" t="str">
        <f t="shared" si="433"/>
        <v/>
      </c>
      <c r="BP1133" t="str">
        <f t="shared" si="434"/>
        <v/>
      </c>
      <c r="BQ1133" t="str">
        <f t="shared" si="435"/>
        <v/>
      </c>
      <c r="BR1133" t="str">
        <f t="shared" si="436"/>
        <v/>
      </c>
      <c r="BS1133" t="str">
        <f t="shared" si="437"/>
        <v/>
      </c>
      <c r="BT1133" t="str">
        <f t="shared" si="438"/>
        <v/>
      </c>
      <c r="BU1133" t="str">
        <f t="shared" si="439"/>
        <v/>
      </c>
    </row>
    <row r="1134" spans="1:73">
      <c r="A1134" s="1">
        <v>105007</v>
      </c>
      <c r="B1134" t="str">
        <f>VLOOKUP($A1134,[1]Table!$A$2:$N1281,B$1,FALSE)</f>
        <v>A04AA01</v>
      </c>
      <c r="C1134" t="str">
        <f>VLOOKUP($A1134,[1]Table!$A$2:$N1281,C$1,FALSE)</f>
        <v>ANTI-EMETICA</v>
      </c>
      <c r="D1134" t="str">
        <f>VLOOKUP($A1134,[1]Table!$A$2:$N1281,D$1,FALSE)</f>
        <v>ANTI-EMETICA</v>
      </c>
      <c r="E1134" t="str">
        <f>VLOOKUP($A1134,[1]Table!$A$2:$N1281,E$1,FALSE)</f>
        <v>ONDANSETRON</v>
      </c>
      <c r="F1134" t="str">
        <f>VLOOKUP($A1134,[1]Table!$A$2:$N1281,F$1,FALSE)</f>
        <v>ZOFRAN ZYDIS 8 MG SMELTTABLET</v>
      </c>
      <c r="G1134" t="str">
        <f>VLOOKUP($A1134,[1]Table!$A$2:$N1281,G$1,FALSE)</f>
        <v>ONDANSETRON 8MG SMELTTABLET</v>
      </c>
      <c r="H1134" t="str">
        <f>VLOOKUP($A1134,[1]Table!$A$2:$N1281,H$1,FALSE)</f>
        <v>smelttablet</v>
      </c>
      <c r="I1134" t="str">
        <f>VLOOKUP($A1134,[1]Table!$A$2:$N1281,I$1,FALSE)</f>
        <v>or</v>
      </c>
      <c r="J1134">
        <f>VLOOKUP($A1134,[1]Table!$A$2:$N1281,J$1,FALSE)</f>
        <v>8</v>
      </c>
      <c r="K1134" t="str">
        <f>VLOOKUP($A1134,[1]Table!$A$2:$N1281,K$1,FALSE)</f>
        <v>mg/stuk</v>
      </c>
      <c r="L1134">
        <f>VLOOKUP($A1134,[1]Table!$A$2:$N1281,L$1,FALSE)</f>
        <v>8</v>
      </c>
      <c r="M1134" t="str">
        <f>VLOOKUP($A1134,[1]Table!$A$2:$N1281,M$1,FALSE)</f>
        <v>mg</v>
      </c>
      <c r="N1134" t="str">
        <f>VLOOKUP($A1134,[1]Table!$A$2:$N1281,N$1,FALSE)</f>
        <v xml:space="preserve">Misselijkheid en braken bij chemotherapie||Misselijkheid en braken, postoperatief||Acute gastro-enteritis met braken met dehydratie </v>
      </c>
      <c r="O1134" t="str">
        <f>ConcatenateRange(AZ1134:BU1134,"||")</f>
        <v/>
      </c>
      <c r="AZ1134" t="str">
        <f t="shared" si="418"/>
        <v/>
      </c>
      <c r="BA1134" t="str">
        <f t="shared" si="419"/>
        <v/>
      </c>
      <c r="BB1134" t="str">
        <f t="shared" si="420"/>
        <v/>
      </c>
      <c r="BC1134" t="str">
        <f t="shared" si="421"/>
        <v/>
      </c>
      <c r="BD1134" t="str">
        <f t="shared" si="422"/>
        <v/>
      </c>
      <c r="BE1134" t="str">
        <f t="shared" si="423"/>
        <v/>
      </c>
      <c r="BF1134" t="str">
        <f t="shared" si="424"/>
        <v/>
      </c>
      <c r="BG1134" t="str">
        <f t="shared" si="425"/>
        <v/>
      </c>
      <c r="BH1134" t="str">
        <f t="shared" si="426"/>
        <v/>
      </c>
      <c r="BI1134" t="str">
        <f t="shared" si="427"/>
        <v/>
      </c>
      <c r="BJ1134" t="str">
        <f t="shared" si="428"/>
        <v/>
      </c>
      <c r="BK1134" t="str">
        <f t="shared" si="429"/>
        <v/>
      </c>
      <c r="BL1134" t="str">
        <f t="shared" si="430"/>
        <v/>
      </c>
      <c r="BM1134" t="str">
        <f t="shared" si="431"/>
        <v/>
      </c>
      <c r="BN1134" t="str">
        <f t="shared" si="432"/>
        <v/>
      </c>
      <c r="BO1134" t="str">
        <f t="shared" si="433"/>
        <v/>
      </c>
      <c r="BP1134" t="str">
        <f t="shared" si="434"/>
        <v/>
      </c>
      <c r="BQ1134" t="str">
        <f t="shared" si="435"/>
        <v/>
      </c>
      <c r="BR1134" t="str">
        <f t="shared" si="436"/>
        <v/>
      </c>
      <c r="BS1134" t="str">
        <f t="shared" si="437"/>
        <v/>
      </c>
      <c r="BT1134" t="str">
        <f t="shared" si="438"/>
        <v/>
      </c>
      <c r="BU1134" t="str">
        <f t="shared" si="439"/>
        <v/>
      </c>
    </row>
    <row r="1135" spans="1:73">
      <c r="A1135" s="1">
        <v>100331</v>
      </c>
      <c r="B1135" t="str">
        <f>VLOOKUP($A1135,[1]Table!$A$2:$N1282,B$1,FALSE)</f>
        <v>A04AA01</v>
      </c>
      <c r="C1135" t="str">
        <f>VLOOKUP($A1135,[1]Table!$A$2:$N1282,C$1,FALSE)</f>
        <v>ANTI-EMETICA</v>
      </c>
      <c r="D1135" t="str">
        <f>VLOOKUP($A1135,[1]Table!$A$2:$N1282,D$1,FALSE)</f>
        <v>ANTI-EMETICA</v>
      </c>
      <c r="E1135" t="str">
        <f>VLOOKUP($A1135,[1]Table!$A$2:$N1282,E$1,FALSE)</f>
        <v>ONDANSETRON</v>
      </c>
      <c r="F1135" t="str">
        <f>VLOOKUP($A1135,[1]Table!$A$2:$N1282,F$1,FALSE)</f>
        <v>ZOFRAN  0,8MG/ML STROOP 50 ML</v>
      </c>
      <c r="G1135" t="str">
        <f>VLOOKUP($A1135,[1]Table!$A$2:$N1282,G$1,FALSE)</f>
        <v>ONDANSETRON 0,8MG/ML STROOP</v>
      </c>
      <c r="H1135" t="str">
        <f>VLOOKUP($A1135,[1]Table!$A$2:$N1282,H$1,FALSE)</f>
        <v>stroop</v>
      </c>
      <c r="I1135" t="str">
        <f>VLOOKUP($A1135,[1]Table!$A$2:$N1282,I$1,FALSE)</f>
        <v>or</v>
      </c>
      <c r="J1135">
        <f>VLOOKUP($A1135,[1]Table!$A$2:$N1282,J$1,FALSE)</f>
        <v>0.8</v>
      </c>
      <c r="K1135" t="str">
        <f>VLOOKUP($A1135,[1]Table!$A$2:$N1282,K$1,FALSE)</f>
        <v>mg/ml</v>
      </c>
      <c r="L1135">
        <f>VLOOKUP($A1135,[1]Table!$A$2:$N1282,L$1,FALSE)</f>
        <v>0.8</v>
      </c>
      <c r="M1135" t="str">
        <f>VLOOKUP($A1135,[1]Table!$A$2:$N1282,M$1,FALSE)</f>
        <v>mg</v>
      </c>
      <c r="N1135" t="str">
        <f>VLOOKUP($A1135,[1]Table!$A$2:$N1282,N$1,FALSE)</f>
        <v xml:space="preserve">Misselijkheid en braken bij chemotherapie||Misselijkheid en braken, postoperatief||Acute gastro-enteritis met braken met dehydratie </v>
      </c>
      <c r="O1135" t="str">
        <f>ConcatenateRange(AZ1135:BU1135,"||")</f>
        <v/>
      </c>
      <c r="AZ1135" t="str">
        <f t="shared" si="418"/>
        <v/>
      </c>
      <c r="BA1135" t="str">
        <f t="shared" si="419"/>
        <v/>
      </c>
      <c r="BB1135" t="str">
        <f t="shared" si="420"/>
        <v/>
      </c>
      <c r="BC1135" t="str">
        <f t="shared" si="421"/>
        <v/>
      </c>
      <c r="BD1135" t="str">
        <f t="shared" si="422"/>
        <v/>
      </c>
      <c r="BE1135" t="str">
        <f t="shared" si="423"/>
        <v/>
      </c>
      <c r="BF1135" t="str">
        <f t="shared" si="424"/>
        <v/>
      </c>
      <c r="BG1135" t="str">
        <f t="shared" si="425"/>
        <v/>
      </c>
      <c r="BH1135" t="str">
        <f t="shared" si="426"/>
        <v/>
      </c>
      <c r="BI1135" t="str">
        <f t="shared" si="427"/>
        <v/>
      </c>
      <c r="BJ1135" t="str">
        <f t="shared" si="428"/>
        <v/>
      </c>
      <c r="BK1135" t="str">
        <f t="shared" si="429"/>
        <v/>
      </c>
      <c r="BL1135" t="str">
        <f t="shared" si="430"/>
        <v/>
      </c>
      <c r="BM1135" t="str">
        <f t="shared" si="431"/>
        <v/>
      </c>
      <c r="BN1135" t="str">
        <f t="shared" si="432"/>
        <v/>
      </c>
      <c r="BO1135" t="str">
        <f t="shared" si="433"/>
        <v/>
      </c>
      <c r="BP1135" t="str">
        <f t="shared" si="434"/>
        <v/>
      </c>
      <c r="BQ1135" t="str">
        <f t="shared" si="435"/>
        <v/>
      </c>
      <c r="BR1135" t="str">
        <f t="shared" si="436"/>
        <v/>
      </c>
      <c r="BS1135" t="str">
        <f t="shared" si="437"/>
        <v/>
      </c>
      <c r="BT1135" t="str">
        <f t="shared" si="438"/>
        <v/>
      </c>
      <c r="BU1135" t="str">
        <f t="shared" si="439"/>
        <v/>
      </c>
    </row>
    <row r="1136" spans="1:73">
      <c r="A1136" s="1">
        <v>82686</v>
      </c>
      <c r="B1136" t="str">
        <f>VLOOKUP($A1136,[1]Table!$A$2:$N1283,B$1,FALSE)</f>
        <v>A04AA01</v>
      </c>
      <c r="C1136" t="str">
        <f>VLOOKUP($A1136,[1]Table!$A$2:$N1283,C$1,FALSE)</f>
        <v>ANTI-EMETICA</v>
      </c>
      <c r="D1136" t="str">
        <f>VLOOKUP($A1136,[1]Table!$A$2:$N1283,D$1,FALSE)</f>
        <v>ANTI-EMETICA</v>
      </c>
      <c r="E1136" t="str">
        <f>VLOOKUP($A1136,[1]Table!$A$2:$N1283,E$1,FALSE)</f>
        <v>ONDANSETRON</v>
      </c>
      <c r="F1136" t="str">
        <f>VLOOKUP($A1136,[1]Table!$A$2:$N1283,F$1,FALSE)</f>
        <v>ONDANSETRON 4 MG TABLET FILMOMHULD</v>
      </c>
      <c r="G1136" t="str">
        <f>VLOOKUP($A1136,[1]Table!$A$2:$N1283,G$1,FALSE)</f>
        <v>ONDANSETRON 4MG TABLET</v>
      </c>
      <c r="H1136" t="str">
        <f>VLOOKUP($A1136,[1]Table!$A$2:$N1283,H$1,FALSE)</f>
        <v>tablet</v>
      </c>
      <c r="I1136" t="str">
        <f>VLOOKUP($A1136,[1]Table!$A$2:$N1283,I$1,FALSE)</f>
        <v>or</v>
      </c>
      <c r="J1136">
        <f>VLOOKUP($A1136,[1]Table!$A$2:$N1283,J$1,FALSE)</f>
        <v>4</v>
      </c>
      <c r="K1136" t="str">
        <f>VLOOKUP($A1136,[1]Table!$A$2:$N1283,K$1,FALSE)</f>
        <v>mg/stuk</v>
      </c>
      <c r="L1136">
        <f>VLOOKUP($A1136,[1]Table!$A$2:$N1283,L$1,FALSE)</f>
        <v>4</v>
      </c>
      <c r="M1136" t="str">
        <f>VLOOKUP($A1136,[1]Table!$A$2:$N1283,M$1,FALSE)</f>
        <v>mg</v>
      </c>
      <c r="N1136" t="str">
        <f>VLOOKUP($A1136,[1]Table!$A$2:$N1283,N$1,FALSE)</f>
        <v xml:space="preserve">Misselijkheid en braken bij chemotherapie||Misselijkheid en braken, postoperatief||Acute gastro-enteritis met braken met dehydratie </v>
      </c>
      <c r="O1136" t="str">
        <f>ConcatenateRange(AZ1136:BU1136,"||")</f>
        <v/>
      </c>
      <c r="AZ1136" t="str">
        <f t="shared" si="418"/>
        <v/>
      </c>
      <c r="BA1136" t="str">
        <f t="shared" si="419"/>
        <v/>
      </c>
      <c r="BB1136" t="str">
        <f t="shared" si="420"/>
        <v/>
      </c>
      <c r="BC1136" t="str">
        <f t="shared" si="421"/>
        <v/>
      </c>
      <c r="BD1136" t="str">
        <f t="shared" si="422"/>
        <v/>
      </c>
      <c r="BE1136" t="str">
        <f t="shared" si="423"/>
        <v/>
      </c>
      <c r="BF1136" t="str">
        <f t="shared" si="424"/>
        <v/>
      </c>
      <c r="BG1136" t="str">
        <f t="shared" si="425"/>
        <v/>
      </c>
      <c r="BH1136" t="str">
        <f t="shared" si="426"/>
        <v/>
      </c>
      <c r="BI1136" t="str">
        <f t="shared" si="427"/>
        <v/>
      </c>
      <c r="BJ1136" t="str">
        <f t="shared" si="428"/>
        <v/>
      </c>
      <c r="BK1136" t="str">
        <f t="shared" si="429"/>
        <v/>
      </c>
      <c r="BL1136" t="str">
        <f t="shared" si="430"/>
        <v/>
      </c>
      <c r="BM1136" t="str">
        <f t="shared" si="431"/>
        <v/>
      </c>
      <c r="BN1136" t="str">
        <f t="shared" si="432"/>
        <v/>
      </c>
      <c r="BO1136" t="str">
        <f t="shared" si="433"/>
        <v/>
      </c>
      <c r="BP1136" t="str">
        <f t="shared" si="434"/>
        <v/>
      </c>
      <c r="BQ1136" t="str">
        <f t="shared" si="435"/>
        <v/>
      </c>
      <c r="BR1136" t="str">
        <f t="shared" si="436"/>
        <v/>
      </c>
      <c r="BS1136" t="str">
        <f t="shared" si="437"/>
        <v/>
      </c>
      <c r="BT1136" t="str">
        <f t="shared" si="438"/>
        <v/>
      </c>
      <c r="BU1136" t="str">
        <f t="shared" si="439"/>
        <v/>
      </c>
    </row>
    <row r="1137" spans="1:73">
      <c r="A1137" s="1">
        <v>82694</v>
      </c>
      <c r="B1137" t="str">
        <f>VLOOKUP($A1137,[1]Table!$A$2:$N1284,B$1,FALSE)</f>
        <v>A04AA01</v>
      </c>
      <c r="C1137" t="str">
        <f>VLOOKUP($A1137,[1]Table!$A$2:$N1284,C$1,FALSE)</f>
        <v>ANTI-EMETICA</v>
      </c>
      <c r="D1137" t="str">
        <f>VLOOKUP($A1137,[1]Table!$A$2:$N1284,D$1,FALSE)</f>
        <v>ANTI-EMETICA</v>
      </c>
      <c r="E1137" t="str">
        <f>VLOOKUP($A1137,[1]Table!$A$2:$N1284,E$1,FALSE)</f>
        <v>ONDANSETRON</v>
      </c>
      <c r="F1137" t="str">
        <f>VLOOKUP($A1137,[1]Table!$A$2:$N1284,F$1,FALSE)</f>
        <v>ONDANSETRON 8 MG TABLET FILMOMHULD</v>
      </c>
      <c r="G1137" t="str">
        <f>VLOOKUP($A1137,[1]Table!$A$2:$N1284,G$1,FALSE)</f>
        <v>ONDANSETRON 8MG TABLET</v>
      </c>
      <c r="H1137" t="str">
        <f>VLOOKUP($A1137,[1]Table!$A$2:$N1284,H$1,FALSE)</f>
        <v>tablet</v>
      </c>
      <c r="I1137" t="str">
        <f>VLOOKUP($A1137,[1]Table!$A$2:$N1284,I$1,FALSE)</f>
        <v>or</v>
      </c>
      <c r="J1137">
        <f>VLOOKUP($A1137,[1]Table!$A$2:$N1284,J$1,FALSE)</f>
        <v>8</v>
      </c>
      <c r="K1137" t="str">
        <f>VLOOKUP($A1137,[1]Table!$A$2:$N1284,K$1,FALSE)</f>
        <v>mg/stuk</v>
      </c>
      <c r="L1137">
        <f>VLOOKUP($A1137,[1]Table!$A$2:$N1284,L$1,FALSE)</f>
        <v>4</v>
      </c>
      <c r="M1137" t="str">
        <f>VLOOKUP($A1137,[1]Table!$A$2:$N1284,M$1,FALSE)</f>
        <v>mg</v>
      </c>
      <c r="N1137" t="str">
        <f>VLOOKUP($A1137,[1]Table!$A$2:$N1284,N$1,FALSE)</f>
        <v xml:space="preserve">Misselijkheid en braken bij chemotherapie||Misselijkheid en braken, postoperatief||Acute gastro-enteritis met braken met dehydratie </v>
      </c>
      <c r="O1137" t="str">
        <f>ConcatenateRange(AZ1137:BU1137,"||")</f>
        <v/>
      </c>
      <c r="AZ1137" t="str">
        <f t="shared" si="418"/>
        <v/>
      </c>
      <c r="BA1137" t="str">
        <f t="shared" si="419"/>
        <v/>
      </c>
      <c r="BB1137" t="str">
        <f t="shared" si="420"/>
        <v/>
      </c>
      <c r="BC1137" t="str">
        <f t="shared" si="421"/>
        <v/>
      </c>
      <c r="BD1137" t="str">
        <f t="shared" si="422"/>
        <v/>
      </c>
      <c r="BE1137" t="str">
        <f t="shared" si="423"/>
        <v/>
      </c>
      <c r="BF1137" t="str">
        <f t="shared" si="424"/>
        <v/>
      </c>
      <c r="BG1137" t="str">
        <f t="shared" si="425"/>
        <v/>
      </c>
      <c r="BH1137" t="str">
        <f t="shared" si="426"/>
        <v/>
      </c>
      <c r="BI1137" t="str">
        <f t="shared" si="427"/>
        <v/>
      </c>
      <c r="BJ1137" t="str">
        <f t="shared" si="428"/>
        <v/>
      </c>
      <c r="BK1137" t="str">
        <f t="shared" si="429"/>
        <v/>
      </c>
      <c r="BL1137" t="str">
        <f t="shared" si="430"/>
        <v/>
      </c>
      <c r="BM1137" t="str">
        <f t="shared" si="431"/>
        <v/>
      </c>
      <c r="BN1137" t="str">
        <f t="shared" si="432"/>
        <v/>
      </c>
      <c r="BO1137" t="str">
        <f t="shared" si="433"/>
        <v/>
      </c>
      <c r="BP1137" t="str">
        <f t="shared" si="434"/>
        <v/>
      </c>
      <c r="BQ1137" t="str">
        <f t="shared" si="435"/>
        <v/>
      </c>
      <c r="BR1137" t="str">
        <f t="shared" si="436"/>
        <v/>
      </c>
      <c r="BS1137" t="str">
        <f t="shared" si="437"/>
        <v/>
      </c>
      <c r="BT1137" t="str">
        <f t="shared" si="438"/>
        <v/>
      </c>
      <c r="BU1137" t="str">
        <f t="shared" si="439"/>
        <v/>
      </c>
    </row>
    <row r="1138" spans="1:73">
      <c r="A1138" s="1">
        <v>100358</v>
      </c>
      <c r="B1138" t="str">
        <f>VLOOKUP($A1138,[1]Table!$A$2:$N1284,B$1,FALSE)</f>
        <v>A04AA01</v>
      </c>
      <c r="C1138" t="str">
        <f>VLOOKUP($A1138,[1]Table!$A$2:$N1284,C$1,FALSE)</f>
        <v>ANTI-EMETICA</v>
      </c>
      <c r="D1138" t="str">
        <f>VLOOKUP($A1138,[1]Table!$A$2:$N1284,D$1,FALSE)</f>
        <v>ANTI-EMETICA</v>
      </c>
      <c r="E1138" t="str">
        <f>VLOOKUP($A1138,[1]Table!$A$2:$N1284,E$1,FALSE)</f>
        <v>ONDANSETRON</v>
      </c>
      <c r="F1138" t="str">
        <f>VLOOKUP($A1138,[1]Table!$A$2:$N1284,F$1,FALSE)</f>
        <v>ZOFRAN 16 MG ZETPIL</v>
      </c>
      <c r="G1138" t="str">
        <f>VLOOKUP($A1138,[1]Table!$A$2:$N1284,G$1,FALSE)</f>
        <v>ONDANSETRON 16MG ZETPIL</v>
      </c>
      <c r="H1138" t="str">
        <f>VLOOKUP($A1138,[1]Table!$A$2:$N1284,H$1,FALSE)</f>
        <v>zetpil</v>
      </c>
      <c r="I1138" t="str">
        <f>VLOOKUP($A1138,[1]Table!$A$2:$N1284,I$1,FALSE)</f>
        <v>rect</v>
      </c>
      <c r="J1138">
        <f>VLOOKUP($A1138,[1]Table!$A$2:$N1284,J$1,FALSE)</f>
        <v>16</v>
      </c>
      <c r="K1138" t="str">
        <f>VLOOKUP($A1138,[1]Table!$A$2:$N1284,K$1,FALSE)</f>
        <v>mg/stuk</v>
      </c>
      <c r="L1138">
        <f>VLOOKUP($A1138,[1]Table!$A$2:$N1284,L$1,FALSE)</f>
        <v>16</v>
      </c>
      <c r="M1138" t="str">
        <f>VLOOKUP($A1138,[1]Table!$A$2:$N1284,M$1,FALSE)</f>
        <v>mg</v>
      </c>
      <c r="N1138" t="str">
        <f>VLOOKUP($A1138,[1]Table!$A$2:$N1284,N$1,FALSE)</f>
        <v xml:space="preserve">Misselijkheid en braken bij chemotherapie||Misselijkheid en braken, postoperatief||Acute gastro-enteritis met braken met dehydratie </v>
      </c>
      <c r="O1138" t="str">
        <f>ConcatenateRange(AZ1138:BU1138,"||")</f>
        <v/>
      </c>
      <c r="AZ1138" t="str">
        <f t="shared" si="418"/>
        <v/>
      </c>
      <c r="BA1138" t="str">
        <f t="shared" si="419"/>
        <v/>
      </c>
      <c r="BB1138" t="str">
        <f t="shared" si="420"/>
        <v/>
      </c>
      <c r="BC1138" t="str">
        <f t="shared" si="421"/>
        <v/>
      </c>
      <c r="BD1138" t="str">
        <f t="shared" si="422"/>
        <v/>
      </c>
      <c r="BE1138" t="str">
        <f t="shared" si="423"/>
        <v/>
      </c>
      <c r="BF1138" t="str">
        <f t="shared" si="424"/>
        <v/>
      </c>
      <c r="BG1138" t="str">
        <f t="shared" si="425"/>
        <v/>
      </c>
      <c r="BH1138" t="str">
        <f t="shared" si="426"/>
        <v/>
      </c>
      <c r="BI1138" t="str">
        <f t="shared" si="427"/>
        <v/>
      </c>
      <c r="BJ1138" t="str">
        <f t="shared" si="428"/>
        <v/>
      </c>
      <c r="BK1138" t="str">
        <f t="shared" si="429"/>
        <v/>
      </c>
      <c r="BL1138" t="str">
        <f t="shared" si="430"/>
        <v/>
      </c>
      <c r="BM1138" t="str">
        <f t="shared" si="431"/>
        <v/>
      </c>
      <c r="BN1138" t="str">
        <f t="shared" si="432"/>
        <v/>
      </c>
      <c r="BO1138" t="str">
        <f t="shared" si="433"/>
        <v/>
      </c>
      <c r="BP1138" t="str">
        <f t="shared" si="434"/>
        <v/>
      </c>
      <c r="BQ1138" t="str">
        <f t="shared" si="435"/>
        <v/>
      </c>
      <c r="BR1138" t="str">
        <f t="shared" si="436"/>
        <v/>
      </c>
      <c r="BS1138" t="str">
        <f t="shared" si="437"/>
        <v/>
      </c>
      <c r="BT1138" t="str">
        <f t="shared" si="438"/>
        <v/>
      </c>
      <c r="BU1138" t="str">
        <f t="shared" si="439"/>
        <v/>
      </c>
    </row>
    <row r="1139" spans="1:73">
      <c r="A1139" s="1">
        <v>102598</v>
      </c>
      <c r="B1139" t="str">
        <f>VLOOKUP($A1139,[1]Table!$A$2:$N1686,B$1,FALSE)</f>
        <v>S01XA20</v>
      </c>
      <c r="C1139" t="str">
        <f>VLOOKUP($A1139,[1]Table!$A$2:$N1686,C$1,FALSE)</f>
        <v>MIDDELEN VOOR OOGHEELKUNDIG GEBRUIK</v>
      </c>
      <c r="D1139" t="str">
        <f>VLOOKUP($A1139,[1]Table!$A$2:$N1686,D$1,FALSE)</f>
        <v>OVERIGE MIDDELEN VOOR OOGHEELKUNDIG GEBRUIK</v>
      </c>
      <c r="E1139" t="str">
        <f>VLOOKUP($A1139,[1]Table!$A$2:$N1686,E$1,FALSE)</f>
        <v>OOGZALF</v>
      </c>
      <c r="F1139" t="str">
        <f>VLOOKUP($A1139,[1]Table!$A$2:$N1686,F$1,FALSE)</f>
        <v>DURATEARS Z OOGZALF 3.5G</v>
      </c>
      <c r="G1139" t="str">
        <f>VLOOKUP($A1139,[1]Table!$A$2:$N1686,G$1,FALSE)</f>
        <v>OOGZALF (DURATEARS Z)</v>
      </c>
      <c r="H1139" t="str">
        <f>VLOOKUP($A1139,[1]Table!$A$2:$N1686,H$1,FALSE)</f>
        <v>oogzalf</v>
      </c>
      <c r="I1139" t="str">
        <f>VLOOKUP($A1139,[1]Table!$A$2:$N1686,I$1,FALSE)</f>
        <v>oog</v>
      </c>
      <c r="J1139">
        <f>VLOOKUP($A1139,[1]Table!$A$2:$N1686,J$1,FALSE)</f>
        <v>30</v>
      </c>
      <c r="K1139" t="str">
        <f>VLOOKUP($A1139,[1]Table!$A$2:$N1686,K$1,FALSE)</f>
        <v>mg/gr</v>
      </c>
      <c r="L1139">
        <f>VLOOKUP($A1139,[1]Table!$A$2:$N1686,L$1,FALSE)</f>
        <v>30</v>
      </c>
      <c r="M1139" t="str">
        <f>VLOOKUP($A1139,[1]Table!$A$2:$N1686,M$1,FALSE)</f>
        <v>mg</v>
      </c>
      <c r="N1139" t="str">
        <f>VLOOKUP($A1139,[1]Table!$A$2:$N1686,N$1,FALSE)</f>
        <v>Verminderde traansecretie/uitdroging</v>
      </c>
      <c r="O1139" t="str">
        <f>ConcatenateRange(AZ1139:BU1139,"||")</f>
        <v/>
      </c>
      <c r="AZ1139" t="str">
        <f t="shared" si="418"/>
        <v/>
      </c>
      <c r="BA1139" t="str">
        <f t="shared" si="419"/>
        <v/>
      </c>
      <c r="BB1139" t="str">
        <f t="shared" si="420"/>
        <v/>
      </c>
      <c r="BC1139" t="str">
        <f t="shared" si="421"/>
        <v/>
      </c>
      <c r="BD1139" t="str">
        <f t="shared" si="422"/>
        <v/>
      </c>
      <c r="BE1139" t="str">
        <f t="shared" si="423"/>
        <v/>
      </c>
      <c r="BF1139" t="str">
        <f t="shared" si="424"/>
        <v/>
      </c>
      <c r="BG1139" t="str">
        <f t="shared" si="425"/>
        <v/>
      </c>
      <c r="BH1139" t="str">
        <f t="shared" si="426"/>
        <v/>
      </c>
      <c r="BI1139" t="str">
        <f t="shared" si="427"/>
        <v/>
      </c>
      <c r="BJ1139" t="str">
        <f t="shared" si="428"/>
        <v/>
      </c>
      <c r="BK1139" t="str">
        <f t="shared" si="429"/>
        <v/>
      </c>
      <c r="BL1139" t="str">
        <f t="shared" si="430"/>
        <v/>
      </c>
      <c r="BM1139" t="str">
        <f t="shared" si="431"/>
        <v/>
      </c>
      <c r="BN1139" t="str">
        <f t="shared" si="432"/>
        <v/>
      </c>
      <c r="BO1139" t="str">
        <f t="shared" si="433"/>
        <v/>
      </c>
      <c r="BP1139" t="str">
        <f t="shared" si="434"/>
        <v/>
      </c>
      <c r="BQ1139" t="str">
        <f t="shared" si="435"/>
        <v/>
      </c>
      <c r="BR1139" t="str">
        <f t="shared" si="436"/>
        <v/>
      </c>
      <c r="BS1139" t="str">
        <f t="shared" si="437"/>
        <v/>
      </c>
      <c r="BT1139" t="str">
        <f t="shared" si="438"/>
        <v/>
      </c>
      <c r="BU1139" t="str">
        <f t="shared" si="439"/>
        <v/>
      </c>
    </row>
    <row r="1140" spans="1:73">
      <c r="A1140" s="1">
        <v>102571</v>
      </c>
      <c r="B1140" t="str">
        <f>VLOOKUP($A1140,[1]Table!$A$2:$N1685,B$1,FALSE)</f>
        <v>S01XA20</v>
      </c>
      <c r="C1140" t="str">
        <f>VLOOKUP($A1140,[1]Table!$A$2:$N1685,C$1,FALSE)</f>
        <v>MIDDELEN VOOR OOGHEELKUNDIG GEBRUIK</v>
      </c>
      <c r="D1140" t="str">
        <f>VLOOKUP($A1140,[1]Table!$A$2:$N1685,D$1,FALSE)</f>
        <v>OVERIGE MIDDELEN VOOR OOGHEELKUNDIG GEBRUIK</v>
      </c>
      <c r="E1140" t="str">
        <f>VLOOKUP($A1140,[1]Table!$A$2:$N1685,E$1,FALSE)</f>
        <v>OOGZALF</v>
      </c>
      <c r="F1140" t="str">
        <f>VLOOKUP($A1140,[1]Table!$A$2:$N1685,F$1,FALSE)</f>
        <v>OOGZALFBASIS FNA 100 GRAM</v>
      </c>
      <c r="G1140" t="str">
        <f>VLOOKUP($A1140,[1]Table!$A$2:$N1685,G$1,FALSE)</f>
        <v>OOGZALF (BASIS)</v>
      </c>
      <c r="H1140" t="str">
        <f>VLOOKUP($A1140,[1]Table!$A$2:$N1685,H$1,FALSE)</f>
        <v>oogzalf</v>
      </c>
      <c r="I1140" t="str">
        <f>VLOOKUP($A1140,[1]Table!$A$2:$N1685,I$1,FALSE)</f>
        <v>oog</v>
      </c>
      <c r="J1140">
        <f>VLOOKUP($A1140,[1]Table!$A$2:$N1685,J$1,FALSE)</f>
        <v>60</v>
      </c>
      <c r="K1140" t="str">
        <f>VLOOKUP($A1140,[1]Table!$A$2:$N1685,K$1,FALSE)</f>
        <v>mg/gr</v>
      </c>
      <c r="L1140">
        <f>VLOOKUP($A1140,[1]Table!$A$2:$N1685,L$1,FALSE)</f>
        <v>60</v>
      </c>
      <c r="M1140" t="str">
        <f>VLOOKUP($A1140,[1]Table!$A$2:$N1685,M$1,FALSE)</f>
        <v>mg</v>
      </c>
      <c r="N1140" t="str">
        <f>VLOOKUP($A1140,[1]Table!$A$2:$N1685,N$1,FALSE)</f>
        <v>Verminderde traansecretie/uitdroging</v>
      </c>
      <c r="O1140" t="str">
        <f>ConcatenateRange(AZ1140:BU1140,"||")</f>
        <v/>
      </c>
      <c r="AZ1140" t="str">
        <f t="shared" si="418"/>
        <v/>
      </c>
      <c r="BA1140" t="str">
        <f t="shared" si="419"/>
        <v/>
      </c>
      <c r="BB1140" t="str">
        <f t="shared" si="420"/>
        <v/>
      </c>
      <c r="BC1140" t="str">
        <f t="shared" si="421"/>
        <v/>
      </c>
      <c r="BD1140" t="str">
        <f t="shared" si="422"/>
        <v/>
      </c>
      <c r="BE1140" t="str">
        <f t="shared" si="423"/>
        <v/>
      </c>
      <c r="BF1140" t="str">
        <f t="shared" si="424"/>
        <v/>
      </c>
      <c r="BG1140" t="str">
        <f t="shared" si="425"/>
        <v/>
      </c>
      <c r="BH1140" t="str">
        <f t="shared" si="426"/>
        <v/>
      </c>
      <c r="BI1140" t="str">
        <f t="shared" si="427"/>
        <v/>
      </c>
      <c r="BJ1140" t="str">
        <f t="shared" si="428"/>
        <v/>
      </c>
      <c r="BK1140" t="str">
        <f t="shared" si="429"/>
        <v/>
      </c>
      <c r="BL1140" t="str">
        <f t="shared" si="430"/>
        <v/>
      </c>
      <c r="BM1140" t="str">
        <f t="shared" si="431"/>
        <v/>
      </c>
      <c r="BN1140" t="str">
        <f t="shared" si="432"/>
        <v/>
      </c>
      <c r="BO1140" t="str">
        <f t="shared" si="433"/>
        <v/>
      </c>
      <c r="BP1140" t="str">
        <f t="shared" si="434"/>
        <v/>
      </c>
      <c r="BQ1140" t="str">
        <f t="shared" si="435"/>
        <v/>
      </c>
      <c r="BR1140" t="str">
        <f t="shared" si="436"/>
        <v/>
      </c>
      <c r="BS1140" t="str">
        <f t="shared" si="437"/>
        <v/>
      </c>
      <c r="BT1140" t="str">
        <f t="shared" si="438"/>
        <v/>
      </c>
      <c r="BU1140" t="str">
        <f t="shared" si="439"/>
        <v/>
      </c>
    </row>
    <row r="1141" spans="1:73">
      <c r="A1141" s="1">
        <v>129879</v>
      </c>
      <c r="B1141" t="str">
        <f>VLOOKUP($A1141,[1]Table!$A$2:$N1285,B$1,FALSE)</f>
        <v>J05AH02</v>
      </c>
      <c r="C1141" t="str">
        <f>VLOOKUP($A1141,[1]Table!$A$2:$N1285,C$1,FALSE)</f>
        <v>ANTIVIRALE MIDDELEN VOOR SYSTEMISCH GEBRUIK</v>
      </c>
      <c r="D1141" t="str">
        <f>VLOOKUP($A1141,[1]Table!$A$2:$N1285,D$1,FALSE)</f>
        <v>DIRECT WERKENDE ANTIVIRALE MIDDELEN</v>
      </c>
      <c r="E1141" t="str">
        <f>VLOOKUP($A1141,[1]Table!$A$2:$N1285,E$1,FALSE)</f>
        <v>OSELTAMIVIR</v>
      </c>
      <c r="F1141" t="str">
        <f>VLOOKUP($A1141,[1]Table!$A$2:$N1285,F$1,FALSE)</f>
        <v>TAMIFLU 30 MG CAPSULE</v>
      </c>
      <c r="G1141" t="str">
        <f>VLOOKUP($A1141,[1]Table!$A$2:$N1285,G$1,FALSE)</f>
        <v>OSELTAMIVIR 30MG CAPSULE</v>
      </c>
      <c r="H1141" t="str">
        <f>VLOOKUP($A1141,[1]Table!$A$2:$N1285,H$1,FALSE)</f>
        <v>capsule</v>
      </c>
      <c r="I1141" t="str">
        <f>VLOOKUP($A1141,[1]Table!$A$2:$N1285,I$1,FALSE)</f>
        <v>or</v>
      </c>
      <c r="J1141">
        <f>VLOOKUP($A1141,[1]Table!$A$2:$N1285,J$1,FALSE)</f>
        <v>30</v>
      </c>
      <c r="K1141" t="str">
        <f>VLOOKUP($A1141,[1]Table!$A$2:$N1285,K$1,FALSE)</f>
        <v>mg/stuk</v>
      </c>
      <c r="L1141">
        <f>VLOOKUP($A1141,[1]Table!$A$2:$N1285,L$1,FALSE)</f>
        <v>30</v>
      </c>
      <c r="M1141" t="str">
        <f>VLOOKUP($A1141,[1]Table!$A$2:$N1285,M$1,FALSE)</f>
        <v>mg</v>
      </c>
      <c r="N1141" t="str">
        <f>VLOOKUP($A1141,[1]Table!$A$2:$N1285,N$1,FALSE)</f>
        <v xml:space="preserve">Behandeling influenza||Preventie influenza (post expositie) </v>
      </c>
      <c r="O1141" t="str">
        <f>ConcatenateRange(AZ1141:BU1141,"||")</f>
        <v/>
      </c>
      <c r="AZ1141" t="str">
        <f t="shared" si="418"/>
        <v/>
      </c>
      <c r="BA1141" t="str">
        <f t="shared" si="419"/>
        <v/>
      </c>
      <c r="BB1141" t="str">
        <f t="shared" si="420"/>
        <v/>
      </c>
      <c r="BC1141" t="str">
        <f t="shared" si="421"/>
        <v/>
      </c>
      <c r="BD1141" t="str">
        <f t="shared" si="422"/>
        <v/>
      </c>
      <c r="BE1141" t="str">
        <f t="shared" si="423"/>
        <v/>
      </c>
      <c r="BF1141" t="str">
        <f t="shared" si="424"/>
        <v/>
      </c>
      <c r="BG1141" t="str">
        <f t="shared" si="425"/>
        <v/>
      </c>
      <c r="BH1141" t="str">
        <f t="shared" si="426"/>
        <v/>
      </c>
      <c r="BI1141" t="str">
        <f t="shared" si="427"/>
        <v/>
      </c>
      <c r="BJ1141" t="str">
        <f t="shared" si="428"/>
        <v/>
      </c>
      <c r="BK1141" t="str">
        <f t="shared" si="429"/>
        <v/>
      </c>
      <c r="BL1141" t="str">
        <f t="shared" si="430"/>
        <v/>
      </c>
      <c r="BM1141" t="str">
        <f t="shared" si="431"/>
        <v/>
      </c>
      <c r="BN1141" t="str">
        <f t="shared" si="432"/>
        <v/>
      </c>
      <c r="BO1141" t="str">
        <f t="shared" si="433"/>
        <v/>
      </c>
      <c r="BP1141" t="str">
        <f t="shared" si="434"/>
        <v/>
      </c>
      <c r="BQ1141" t="str">
        <f t="shared" si="435"/>
        <v/>
      </c>
      <c r="BR1141" t="str">
        <f t="shared" si="436"/>
        <v/>
      </c>
      <c r="BS1141" t="str">
        <f t="shared" si="437"/>
        <v/>
      </c>
      <c r="BT1141" t="str">
        <f t="shared" si="438"/>
        <v/>
      </c>
      <c r="BU1141" t="str">
        <f t="shared" si="439"/>
        <v/>
      </c>
    </row>
    <row r="1142" spans="1:73">
      <c r="A1142" s="1">
        <v>129887</v>
      </c>
      <c r="B1142" t="str">
        <f>VLOOKUP($A1142,[1]Table!$A$2:$N1286,B$1,FALSE)</f>
        <v>J05AH02</v>
      </c>
      <c r="C1142" t="str">
        <f>VLOOKUP($A1142,[1]Table!$A$2:$N1286,C$1,FALSE)</f>
        <v>ANTIVIRALE MIDDELEN VOOR SYSTEMISCH GEBRUIK</v>
      </c>
      <c r="D1142" t="str">
        <f>VLOOKUP($A1142,[1]Table!$A$2:$N1286,D$1,FALSE)</f>
        <v>DIRECT WERKENDE ANTIVIRALE MIDDELEN</v>
      </c>
      <c r="E1142" t="str">
        <f>VLOOKUP($A1142,[1]Table!$A$2:$N1286,E$1,FALSE)</f>
        <v>OSELTAMIVIR</v>
      </c>
      <c r="F1142" t="str">
        <f>VLOOKUP($A1142,[1]Table!$A$2:$N1286,F$1,FALSE)</f>
        <v>TAMIFLU 45 MG CAPSULE</v>
      </c>
      <c r="G1142" t="str">
        <f>VLOOKUP($A1142,[1]Table!$A$2:$N1286,G$1,FALSE)</f>
        <v>OSELTAMIVIR 45MG CAPSULE</v>
      </c>
      <c r="H1142" t="str">
        <f>VLOOKUP($A1142,[1]Table!$A$2:$N1286,H$1,FALSE)</f>
        <v>capsule</v>
      </c>
      <c r="I1142" t="str">
        <f>VLOOKUP($A1142,[1]Table!$A$2:$N1286,I$1,FALSE)</f>
        <v>or</v>
      </c>
      <c r="J1142">
        <f>VLOOKUP($A1142,[1]Table!$A$2:$N1286,J$1,FALSE)</f>
        <v>45</v>
      </c>
      <c r="K1142" t="str">
        <f>VLOOKUP($A1142,[1]Table!$A$2:$N1286,K$1,FALSE)</f>
        <v>mg/stuk</v>
      </c>
      <c r="L1142">
        <f>VLOOKUP($A1142,[1]Table!$A$2:$N1286,L$1,FALSE)</f>
        <v>45</v>
      </c>
      <c r="M1142" t="str">
        <f>VLOOKUP($A1142,[1]Table!$A$2:$N1286,M$1,FALSE)</f>
        <v>mg</v>
      </c>
      <c r="N1142" t="str">
        <f>VLOOKUP($A1142,[1]Table!$A$2:$N1286,N$1,FALSE)</f>
        <v xml:space="preserve">Behandeling influenza||Preventie influenza (post expositie) </v>
      </c>
      <c r="O1142" t="str">
        <f>ConcatenateRange(AZ1142:BU1142,"||")</f>
        <v/>
      </c>
      <c r="AZ1142" t="str">
        <f t="shared" si="418"/>
        <v/>
      </c>
      <c r="BA1142" t="str">
        <f t="shared" si="419"/>
        <v/>
      </c>
      <c r="BB1142" t="str">
        <f t="shared" si="420"/>
        <v/>
      </c>
      <c r="BC1142" t="str">
        <f t="shared" si="421"/>
        <v/>
      </c>
      <c r="BD1142" t="str">
        <f t="shared" si="422"/>
        <v/>
      </c>
      <c r="BE1142" t="str">
        <f t="shared" si="423"/>
        <v/>
      </c>
      <c r="BF1142" t="str">
        <f t="shared" si="424"/>
        <v/>
      </c>
      <c r="BG1142" t="str">
        <f t="shared" si="425"/>
        <v/>
      </c>
      <c r="BH1142" t="str">
        <f t="shared" si="426"/>
        <v/>
      </c>
      <c r="BI1142" t="str">
        <f t="shared" si="427"/>
        <v/>
      </c>
      <c r="BJ1142" t="str">
        <f t="shared" si="428"/>
        <v/>
      </c>
      <c r="BK1142" t="str">
        <f t="shared" si="429"/>
        <v/>
      </c>
      <c r="BL1142" t="str">
        <f t="shared" si="430"/>
        <v/>
      </c>
      <c r="BM1142" t="str">
        <f t="shared" si="431"/>
        <v/>
      </c>
      <c r="BN1142" t="str">
        <f t="shared" si="432"/>
        <v/>
      </c>
      <c r="BO1142" t="str">
        <f t="shared" si="433"/>
        <v/>
      </c>
      <c r="BP1142" t="str">
        <f t="shared" si="434"/>
        <v/>
      </c>
      <c r="BQ1142" t="str">
        <f t="shared" si="435"/>
        <v/>
      </c>
      <c r="BR1142" t="str">
        <f t="shared" si="436"/>
        <v/>
      </c>
      <c r="BS1142" t="str">
        <f t="shared" si="437"/>
        <v/>
      </c>
      <c r="BT1142" t="str">
        <f t="shared" si="438"/>
        <v/>
      </c>
      <c r="BU1142" t="str">
        <f t="shared" si="439"/>
        <v/>
      </c>
    </row>
    <row r="1143" spans="1:73">
      <c r="A1143" s="1">
        <v>116335</v>
      </c>
      <c r="B1143" t="str">
        <f>VLOOKUP($A1143,[1]Table!$A$2:$N1287,B$1,FALSE)</f>
        <v>J05AH02</v>
      </c>
      <c r="C1143" t="str">
        <f>VLOOKUP($A1143,[1]Table!$A$2:$N1287,C$1,FALSE)</f>
        <v>ANTIVIRALE MIDDELEN VOOR SYSTEMISCH GEBRUIK</v>
      </c>
      <c r="D1143" t="str">
        <f>VLOOKUP($A1143,[1]Table!$A$2:$N1287,D$1,FALSE)</f>
        <v>DIRECT WERKENDE ANTIVIRALE MIDDELEN</v>
      </c>
      <c r="E1143" t="str">
        <f>VLOOKUP($A1143,[1]Table!$A$2:$N1287,E$1,FALSE)</f>
        <v>OSELTAMIVIR</v>
      </c>
      <c r="F1143" t="str">
        <f>VLOOKUP($A1143,[1]Table!$A$2:$N1287,F$1,FALSE)</f>
        <v>TAMIFLU 75 MG CAPSULE</v>
      </c>
      <c r="G1143" t="str">
        <f>VLOOKUP($A1143,[1]Table!$A$2:$N1287,G$1,FALSE)</f>
        <v>OSELTAMIVIR 75MG CAPSULE</v>
      </c>
      <c r="H1143" t="str">
        <f>VLOOKUP($A1143,[1]Table!$A$2:$N1287,H$1,FALSE)</f>
        <v>capsule</v>
      </c>
      <c r="I1143" t="str">
        <f>VLOOKUP($A1143,[1]Table!$A$2:$N1287,I$1,FALSE)</f>
        <v>or</v>
      </c>
      <c r="J1143">
        <f>VLOOKUP($A1143,[1]Table!$A$2:$N1287,J$1,FALSE)</f>
        <v>75</v>
      </c>
      <c r="K1143" t="str">
        <f>VLOOKUP($A1143,[1]Table!$A$2:$N1287,K$1,FALSE)</f>
        <v>mg/stuk</v>
      </c>
      <c r="L1143">
        <f>VLOOKUP($A1143,[1]Table!$A$2:$N1287,L$1,FALSE)</f>
        <v>75</v>
      </c>
      <c r="M1143" t="str">
        <f>VLOOKUP($A1143,[1]Table!$A$2:$N1287,M$1,FALSE)</f>
        <v>mg</v>
      </c>
      <c r="N1143" t="str">
        <f>VLOOKUP($A1143,[1]Table!$A$2:$N1287,N$1,FALSE)</f>
        <v xml:space="preserve">Behandeling influenza||Preventie influenza (post expositie) </v>
      </c>
      <c r="O1143" t="str">
        <f>ConcatenateRange(AZ1143:BU1143,"||")</f>
        <v/>
      </c>
      <c r="AZ1143" t="str">
        <f t="shared" si="418"/>
        <v/>
      </c>
      <c r="BA1143" t="str">
        <f t="shared" si="419"/>
        <v/>
      </c>
      <c r="BB1143" t="str">
        <f t="shared" si="420"/>
        <v/>
      </c>
      <c r="BC1143" t="str">
        <f t="shared" si="421"/>
        <v/>
      </c>
      <c r="BD1143" t="str">
        <f t="shared" si="422"/>
        <v/>
      </c>
      <c r="BE1143" t="str">
        <f t="shared" si="423"/>
        <v/>
      </c>
      <c r="BF1143" t="str">
        <f t="shared" si="424"/>
        <v/>
      </c>
      <c r="BG1143" t="str">
        <f t="shared" si="425"/>
        <v/>
      </c>
      <c r="BH1143" t="str">
        <f t="shared" si="426"/>
        <v/>
      </c>
      <c r="BI1143" t="str">
        <f t="shared" si="427"/>
        <v/>
      </c>
      <c r="BJ1143" t="str">
        <f t="shared" si="428"/>
        <v/>
      </c>
      <c r="BK1143" t="str">
        <f t="shared" si="429"/>
        <v/>
      </c>
      <c r="BL1143" t="str">
        <f t="shared" si="430"/>
        <v/>
      </c>
      <c r="BM1143" t="str">
        <f t="shared" si="431"/>
        <v/>
      </c>
      <c r="BN1143" t="str">
        <f t="shared" si="432"/>
        <v/>
      </c>
      <c r="BO1143" t="str">
        <f t="shared" si="433"/>
        <v/>
      </c>
      <c r="BP1143" t="str">
        <f t="shared" si="434"/>
        <v/>
      </c>
      <c r="BQ1143" t="str">
        <f t="shared" si="435"/>
        <v/>
      </c>
      <c r="BR1143" t="str">
        <f t="shared" si="436"/>
        <v/>
      </c>
      <c r="BS1143" t="str">
        <f t="shared" si="437"/>
        <v/>
      </c>
      <c r="BT1143" t="str">
        <f t="shared" si="438"/>
        <v/>
      </c>
      <c r="BU1143" t="str">
        <f t="shared" si="439"/>
        <v/>
      </c>
    </row>
    <row r="1144" spans="1:73">
      <c r="A1144" s="1">
        <v>140198</v>
      </c>
      <c r="B1144" t="str">
        <f>VLOOKUP($A1144,[1]Table!$A$2:$N1288,B$1,FALSE)</f>
        <v>J05AH02</v>
      </c>
      <c r="C1144" t="str">
        <f>VLOOKUP($A1144,[1]Table!$A$2:$N1288,C$1,FALSE)</f>
        <v>ANTIVIRALE MIDDELEN VOOR SYSTEMISCH GEBRUIK</v>
      </c>
      <c r="D1144" t="str">
        <f>VLOOKUP($A1144,[1]Table!$A$2:$N1288,D$1,FALSE)</f>
        <v>DIRECT WERKENDE ANTIVIRALE MIDDELEN</v>
      </c>
      <c r="E1144" t="str">
        <f>VLOOKUP($A1144,[1]Table!$A$2:$N1288,E$1,FALSE)</f>
        <v>OSELTAMIVIR</v>
      </c>
      <c r="F1144" t="str">
        <f>VLOOKUP($A1144,[1]Table!$A$2:$N1288,F$1,FALSE)</f>
        <v>TAMIFLU POEDER VOOR SUSPENSIE  6MG/ML 65 ML</v>
      </c>
      <c r="G1144" t="str">
        <f>VLOOKUP($A1144,[1]Table!$A$2:$N1288,G$1,FALSE)</f>
        <v>OSELTAMIVIR 6MG/ML SUSP ORA</v>
      </c>
      <c r="H1144" t="str">
        <f>VLOOKUP($A1144,[1]Table!$A$2:$N1288,H$1,FALSE)</f>
        <v>suspensie voor oraal gebruik</v>
      </c>
      <c r="I1144" t="str">
        <f>VLOOKUP($A1144,[1]Table!$A$2:$N1288,I$1,FALSE)</f>
        <v>or</v>
      </c>
      <c r="J1144">
        <f>VLOOKUP($A1144,[1]Table!$A$2:$N1288,J$1,FALSE)</f>
        <v>6</v>
      </c>
      <c r="K1144" t="str">
        <f>VLOOKUP($A1144,[1]Table!$A$2:$N1288,K$1,FALSE)</f>
        <v>mg/ml</v>
      </c>
      <c r="L1144">
        <f>VLOOKUP($A1144,[1]Table!$A$2:$N1288,L$1,FALSE)</f>
        <v>6</v>
      </c>
      <c r="M1144" t="str">
        <f>VLOOKUP($A1144,[1]Table!$A$2:$N1288,M$1,FALSE)</f>
        <v>mg</v>
      </c>
      <c r="N1144" t="str">
        <f>VLOOKUP($A1144,[1]Table!$A$2:$N1288,N$1,FALSE)</f>
        <v xml:space="preserve">Behandeling influenza||Preventie influenza (post expositie) </v>
      </c>
      <c r="O1144" t="str">
        <f>ConcatenateRange(AZ1144:BU1144,"||")</f>
        <v/>
      </c>
      <c r="AZ1144" t="str">
        <f t="shared" si="418"/>
        <v/>
      </c>
      <c r="BA1144" t="str">
        <f t="shared" si="419"/>
        <v/>
      </c>
      <c r="BB1144" t="str">
        <f t="shared" si="420"/>
        <v/>
      </c>
      <c r="BC1144" t="str">
        <f t="shared" si="421"/>
        <v/>
      </c>
      <c r="BD1144" t="str">
        <f t="shared" si="422"/>
        <v/>
      </c>
      <c r="BE1144" t="str">
        <f t="shared" si="423"/>
        <v/>
      </c>
      <c r="BF1144" t="str">
        <f t="shared" si="424"/>
        <v/>
      </c>
      <c r="BG1144" t="str">
        <f t="shared" si="425"/>
        <v/>
      </c>
      <c r="BH1144" t="str">
        <f t="shared" si="426"/>
        <v/>
      </c>
      <c r="BI1144" t="str">
        <f t="shared" si="427"/>
        <v/>
      </c>
      <c r="BJ1144" t="str">
        <f t="shared" si="428"/>
        <v/>
      </c>
      <c r="BK1144" t="str">
        <f t="shared" si="429"/>
        <v/>
      </c>
      <c r="BL1144" t="str">
        <f t="shared" si="430"/>
        <v/>
      </c>
      <c r="BM1144" t="str">
        <f t="shared" si="431"/>
        <v/>
      </c>
      <c r="BN1144" t="str">
        <f t="shared" si="432"/>
        <v/>
      </c>
      <c r="BO1144" t="str">
        <f t="shared" si="433"/>
        <v/>
      </c>
      <c r="BP1144" t="str">
        <f t="shared" si="434"/>
        <v/>
      </c>
      <c r="BQ1144" t="str">
        <f t="shared" si="435"/>
        <v/>
      </c>
      <c r="BR1144" t="str">
        <f t="shared" si="436"/>
        <v/>
      </c>
      <c r="BS1144" t="str">
        <f t="shared" si="437"/>
        <v/>
      </c>
      <c r="BT1144" t="str">
        <f t="shared" si="438"/>
        <v/>
      </c>
      <c r="BU1144" t="str">
        <f t="shared" si="439"/>
        <v/>
      </c>
    </row>
    <row r="1145" spans="1:73">
      <c r="A1145" s="1">
        <v>1023</v>
      </c>
      <c r="B1145" t="str">
        <f>VLOOKUP($A1145,[1]Table!$A$2:$N1289,B$1,FALSE)</f>
        <v>N05BA04</v>
      </c>
      <c r="C1145" t="str">
        <f>VLOOKUP($A1145,[1]Table!$A$2:$N1289,C$1,FALSE)</f>
        <v>PSYCHOLEPTICA</v>
      </c>
      <c r="D1145" t="str">
        <f>VLOOKUP($A1145,[1]Table!$A$2:$N1289,D$1,FALSE)</f>
        <v>ANXIOLYTICA</v>
      </c>
      <c r="E1145" t="str">
        <f>VLOOKUP($A1145,[1]Table!$A$2:$N1289,E$1,FALSE)</f>
        <v>OXAZEPAM</v>
      </c>
      <c r="F1145" t="str">
        <f>VLOOKUP($A1145,[1]Table!$A$2:$N1289,F$1,FALSE)</f>
        <v>OXAZEPAM 10 MG TABLET</v>
      </c>
      <c r="G1145" t="str">
        <f>VLOOKUP($A1145,[1]Table!$A$2:$N1289,G$1,FALSE)</f>
        <v>OXAZEPAM 10MG TABLET</v>
      </c>
      <c r="H1145" t="str">
        <f>VLOOKUP($A1145,[1]Table!$A$2:$N1289,H$1,FALSE)</f>
        <v>tablet</v>
      </c>
      <c r="I1145" t="str">
        <f>VLOOKUP($A1145,[1]Table!$A$2:$N1289,I$1,FALSE)</f>
        <v>or</v>
      </c>
      <c r="J1145">
        <f>VLOOKUP($A1145,[1]Table!$A$2:$N1289,J$1,FALSE)</f>
        <v>10</v>
      </c>
      <c r="K1145" t="str">
        <f>VLOOKUP($A1145,[1]Table!$A$2:$N1289,K$1,FALSE)</f>
        <v>mg/stuk</v>
      </c>
      <c r="L1145">
        <f>VLOOKUP($A1145,[1]Table!$A$2:$N1289,L$1,FALSE)</f>
        <v>5</v>
      </c>
      <c r="M1145" t="str">
        <f>VLOOKUP($A1145,[1]Table!$A$2:$N1289,M$1,FALSE)</f>
        <v>mg</v>
      </c>
      <c r="N1145" t="str">
        <f>VLOOKUP($A1145,[1]Table!$A$2:$N1289,N$1,FALSE)</f>
        <v>Pathologische angst en spanning</v>
      </c>
      <c r="O1145" t="str">
        <f>ConcatenateRange(AZ1145:BU1145,"||")</f>
        <v/>
      </c>
      <c r="AZ1145" t="str">
        <f t="shared" si="418"/>
        <v/>
      </c>
      <c r="BA1145" t="str">
        <f t="shared" si="419"/>
        <v/>
      </c>
      <c r="BB1145" t="str">
        <f t="shared" si="420"/>
        <v/>
      </c>
      <c r="BC1145" t="str">
        <f t="shared" si="421"/>
        <v/>
      </c>
      <c r="BD1145" t="str">
        <f t="shared" si="422"/>
        <v/>
      </c>
      <c r="BE1145" t="str">
        <f t="shared" si="423"/>
        <v/>
      </c>
      <c r="BF1145" t="str">
        <f t="shared" si="424"/>
        <v/>
      </c>
      <c r="BG1145" t="str">
        <f t="shared" si="425"/>
        <v/>
      </c>
      <c r="BH1145" t="str">
        <f t="shared" si="426"/>
        <v/>
      </c>
      <c r="BI1145" t="str">
        <f t="shared" si="427"/>
        <v/>
      </c>
      <c r="BJ1145" t="str">
        <f t="shared" si="428"/>
        <v/>
      </c>
      <c r="BK1145" t="str">
        <f t="shared" si="429"/>
        <v/>
      </c>
      <c r="BL1145" t="str">
        <f t="shared" si="430"/>
        <v/>
      </c>
      <c r="BM1145" t="str">
        <f t="shared" si="431"/>
        <v/>
      </c>
      <c r="BN1145" t="str">
        <f t="shared" si="432"/>
        <v/>
      </c>
      <c r="BO1145" t="str">
        <f t="shared" si="433"/>
        <v/>
      </c>
      <c r="BP1145" t="str">
        <f t="shared" si="434"/>
        <v/>
      </c>
      <c r="BQ1145" t="str">
        <f t="shared" si="435"/>
        <v/>
      </c>
      <c r="BR1145" t="str">
        <f t="shared" si="436"/>
        <v/>
      </c>
      <c r="BS1145" t="str">
        <f t="shared" si="437"/>
        <v/>
      </c>
      <c r="BT1145" t="str">
        <f t="shared" si="438"/>
        <v/>
      </c>
      <c r="BU1145" t="str">
        <f t="shared" si="439"/>
        <v/>
      </c>
    </row>
    <row r="1146" spans="1:73">
      <c r="A1146" s="1">
        <v>20257</v>
      </c>
      <c r="B1146" t="str">
        <f>VLOOKUP($A1146,[1]Table!$A$2:$N1290,B$1,FALSE)</f>
        <v>N05BA04</v>
      </c>
      <c r="C1146" t="str">
        <f>VLOOKUP($A1146,[1]Table!$A$2:$N1290,C$1,FALSE)</f>
        <v>PSYCHOLEPTICA</v>
      </c>
      <c r="D1146" t="str">
        <f>VLOOKUP($A1146,[1]Table!$A$2:$N1290,D$1,FALSE)</f>
        <v>ANXIOLYTICA</v>
      </c>
      <c r="E1146" t="str">
        <f>VLOOKUP($A1146,[1]Table!$A$2:$N1290,E$1,FALSE)</f>
        <v>OXAZEPAM</v>
      </c>
      <c r="F1146" t="str">
        <f>VLOOKUP($A1146,[1]Table!$A$2:$N1290,F$1,FALSE)</f>
        <v>OXAZEPAM 50 MG TABLET</v>
      </c>
      <c r="G1146" t="str">
        <f>VLOOKUP($A1146,[1]Table!$A$2:$N1290,G$1,FALSE)</f>
        <v>OXAZEPAM 50MG TABLET</v>
      </c>
      <c r="H1146" t="str">
        <f>VLOOKUP($A1146,[1]Table!$A$2:$N1290,H$1,FALSE)</f>
        <v>tablet</v>
      </c>
      <c r="I1146" t="str">
        <f>VLOOKUP($A1146,[1]Table!$A$2:$N1290,I$1,FALSE)</f>
        <v>or</v>
      </c>
      <c r="J1146">
        <f>VLOOKUP($A1146,[1]Table!$A$2:$N1290,J$1,FALSE)</f>
        <v>50</v>
      </c>
      <c r="K1146" t="str">
        <f>VLOOKUP($A1146,[1]Table!$A$2:$N1290,K$1,FALSE)</f>
        <v>mg/stuk</v>
      </c>
      <c r="L1146">
        <f>VLOOKUP($A1146,[1]Table!$A$2:$N1290,L$1,FALSE)</f>
        <v>25</v>
      </c>
      <c r="M1146" t="str">
        <f>VLOOKUP($A1146,[1]Table!$A$2:$N1290,M$1,FALSE)</f>
        <v>mg</v>
      </c>
      <c r="N1146" t="str">
        <f>VLOOKUP($A1146,[1]Table!$A$2:$N1290,N$1,FALSE)</f>
        <v>Pathologische angst en spanning</v>
      </c>
      <c r="O1146" t="str">
        <f>ConcatenateRange(AZ1146:BU1146,"||")</f>
        <v/>
      </c>
      <c r="AZ1146" t="str">
        <f t="shared" si="418"/>
        <v/>
      </c>
      <c r="BA1146" t="str">
        <f t="shared" si="419"/>
        <v/>
      </c>
      <c r="BB1146" t="str">
        <f t="shared" si="420"/>
        <v/>
      </c>
      <c r="BC1146" t="str">
        <f t="shared" si="421"/>
        <v/>
      </c>
      <c r="BD1146" t="str">
        <f t="shared" si="422"/>
        <v/>
      </c>
      <c r="BE1146" t="str">
        <f t="shared" si="423"/>
        <v/>
      </c>
      <c r="BF1146" t="str">
        <f t="shared" si="424"/>
        <v/>
      </c>
      <c r="BG1146" t="str">
        <f t="shared" si="425"/>
        <v/>
      </c>
      <c r="BH1146" t="str">
        <f t="shared" si="426"/>
        <v/>
      </c>
      <c r="BI1146" t="str">
        <f t="shared" si="427"/>
        <v/>
      </c>
      <c r="BJ1146" t="str">
        <f t="shared" si="428"/>
        <v/>
      </c>
      <c r="BK1146" t="str">
        <f t="shared" si="429"/>
        <v/>
      </c>
      <c r="BL1146" t="str">
        <f t="shared" si="430"/>
        <v/>
      </c>
      <c r="BM1146" t="str">
        <f t="shared" si="431"/>
        <v/>
      </c>
      <c r="BN1146" t="str">
        <f t="shared" si="432"/>
        <v/>
      </c>
      <c r="BO1146" t="str">
        <f t="shared" si="433"/>
        <v/>
      </c>
      <c r="BP1146" t="str">
        <f t="shared" si="434"/>
        <v/>
      </c>
      <c r="BQ1146" t="str">
        <f t="shared" si="435"/>
        <v/>
      </c>
      <c r="BR1146" t="str">
        <f t="shared" si="436"/>
        <v/>
      </c>
      <c r="BS1146" t="str">
        <f t="shared" si="437"/>
        <v/>
      </c>
      <c r="BT1146" t="str">
        <f t="shared" si="438"/>
        <v/>
      </c>
      <c r="BU1146" t="str">
        <f t="shared" si="439"/>
        <v/>
      </c>
    </row>
    <row r="1147" spans="1:73">
      <c r="A1147" s="1">
        <v>110620</v>
      </c>
      <c r="B1147" t="str">
        <f>VLOOKUP($A1147,[1]Table!$A$2:$N1291,B$1,FALSE)</f>
        <v>N03AF02</v>
      </c>
      <c r="C1147" t="str">
        <f>VLOOKUP($A1147,[1]Table!$A$2:$N1291,C$1,FALSE)</f>
        <v>ANTI-EPILEPTICA</v>
      </c>
      <c r="D1147" t="str">
        <f>VLOOKUP($A1147,[1]Table!$A$2:$N1291,D$1,FALSE)</f>
        <v>ANTI-EPILEPTICA</v>
      </c>
      <c r="E1147" t="str">
        <f>VLOOKUP($A1147,[1]Table!$A$2:$N1291,E$1,FALSE)</f>
        <v>OXCARBAZEPINE</v>
      </c>
      <c r="F1147" t="str">
        <f>VLOOKUP($A1147,[1]Table!$A$2:$N1291,F$1,FALSE)</f>
        <v>TRILEPTAL 300 MG TABLET OMHULD</v>
      </c>
      <c r="G1147" t="str">
        <f>VLOOKUP($A1147,[1]Table!$A$2:$N1291,G$1,FALSE)</f>
        <v>OXCARBAZEPINE 300MG TABL FO</v>
      </c>
      <c r="H1147" t="str">
        <f>VLOOKUP($A1147,[1]Table!$A$2:$N1291,H$1,FALSE)</f>
        <v>filmomhulde tablet</v>
      </c>
      <c r="I1147" t="str">
        <f>VLOOKUP($A1147,[1]Table!$A$2:$N1291,I$1,FALSE)</f>
        <v>or</v>
      </c>
      <c r="J1147">
        <f>VLOOKUP($A1147,[1]Table!$A$2:$N1291,J$1,FALSE)</f>
        <v>300</v>
      </c>
      <c r="K1147" t="str">
        <f>VLOOKUP($A1147,[1]Table!$A$2:$N1291,K$1,FALSE)</f>
        <v>mg/stuk</v>
      </c>
      <c r="L1147">
        <f>VLOOKUP($A1147,[1]Table!$A$2:$N1291,L$1,FALSE)</f>
        <v>150</v>
      </c>
      <c r="M1147" t="str">
        <f>VLOOKUP($A1147,[1]Table!$A$2:$N1291,M$1,FALSE)</f>
        <v>mg</v>
      </c>
      <c r="N1147" t="str">
        <f>VLOOKUP($A1147,[1]Table!$A$2:$N1291,N$1,FALSE)</f>
        <v>Epilepsie, primair gegeneraliseerde en partiele aanvallen</v>
      </c>
      <c r="O1147" t="str">
        <f>ConcatenateRange(AZ1147:BU1147,"||")</f>
        <v/>
      </c>
      <c r="AZ1147" t="str">
        <f t="shared" si="418"/>
        <v/>
      </c>
      <c r="BA1147" t="str">
        <f t="shared" si="419"/>
        <v/>
      </c>
      <c r="BB1147" t="str">
        <f t="shared" si="420"/>
        <v/>
      </c>
      <c r="BC1147" t="str">
        <f t="shared" si="421"/>
        <v/>
      </c>
      <c r="BD1147" t="str">
        <f t="shared" si="422"/>
        <v/>
      </c>
      <c r="BE1147" t="str">
        <f t="shared" si="423"/>
        <v/>
      </c>
      <c r="BF1147" t="str">
        <f t="shared" si="424"/>
        <v/>
      </c>
      <c r="BG1147" t="str">
        <f t="shared" si="425"/>
        <v/>
      </c>
      <c r="BH1147" t="str">
        <f t="shared" si="426"/>
        <v/>
      </c>
      <c r="BI1147" t="str">
        <f t="shared" si="427"/>
        <v/>
      </c>
      <c r="BJ1147" t="str">
        <f t="shared" si="428"/>
        <v/>
      </c>
      <c r="BK1147" t="str">
        <f t="shared" si="429"/>
        <v/>
      </c>
      <c r="BL1147" t="str">
        <f t="shared" si="430"/>
        <v/>
      </c>
      <c r="BM1147" t="str">
        <f t="shared" si="431"/>
        <v/>
      </c>
      <c r="BN1147" t="str">
        <f t="shared" si="432"/>
        <v/>
      </c>
      <c r="BO1147" t="str">
        <f t="shared" si="433"/>
        <v/>
      </c>
      <c r="BP1147" t="str">
        <f t="shared" si="434"/>
        <v/>
      </c>
      <c r="BQ1147" t="str">
        <f t="shared" si="435"/>
        <v/>
      </c>
      <c r="BR1147" t="str">
        <f t="shared" si="436"/>
        <v/>
      </c>
      <c r="BS1147" t="str">
        <f t="shared" si="437"/>
        <v/>
      </c>
      <c r="BT1147" t="str">
        <f t="shared" si="438"/>
        <v/>
      </c>
      <c r="BU1147" t="str">
        <f t="shared" si="439"/>
        <v/>
      </c>
    </row>
    <row r="1148" spans="1:73">
      <c r="A1148" s="1">
        <v>110639</v>
      </c>
      <c r="B1148" t="str">
        <f>VLOOKUP($A1148,[1]Table!$A$2:$N1292,B$1,FALSE)</f>
        <v>N03AF02</v>
      </c>
      <c r="C1148" t="str">
        <f>VLOOKUP($A1148,[1]Table!$A$2:$N1292,C$1,FALSE)</f>
        <v>ANTI-EPILEPTICA</v>
      </c>
      <c r="D1148" t="str">
        <f>VLOOKUP($A1148,[1]Table!$A$2:$N1292,D$1,FALSE)</f>
        <v>ANTI-EPILEPTICA</v>
      </c>
      <c r="E1148" t="str">
        <f>VLOOKUP($A1148,[1]Table!$A$2:$N1292,E$1,FALSE)</f>
        <v>OXCARBAZEPINE</v>
      </c>
      <c r="F1148" t="str">
        <f>VLOOKUP($A1148,[1]Table!$A$2:$N1292,F$1,FALSE)</f>
        <v>OXCARBAZEPINE 600 MG TABLET OMHULD</v>
      </c>
      <c r="G1148" t="str">
        <f>VLOOKUP($A1148,[1]Table!$A$2:$N1292,G$1,FALSE)</f>
        <v>OXCARBAZEPINE 600MG TABL FO</v>
      </c>
      <c r="H1148" t="str">
        <f>VLOOKUP($A1148,[1]Table!$A$2:$N1292,H$1,FALSE)</f>
        <v>filmomhulde tablet</v>
      </c>
      <c r="I1148" t="str">
        <f>VLOOKUP($A1148,[1]Table!$A$2:$N1292,I$1,FALSE)</f>
        <v>or</v>
      </c>
      <c r="J1148">
        <f>VLOOKUP($A1148,[1]Table!$A$2:$N1292,J$1,FALSE)</f>
        <v>600</v>
      </c>
      <c r="K1148" t="str">
        <f>VLOOKUP($A1148,[1]Table!$A$2:$N1292,K$1,FALSE)</f>
        <v>mg/stuk</v>
      </c>
      <c r="L1148">
        <f>VLOOKUP($A1148,[1]Table!$A$2:$N1292,L$1,FALSE)</f>
        <v>300</v>
      </c>
      <c r="M1148" t="str">
        <f>VLOOKUP($A1148,[1]Table!$A$2:$N1292,M$1,FALSE)</f>
        <v>mg</v>
      </c>
      <c r="N1148" t="str">
        <f>VLOOKUP($A1148,[1]Table!$A$2:$N1292,N$1,FALSE)</f>
        <v>Epilepsie, primair gegeneraliseerde en partiele aanvallen</v>
      </c>
      <c r="O1148" t="str">
        <f>ConcatenateRange(AZ1148:BU1148,"||")</f>
        <v/>
      </c>
      <c r="AZ1148" t="str">
        <f t="shared" si="418"/>
        <v/>
      </c>
      <c r="BA1148" t="str">
        <f t="shared" si="419"/>
        <v/>
      </c>
      <c r="BB1148" t="str">
        <f t="shared" si="420"/>
        <v/>
      </c>
      <c r="BC1148" t="str">
        <f t="shared" si="421"/>
        <v/>
      </c>
      <c r="BD1148" t="str">
        <f t="shared" si="422"/>
        <v/>
      </c>
      <c r="BE1148" t="str">
        <f t="shared" si="423"/>
        <v/>
      </c>
      <c r="BF1148" t="str">
        <f t="shared" si="424"/>
        <v/>
      </c>
      <c r="BG1148" t="str">
        <f t="shared" si="425"/>
        <v/>
      </c>
      <c r="BH1148" t="str">
        <f t="shared" si="426"/>
        <v/>
      </c>
      <c r="BI1148" t="str">
        <f t="shared" si="427"/>
        <v/>
      </c>
      <c r="BJ1148" t="str">
        <f t="shared" si="428"/>
        <v/>
      </c>
      <c r="BK1148" t="str">
        <f t="shared" si="429"/>
        <v/>
      </c>
      <c r="BL1148" t="str">
        <f t="shared" si="430"/>
        <v/>
      </c>
      <c r="BM1148" t="str">
        <f t="shared" si="431"/>
        <v/>
      </c>
      <c r="BN1148" t="str">
        <f t="shared" si="432"/>
        <v/>
      </c>
      <c r="BO1148" t="str">
        <f t="shared" si="433"/>
        <v/>
      </c>
      <c r="BP1148" t="str">
        <f t="shared" si="434"/>
        <v/>
      </c>
      <c r="BQ1148" t="str">
        <f t="shared" si="435"/>
        <v/>
      </c>
      <c r="BR1148" t="str">
        <f t="shared" si="436"/>
        <v/>
      </c>
      <c r="BS1148" t="str">
        <f t="shared" si="437"/>
        <v/>
      </c>
      <c r="BT1148" t="str">
        <f t="shared" si="438"/>
        <v/>
      </c>
      <c r="BU1148" t="str">
        <f t="shared" si="439"/>
        <v/>
      </c>
    </row>
    <row r="1149" spans="1:73">
      <c r="A1149" s="1">
        <v>118451</v>
      </c>
      <c r="B1149" t="str">
        <f>VLOOKUP($A1149,[1]Table!$A$2:$N1293,B$1,FALSE)</f>
        <v>N03AF02</v>
      </c>
      <c r="C1149" t="str">
        <f>VLOOKUP($A1149,[1]Table!$A$2:$N1293,C$1,FALSE)</f>
        <v>ANTI-EPILEPTICA</v>
      </c>
      <c r="D1149" t="str">
        <f>VLOOKUP($A1149,[1]Table!$A$2:$N1293,D$1,FALSE)</f>
        <v>ANTI-EPILEPTICA</v>
      </c>
      <c r="E1149" t="str">
        <f>VLOOKUP($A1149,[1]Table!$A$2:$N1293,E$1,FALSE)</f>
        <v>OXCARBAZEPINE</v>
      </c>
      <c r="F1149" t="str">
        <f>VLOOKUP($A1149,[1]Table!$A$2:$N1293,F$1,FALSE)</f>
        <v>TRILEPTAL 60MG/ML SUSPENSIE</v>
      </c>
      <c r="G1149" t="str">
        <f>VLOOKUP($A1149,[1]Table!$A$2:$N1293,G$1,FALSE)</f>
        <v>OXCARBAZEPINE 60MG/ML SUSP</v>
      </c>
      <c r="H1149" t="str">
        <f>VLOOKUP($A1149,[1]Table!$A$2:$N1293,H$1,FALSE)</f>
        <v>suspensie voor oraal gebruik</v>
      </c>
      <c r="I1149" t="str">
        <f>VLOOKUP($A1149,[1]Table!$A$2:$N1293,I$1,FALSE)</f>
        <v>or</v>
      </c>
      <c r="J1149">
        <f>VLOOKUP($A1149,[1]Table!$A$2:$N1293,J$1,FALSE)</f>
        <v>60</v>
      </c>
      <c r="K1149" t="str">
        <f>VLOOKUP($A1149,[1]Table!$A$2:$N1293,K$1,FALSE)</f>
        <v>mg/ml</v>
      </c>
      <c r="L1149">
        <f>VLOOKUP($A1149,[1]Table!$A$2:$N1293,L$1,FALSE)</f>
        <v>60</v>
      </c>
      <c r="M1149" t="str">
        <f>VLOOKUP($A1149,[1]Table!$A$2:$N1293,M$1,FALSE)</f>
        <v>mg</v>
      </c>
      <c r="N1149" t="str">
        <f>VLOOKUP($A1149,[1]Table!$A$2:$N1293,N$1,FALSE)</f>
        <v>Epilepsie, primair gegeneraliseerde en partiele aanvallen</v>
      </c>
      <c r="O1149" t="str">
        <f>ConcatenateRange(AZ1149:BU1149,"||")</f>
        <v/>
      </c>
      <c r="AZ1149" t="str">
        <f t="shared" si="418"/>
        <v/>
      </c>
      <c r="BA1149" t="str">
        <f t="shared" si="419"/>
        <v/>
      </c>
      <c r="BB1149" t="str">
        <f t="shared" si="420"/>
        <v/>
      </c>
      <c r="BC1149" t="str">
        <f t="shared" si="421"/>
        <v/>
      </c>
      <c r="BD1149" t="str">
        <f t="shared" si="422"/>
        <v/>
      </c>
      <c r="BE1149" t="str">
        <f t="shared" si="423"/>
        <v/>
      </c>
      <c r="BF1149" t="str">
        <f t="shared" si="424"/>
        <v/>
      </c>
      <c r="BG1149" t="str">
        <f t="shared" si="425"/>
        <v/>
      </c>
      <c r="BH1149" t="str">
        <f t="shared" si="426"/>
        <v/>
      </c>
      <c r="BI1149" t="str">
        <f t="shared" si="427"/>
        <v/>
      </c>
      <c r="BJ1149" t="str">
        <f t="shared" si="428"/>
        <v/>
      </c>
      <c r="BK1149" t="str">
        <f t="shared" si="429"/>
        <v/>
      </c>
      <c r="BL1149" t="str">
        <f t="shared" si="430"/>
        <v/>
      </c>
      <c r="BM1149" t="str">
        <f t="shared" si="431"/>
        <v/>
      </c>
      <c r="BN1149" t="str">
        <f t="shared" si="432"/>
        <v/>
      </c>
      <c r="BO1149" t="str">
        <f t="shared" si="433"/>
        <v/>
      </c>
      <c r="BP1149" t="str">
        <f t="shared" si="434"/>
        <v/>
      </c>
      <c r="BQ1149" t="str">
        <f t="shared" si="435"/>
        <v/>
      </c>
      <c r="BR1149" t="str">
        <f t="shared" si="436"/>
        <v/>
      </c>
      <c r="BS1149" t="str">
        <f t="shared" si="437"/>
        <v/>
      </c>
      <c r="BT1149" t="str">
        <f t="shared" si="438"/>
        <v/>
      </c>
      <c r="BU1149" t="str">
        <f t="shared" si="439"/>
        <v/>
      </c>
    </row>
    <row r="1150" spans="1:73">
      <c r="A1150" s="1">
        <v>128309</v>
      </c>
      <c r="B1150" t="str">
        <f>VLOOKUP($A1150,[1]Table!$A$2:$N1294,B$1,FALSE)</f>
        <v>R06AD08</v>
      </c>
      <c r="C1150" t="str">
        <f>VLOOKUP($A1150,[1]Table!$A$2:$N1294,C$1,FALSE)</f>
        <v>ANTIHISTAMINICA VOOR SYSTEMISCH GEBRUIK</v>
      </c>
      <c r="D1150" t="str">
        <f>VLOOKUP($A1150,[1]Table!$A$2:$N1294,D$1,FALSE)</f>
        <v>ANTIHISTAMINICA VOOR SYSTEMISCH GEBRUIK</v>
      </c>
      <c r="E1150" t="str">
        <f>VLOOKUP($A1150,[1]Table!$A$2:$N1294,E$1,FALSE)</f>
        <v>OXOMEMAZINE</v>
      </c>
      <c r="F1150" t="str">
        <f>VLOOKUP($A1150,[1]Table!$A$2:$N1294,F$1,FALSE)</f>
        <v>TOPLEXIL SIROOP</v>
      </c>
      <c r="G1150" t="str">
        <f>VLOOKUP($A1150,[1]Table!$A$2:$N1294,G$1,FALSE)</f>
        <v>OXOMEMAZINE 0,33MG/ML STROO</v>
      </c>
      <c r="H1150" t="str">
        <f>VLOOKUP($A1150,[1]Table!$A$2:$N1294,H$1,FALSE)</f>
        <v>stroop</v>
      </c>
      <c r="I1150" t="str">
        <f>VLOOKUP($A1150,[1]Table!$A$2:$N1294,I$1,FALSE)</f>
        <v>or</v>
      </c>
      <c r="J1150">
        <f>VLOOKUP($A1150,[1]Table!$A$2:$N1294,J$1,FALSE)</f>
        <v>0.33</v>
      </c>
      <c r="K1150" t="str">
        <f>VLOOKUP($A1150,[1]Table!$A$2:$N1294,K$1,FALSE)</f>
        <v>mg/ml</v>
      </c>
      <c r="L1150">
        <f>VLOOKUP($A1150,[1]Table!$A$2:$N1294,L$1,FALSE)</f>
        <v>0.33</v>
      </c>
      <c r="M1150" t="str">
        <f>VLOOKUP($A1150,[1]Table!$A$2:$N1294,M$1,FALSE)</f>
        <v>mg</v>
      </c>
      <c r="N1150" t="str">
        <f>VLOOKUP($A1150,[1]Table!$A$2:$N1294,N$1,FALSE)</f>
        <v>Hoest</v>
      </c>
      <c r="O1150" t="str">
        <f>ConcatenateRange(AZ1150:BU1150,"||")</f>
        <v/>
      </c>
      <c r="AZ1150" t="str">
        <f t="shared" si="418"/>
        <v/>
      </c>
      <c r="BA1150" t="str">
        <f t="shared" si="419"/>
        <v/>
      </c>
      <c r="BB1150" t="str">
        <f t="shared" si="420"/>
        <v/>
      </c>
      <c r="BC1150" t="str">
        <f t="shared" si="421"/>
        <v/>
      </c>
      <c r="BD1150" t="str">
        <f t="shared" si="422"/>
        <v/>
      </c>
      <c r="BE1150" t="str">
        <f t="shared" si="423"/>
        <v/>
      </c>
      <c r="BF1150" t="str">
        <f t="shared" si="424"/>
        <v/>
      </c>
      <c r="BG1150" t="str">
        <f t="shared" si="425"/>
        <v/>
      </c>
      <c r="BH1150" t="str">
        <f t="shared" si="426"/>
        <v/>
      </c>
      <c r="BI1150" t="str">
        <f t="shared" si="427"/>
        <v/>
      </c>
      <c r="BJ1150" t="str">
        <f t="shared" si="428"/>
        <v/>
      </c>
      <c r="BK1150" t="str">
        <f t="shared" si="429"/>
        <v/>
      </c>
      <c r="BL1150" t="str">
        <f t="shared" si="430"/>
        <v/>
      </c>
      <c r="BM1150" t="str">
        <f t="shared" si="431"/>
        <v/>
      </c>
      <c r="BN1150" t="str">
        <f t="shared" si="432"/>
        <v/>
      </c>
      <c r="BO1150" t="str">
        <f t="shared" si="433"/>
        <v/>
      </c>
      <c r="BP1150" t="str">
        <f t="shared" si="434"/>
        <v/>
      </c>
      <c r="BQ1150" t="str">
        <f t="shared" si="435"/>
        <v/>
      </c>
      <c r="BR1150" t="str">
        <f t="shared" si="436"/>
        <v/>
      </c>
      <c r="BS1150" t="str">
        <f t="shared" si="437"/>
        <v/>
      </c>
      <c r="BT1150" t="str">
        <f t="shared" si="438"/>
        <v/>
      </c>
      <c r="BU1150" t="str">
        <f t="shared" si="439"/>
        <v/>
      </c>
    </row>
    <row r="1151" spans="1:73">
      <c r="A1151" s="1">
        <v>18392</v>
      </c>
      <c r="B1151" t="str">
        <f>VLOOKUP($A1151,[1]Table!$A$2:$N1295,B$1,FALSE)</f>
        <v>S01HA02</v>
      </c>
      <c r="C1151" t="str">
        <f>VLOOKUP($A1151,[1]Table!$A$2:$N1295,C$1,FALSE)</f>
        <v>MIDDELEN VOOR OOGHEELKUNDIG GEBRUIK</v>
      </c>
      <c r="D1151" t="str">
        <f>VLOOKUP($A1151,[1]Table!$A$2:$N1295,D$1,FALSE)</f>
        <v>ANAESTHETICA, LOKALE</v>
      </c>
      <c r="E1151" t="str">
        <f>VLOOKUP($A1151,[1]Table!$A$2:$N1295,E$1,FALSE)</f>
        <v>OXYBUPROCAINE</v>
      </c>
      <c r="F1151" t="str">
        <f>VLOOKUP($A1151,[1]Table!$A$2:$N1295,F$1,FALSE)</f>
        <v>OXYBUPROCAINE HCL 0.4 % MINIMS</v>
      </c>
      <c r="G1151" t="str">
        <f>VLOOKUP($A1151,[1]Table!$A$2:$N1295,G$1,FALSE)</f>
        <v>OXYBUPROCAINE 4MG/ML OOGDRU</v>
      </c>
      <c r="H1151" t="str">
        <f>VLOOKUP($A1151,[1]Table!$A$2:$N1295,H$1,FALSE)</f>
        <v>oogdruppels</v>
      </c>
      <c r="I1151" t="str">
        <f>VLOOKUP($A1151,[1]Table!$A$2:$N1295,I$1,FALSE)</f>
        <v>oog</v>
      </c>
      <c r="J1151">
        <f>VLOOKUP($A1151,[1]Table!$A$2:$N1295,J$1,FALSE)</f>
        <v>4</v>
      </c>
      <c r="K1151" t="str">
        <f>VLOOKUP($A1151,[1]Table!$A$2:$N1295,K$1,FALSE)</f>
        <v>mg/ml</v>
      </c>
      <c r="L1151">
        <f>VLOOKUP($A1151,[1]Table!$A$2:$N1295,L$1,FALSE)</f>
        <v>4</v>
      </c>
      <c r="M1151" t="str">
        <f>VLOOKUP($A1151,[1]Table!$A$2:$N1295,M$1,FALSE)</f>
        <v>mg</v>
      </c>
      <c r="N1151" t="str">
        <f>VLOOKUP($A1151,[1]Table!$A$2:$N1295,N$1,FALSE)</f>
        <v>Oppervlakte anesthesie</v>
      </c>
      <c r="O1151" t="str">
        <f>ConcatenateRange(AZ1151:BU1151,"||")</f>
        <v/>
      </c>
      <c r="AZ1151" t="str">
        <f t="shared" si="418"/>
        <v/>
      </c>
      <c r="BA1151" t="str">
        <f t="shared" si="419"/>
        <v/>
      </c>
      <c r="BB1151" t="str">
        <f t="shared" si="420"/>
        <v/>
      </c>
      <c r="BC1151" t="str">
        <f t="shared" si="421"/>
        <v/>
      </c>
      <c r="BD1151" t="str">
        <f t="shared" si="422"/>
        <v/>
      </c>
      <c r="BE1151" t="str">
        <f t="shared" si="423"/>
        <v/>
      </c>
      <c r="BF1151" t="str">
        <f t="shared" si="424"/>
        <v/>
      </c>
      <c r="BG1151" t="str">
        <f t="shared" si="425"/>
        <v/>
      </c>
      <c r="BH1151" t="str">
        <f t="shared" si="426"/>
        <v/>
      </c>
      <c r="BI1151" t="str">
        <f t="shared" si="427"/>
        <v/>
      </c>
      <c r="BJ1151" t="str">
        <f t="shared" si="428"/>
        <v/>
      </c>
      <c r="BK1151" t="str">
        <f t="shared" si="429"/>
        <v/>
      </c>
      <c r="BL1151" t="str">
        <f t="shared" si="430"/>
        <v/>
      </c>
      <c r="BM1151" t="str">
        <f t="shared" si="431"/>
        <v/>
      </c>
      <c r="BN1151" t="str">
        <f t="shared" si="432"/>
        <v/>
      </c>
      <c r="BO1151" t="str">
        <f t="shared" si="433"/>
        <v/>
      </c>
      <c r="BP1151" t="str">
        <f t="shared" si="434"/>
        <v/>
      </c>
      <c r="BQ1151" t="str">
        <f t="shared" si="435"/>
        <v/>
      </c>
      <c r="BR1151" t="str">
        <f t="shared" si="436"/>
        <v/>
      </c>
      <c r="BS1151" t="str">
        <f t="shared" si="437"/>
        <v/>
      </c>
      <c r="BT1151" t="str">
        <f t="shared" si="438"/>
        <v/>
      </c>
      <c r="BU1151" t="str">
        <f t="shared" si="439"/>
        <v/>
      </c>
    </row>
    <row r="1152" spans="1:73">
      <c r="A1152" s="21">
        <v>98064010</v>
      </c>
      <c r="B1152" t="str">
        <f>VLOOKUP($A1152,[1]Table!$A$2:$N1699,B$1,FALSE)</f>
        <v>G04BD04</v>
      </c>
      <c r="C1152" t="str">
        <f>VLOOKUP($A1152,[1]Table!$A$2:$N1699,C$1,FALSE)</f>
        <v>UROLOGICA</v>
      </c>
      <c r="D1152" t="str">
        <f>VLOOKUP($A1152,[1]Table!$A$2:$N1699,D$1,FALSE)</f>
        <v>OVERIGE UROGENITALE MIDDELEN, INCL SPASMOLYTICA</v>
      </c>
      <c r="E1152" t="s">
        <v>116</v>
      </c>
      <c r="F1152" t="str">
        <f>VLOOKUP($A1152,[1]Table!$A$2:$N1699,F$1,FALSE)</f>
        <v>OXYBUTYNINE HCL 5 MG = 10 ML SPOELVLOEISTOF (VOOR BLAASSPOELING)</v>
      </c>
      <c r="G1152" t="str">
        <f>VLOOKUP($A1152,[1]Table!$A$2:$N1699,G$1,FALSE)</f>
        <v>OXYBUTYNINE HCL 5 MG = 10 M</v>
      </c>
      <c r="H1152" t="str">
        <f>VLOOKUP($A1152,[1]Table!$A$2:$N1699,H$1,FALSE)</f>
        <v>blaasspoeling</v>
      </c>
      <c r="I1152" t="str">
        <f>VLOOKUP($A1152,[1]Table!$A$2:$N1699,I$1,FALSE)</f>
        <v>intravesic</v>
      </c>
      <c r="J1152">
        <f>VLOOKUP($A1152,[1]Table!$A$2:$N1699,J$1,FALSE)</f>
        <v>0.5</v>
      </c>
      <c r="K1152" t="str">
        <f>VLOOKUP($A1152,[1]Table!$A$2:$N1699,K$1,FALSE)</f>
        <v>mg/ml</v>
      </c>
      <c r="L1152">
        <f>VLOOKUP($A1152,[1]Table!$A$2:$N1699,L$1,FALSE)</f>
        <v>0.5</v>
      </c>
      <c r="M1152" t="str">
        <f>VLOOKUP($A1152,[1]Table!$A$2:$N1699,M$1,FALSE)</f>
        <v>mg</v>
      </c>
      <c r="N1152" t="str">
        <f>VLOOKUP($A1152,[1]Table!$A$2:$N1699,N$1,FALSE)</f>
        <v>Urine incontinentie, overactief blaas syndroom, neurogene blaas</v>
      </c>
      <c r="AZ1152" t="str">
        <f t="shared" si="418"/>
        <v/>
      </c>
      <c r="BA1152" t="str">
        <f t="shared" si="419"/>
        <v/>
      </c>
      <c r="BB1152" t="str">
        <f t="shared" si="420"/>
        <v/>
      </c>
      <c r="BC1152" t="str">
        <f t="shared" si="421"/>
        <v/>
      </c>
      <c r="BD1152" t="str">
        <f t="shared" si="422"/>
        <v/>
      </c>
      <c r="BE1152" t="str">
        <f t="shared" si="423"/>
        <v/>
      </c>
      <c r="BF1152" t="str">
        <f t="shared" si="424"/>
        <v/>
      </c>
      <c r="BG1152" t="str">
        <f t="shared" si="425"/>
        <v/>
      </c>
      <c r="BH1152" t="str">
        <f t="shared" si="426"/>
        <v/>
      </c>
      <c r="BI1152" t="str">
        <f t="shared" si="427"/>
        <v/>
      </c>
      <c r="BJ1152" t="str">
        <f t="shared" si="428"/>
        <v/>
      </c>
      <c r="BK1152" t="str">
        <f t="shared" si="429"/>
        <v/>
      </c>
      <c r="BL1152" t="str">
        <f t="shared" si="430"/>
        <v/>
      </c>
      <c r="BM1152" t="str">
        <f t="shared" si="431"/>
        <v/>
      </c>
      <c r="BN1152" t="str">
        <f t="shared" si="432"/>
        <v/>
      </c>
      <c r="BO1152" t="str">
        <f t="shared" si="433"/>
        <v/>
      </c>
      <c r="BP1152" t="str">
        <f t="shared" si="434"/>
        <v/>
      </c>
      <c r="BQ1152" t="str">
        <f t="shared" si="435"/>
        <v/>
      </c>
      <c r="BR1152" t="str">
        <f t="shared" si="436"/>
        <v/>
      </c>
      <c r="BS1152" t="str">
        <f t="shared" si="437"/>
        <v/>
      </c>
      <c r="BT1152" t="str">
        <f t="shared" si="438"/>
        <v/>
      </c>
      <c r="BU1152" t="str">
        <f t="shared" si="439"/>
        <v/>
      </c>
    </row>
    <row r="1153" spans="1:73">
      <c r="A1153" s="1">
        <v>124117</v>
      </c>
      <c r="B1153" t="str">
        <f>VLOOKUP($A1153,[1]Table!$A$2:$N1296,B$1,FALSE)</f>
        <v>G04BD04</v>
      </c>
      <c r="C1153" t="str">
        <f>VLOOKUP($A1153,[1]Table!$A$2:$N1296,C$1,FALSE)</f>
        <v>UROLOGICA</v>
      </c>
      <c r="D1153" t="str">
        <f>VLOOKUP($A1153,[1]Table!$A$2:$N1296,D$1,FALSE)</f>
        <v>UROLOGISCHE MIDDELEN</v>
      </c>
      <c r="E1153" t="str">
        <f>VLOOKUP($A1153,[1]Table!$A$2:$N1296,E$1,FALSE)</f>
        <v>OXYBUTYNINE</v>
      </c>
      <c r="F1153" t="str">
        <f>VLOOKUP($A1153,[1]Table!$A$2:$N1296,F$1,FALSE)</f>
        <v>KENTERA 36 MG 3,9 MG/24 UUR PLEISTER TRANSDERMAAL</v>
      </c>
      <c r="G1153" t="str">
        <f>VLOOKUP($A1153,[1]Table!$A$2:$N1296,G$1,FALSE)</f>
        <v>OXYBUTYNINE 3,9MG/24UUR P</v>
      </c>
      <c r="H1153" t="str">
        <f>VLOOKUP($A1153,[1]Table!$A$2:$N1296,H$1,FALSE)</f>
        <v>pleister voor transdermaal gebruik</v>
      </c>
      <c r="I1153" t="str">
        <f>VLOOKUP($A1153,[1]Table!$A$2:$N1296,I$1,FALSE)</f>
        <v>transderm</v>
      </c>
      <c r="J1153">
        <f>VLOOKUP($A1153,[1]Table!$A$2:$N1296,J$1,FALSE)</f>
        <v>36</v>
      </c>
      <c r="K1153" t="str">
        <f>VLOOKUP($A1153,[1]Table!$A$2:$N1296,K$1,FALSE)</f>
        <v>mg/stuk</v>
      </c>
      <c r="L1153">
        <f>VLOOKUP($A1153,[1]Table!$A$2:$N1296,L$1,FALSE)</f>
        <v>36</v>
      </c>
      <c r="M1153" t="str">
        <f>VLOOKUP($A1153,[1]Table!$A$2:$N1296,M$1,FALSE)</f>
        <v>mg</v>
      </c>
      <c r="N1153" t="str">
        <f>VLOOKUP($A1153,[1]Table!$A$2:$N1296,N$1,FALSE)</f>
        <v>Urine incontinentie||Urine incontinentie, overactief blaas syndroom, neurogene blaas</v>
      </c>
      <c r="O1153" t="str">
        <f>ConcatenateRange(AZ1153:BU1153,"||")</f>
        <v/>
      </c>
      <c r="AZ1153" t="str">
        <f t="shared" si="418"/>
        <v/>
      </c>
      <c r="BA1153" t="str">
        <f t="shared" si="419"/>
        <v/>
      </c>
      <c r="BB1153" t="str">
        <f t="shared" si="420"/>
        <v/>
      </c>
      <c r="BC1153" t="str">
        <f t="shared" si="421"/>
        <v/>
      </c>
      <c r="BD1153" t="str">
        <f t="shared" si="422"/>
        <v/>
      </c>
      <c r="BE1153" t="str">
        <f t="shared" si="423"/>
        <v/>
      </c>
      <c r="BF1153" t="str">
        <f t="shared" si="424"/>
        <v/>
      </c>
      <c r="BG1153" t="str">
        <f t="shared" si="425"/>
        <v/>
      </c>
      <c r="BH1153" t="str">
        <f t="shared" si="426"/>
        <v/>
      </c>
      <c r="BI1153" t="str">
        <f t="shared" si="427"/>
        <v/>
      </c>
      <c r="BJ1153" t="str">
        <f t="shared" si="428"/>
        <v/>
      </c>
      <c r="BK1153" t="str">
        <f t="shared" si="429"/>
        <v/>
      </c>
      <c r="BL1153" t="str">
        <f t="shared" si="430"/>
        <v/>
      </c>
      <c r="BM1153" t="str">
        <f t="shared" si="431"/>
        <v/>
      </c>
      <c r="BN1153" t="str">
        <f t="shared" si="432"/>
        <v/>
      </c>
      <c r="BO1153" t="str">
        <f t="shared" si="433"/>
        <v/>
      </c>
      <c r="BP1153" t="str">
        <f t="shared" si="434"/>
        <v/>
      </c>
      <c r="BQ1153" t="str">
        <f t="shared" si="435"/>
        <v/>
      </c>
      <c r="BR1153" t="str">
        <f t="shared" si="436"/>
        <v/>
      </c>
      <c r="BS1153" t="str">
        <f t="shared" si="437"/>
        <v/>
      </c>
      <c r="BT1153" t="str">
        <f t="shared" si="438"/>
        <v/>
      </c>
      <c r="BU1153" t="str">
        <f t="shared" si="439"/>
        <v/>
      </c>
    </row>
    <row r="1154" spans="1:73">
      <c r="A1154" s="1">
        <v>59641</v>
      </c>
      <c r="B1154" t="str">
        <f>VLOOKUP($A1154,[1]Table!$A$2:$N1297,B$1,FALSE)</f>
        <v>G04BD04</v>
      </c>
      <c r="C1154" t="str">
        <f>VLOOKUP($A1154,[1]Table!$A$2:$N1297,C$1,FALSE)</f>
        <v>UROLOGICA</v>
      </c>
      <c r="D1154" t="str">
        <f>VLOOKUP($A1154,[1]Table!$A$2:$N1297,D$1,FALSE)</f>
        <v>UROLOGISCHE MIDDELEN</v>
      </c>
      <c r="E1154" t="str">
        <f>VLOOKUP($A1154,[1]Table!$A$2:$N1297,E$1,FALSE)</f>
        <v>OXYBUTYNINE</v>
      </c>
      <c r="F1154" t="str">
        <f>VLOOKUP($A1154,[1]Table!$A$2:$N1297,F$1,FALSE)</f>
        <v>DRIDASE 1 MG/ML STROOP 250ML</v>
      </c>
      <c r="G1154" t="str">
        <f>VLOOKUP($A1154,[1]Table!$A$2:$N1297,G$1,FALSE)</f>
        <v>OXYBUTYNINE 1MG/ML STROOP</v>
      </c>
      <c r="H1154" t="str">
        <f>VLOOKUP($A1154,[1]Table!$A$2:$N1297,H$1,FALSE)</f>
        <v>stroop</v>
      </c>
      <c r="I1154" t="str">
        <f>VLOOKUP($A1154,[1]Table!$A$2:$N1297,I$1,FALSE)</f>
        <v>or</v>
      </c>
      <c r="J1154">
        <f>VLOOKUP($A1154,[1]Table!$A$2:$N1297,J$1,FALSE)</f>
        <v>1</v>
      </c>
      <c r="K1154" t="str">
        <f>VLOOKUP($A1154,[1]Table!$A$2:$N1297,K$1,FALSE)</f>
        <v>mg/ml</v>
      </c>
      <c r="L1154">
        <f>VLOOKUP($A1154,[1]Table!$A$2:$N1297,L$1,FALSE)</f>
        <v>1</v>
      </c>
      <c r="M1154" t="str">
        <f>VLOOKUP($A1154,[1]Table!$A$2:$N1297,M$1,FALSE)</f>
        <v>mg</v>
      </c>
      <c r="N1154" t="str">
        <f>VLOOKUP($A1154,[1]Table!$A$2:$N1297,N$1,FALSE)</f>
        <v>Urine incontinentie||Urine incontinentie, overactief blaas syndroom, neurogene blaas</v>
      </c>
      <c r="O1154" t="str">
        <f>ConcatenateRange(AZ1154:BU1154,"||")</f>
        <v/>
      </c>
      <c r="AZ1154" t="str">
        <f t="shared" si="418"/>
        <v/>
      </c>
      <c r="BA1154" t="str">
        <f t="shared" si="419"/>
        <v/>
      </c>
      <c r="BB1154" t="str">
        <f t="shared" si="420"/>
        <v/>
      </c>
      <c r="BC1154" t="str">
        <f t="shared" si="421"/>
        <v/>
      </c>
      <c r="BD1154" t="str">
        <f t="shared" si="422"/>
        <v/>
      </c>
      <c r="BE1154" t="str">
        <f t="shared" si="423"/>
        <v/>
      </c>
      <c r="BF1154" t="str">
        <f t="shared" si="424"/>
        <v/>
      </c>
      <c r="BG1154" t="str">
        <f t="shared" si="425"/>
        <v/>
      </c>
      <c r="BH1154" t="str">
        <f t="shared" si="426"/>
        <v/>
      </c>
      <c r="BI1154" t="str">
        <f t="shared" si="427"/>
        <v/>
      </c>
      <c r="BJ1154" t="str">
        <f t="shared" si="428"/>
        <v/>
      </c>
      <c r="BK1154" t="str">
        <f t="shared" si="429"/>
        <v/>
      </c>
      <c r="BL1154" t="str">
        <f t="shared" si="430"/>
        <v/>
      </c>
      <c r="BM1154" t="str">
        <f t="shared" si="431"/>
        <v/>
      </c>
      <c r="BN1154" t="str">
        <f t="shared" si="432"/>
        <v/>
      </c>
      <c r="BO1154" t="str">
        <f t="shared" si="433"/>
        <v/>
      </c>
      <c r="BP1154" t="str">
        <f t="shared" si="434"/>
        <v/>
      </c>
      <c r="BQ1154" t="str">
        <f t="shared" si="435"/>
        <v/>
      </c>
      <c r="BR1154" t="str">
        <f t="shared" si="436"/>
        <v/>
      </c>
      <c r="BS1154" t="str">
        <f t="shared" si="437"/>
        <v/>
      </c>
      <c r="BT1154" t="str">
        <f t="shared" si="438"/>
        <v/>
      </c>
      <c r="BU1154" t="str">
        <f t="shared" si="439"/>
        <v/>
      </c>
    </row>
    <row r="1155" spans="1:73">
      <c r="A1155" s="1">
        <v>93920</v>
      </c>
      <c r="B1155" t="str">
        <f>VLOOKUP($A1155,[1]Table!$A$2:$N1298,B$1,FALSE)</f>
        <v>G04BD04</v>
      </c>
      <c r="C1155" t="str">
        <f>VLOOKUP($A1155,[1]Table!$A$2:$N1298,C$1,FALSE)</f>
        <v>UROLOGICA</v>
      </c>
      <c r="D1155" t="str">
        <f>VLOOKUP($A1155,[1]Table!$A$2:$N1298,D$1,FALSE)</f>
        <v>UROLOGISCHE MIDDELEN</v>
      </c>
      <c r="E1155" t="str">
        <f>VLOOKUP($A1155,[1]Table!$A$2:$N1298,E$1,FALSE)</f>
        <v>OXYBUTYNINE</v>
      </c>
      <c r="F1155" t="str">
        <f>VLOOKUP($A1155,[1]Table!$A$2:$N1298,F$1,FALSE)</f>
        <v>OXYBUTYNINE HCL 2.5 MG TABLET</v>
      </c>
      <c r="G1155" t="str">
        <f>VLOOKUP($A1155,[1]Table!$A$2:$N1298,G$1,FALSE)</f>
        <v>OXYBUTYNINE 2,5MG TABLET</v>
      </c>
      <c r="H1155" t="str">
        <f>VLOOKUP($A1155,[1]Table!$A$2:$N1298,H$1,FALSE)</f>
        <v>tablet</v>
      </c>
      <c r="I1155" t="str">
        <f>VLOOKUP($A1155,[1]Table!$A$2:$N1298,I$1,FALSE)</f>
        <v>or</v>
      </c>
      <c r="J1155">
        <f>VLOOKUP($A1155,[1]Table!$A$2:$N1298,J$1,FALSE)</f>
        <v>2.5</v>
      </c>
      <c r="K1155" t="str">
        <f>VLOOKUP($A1155,[1]Table!$A$2:$N1298,K$1,FALSE)</f>
        <v>mg/stuk</v>
      </c>
      <c r="L1155">
        <f>VLOOKUP($A1155,[1]Table!$A$2:$N1298,L$1,FALSE)</f>
        <v>1.25</v>
      </c>
      <c r="M1155" t="str">
        <f>VLOOKUP($A1155,[1]Table!$A$2:$N1298,M$1,FALSE)</f>
        <v>mg</v>
      </c>
      <c r="N1155" t="str">
        <f>VLOOKUP($A1155,[1]Table!$A$2:$N1298,N$1,FALSE)</f>
        <v>Urine incontinentie||Urine incontinentie, overactief blaas syndroom, neurogene blaas</v>
      </c>
      <c r="O1155" t="str">
        <f>ConcatenateRange(AZ1155:BU1155,"||")</f>
        <v/>
      </c>
      <c r="AZ1155" t="str">
        <f t="shared" si="418"/>
        <v/>
      </c>
      <c r="BA1155" t="str">
        <f t="shared" si="419"/>
        <v/>
      </c>
      <c r="BB1155" t="str">
        <f t="shared" si="420"/>
        <v/>
      </c>
      <c r="BC1155" t="str">
        <f t="shared" si="421"/>
        <v/>
      </c>
      <c r="BD1155" t="str">
        <f t="shared" si="422"/>
        <v/>
      </c>
      <c r="BE1155" t="str">
        <f t="shared" si="423"/>
        <v/>
      </c>
      <c r="BF1155" t="str">
        <f t="shared" si="424"/>
        <v/>
      </c>
      <c r="BG1155" t="str">
        <f t="shared" si="425"/>
        <v/>
      </c>
      <c r="BH1155" t="str">
        <f t="shared" si="426"/>
        <v/>
      </c>
      <c r="BI1155" t="str">
        <f t="shared" si="427"/>
        <v/>
      </c>
      <c r="BJ1155" t="str">
        <f t="shared" si="428"/>
        <v/>
      </c>
      <c r="BK1155" t="str">
        <f t="shared" si="429"/>
        <v/>
      </c>
      <c r="BL1155" t="str">
        <f t="shared" si="430"/>
        <v/>
      </c>
      <c r="BM1155" t="str">
        <f t="shared" si="431"/>
        <v/>
      </c>
      <c r="BN1155" t="str">
        <f t="shared" si="432"/>
        <v/>
      </c>
      <c r="BO1155" t="str">
        <f t="shared" si="433"/>
        <v/>
      </c>
      <c r="BP1155" t="str">
        <f t="shared" si="434"/>
        <v/>
      </c>
      <c r="BQ1155" t="str">
        <f t="shared" si="435"/>
        <v/>
      </c>
      <c r="BR1155" t="str">
        <f t="shared" si="436"/>
        <v/>
      </c>
      <c r="BS1155" t="str">
        <f t="shared" si="437"/>
        <v/>
      </c>
      <c r="BT1155" t="str">
        <f t="shared" si="438"/>
        <v/>
      </c>
      <c r="BU1155" t="str">
        <f t="shared" si="439"/>
        <v/>
      </c>
    </row>
    <row r="1156" spans="1:73">
      <c r="A1156" s="1">
        <v>59668</v>
      </c>
      <c r="B1156" t="str">
        <f>VLOOKUP($A1156,[1]Table!$A$2:$N1299,B$1,FALSE)</f>
        <v>G04BD04</v>
      </c>
      <c r="C1156" t="str">
        <f>VLOOKUP($A1156,[1]Table!$A$2:$N1299,C$1,FALSE)</f>
        <v>UROLOGICA</v>
      </c>
      <c r="D1156" t="str">
        <f>VLOOKUP($A1156,[1]Table!$A$2:$N1299,D$1,FALSE)</f>
        <v>UROLOGISCHE MIDDELEN</v>
      </c>
      <c r="E1156" t="str">
        <f>VLOOKUP($A1156,[1]Table!$A$2:$N1299,E$1,FALSE)</f>
        <v>OXYBUTYNINE</v>
      </c>
      <c r="F1156" t="str">
        <f>VLOOKUP($A1156,[1]Table!$A$2:$N1299,F$1,FALSE)</f>
        <v>OXYBUTYNINE HCL 5 MG TABLET</v>
      </c>
      <c r="G1156" t="str">
        <f>VLOOKUP($A1156,[1]Table!$A$2:$N1299,G$1,FALSE)</f>
        <v>OXYBUTYNINE 5MG TABLET</v>
      </c>
      <c r="H1156" t="str">
        <f>VLOOKUP($A1156,[1]Table!$A$2:$N1299,H$1,FALSE)</f>
        <v>tablet</v>
      </c>
      <c r="I1156" t="str">
        <f>VLOOKUP($A1156,[1]Table!$A$2:$N1299,I$1,FALSE)</f>
        <v>or</v>
      </c>
      <c r="J1156">
        <f>VLOOKUP($A1156,[1]Table!$A$2:$N1299,J$1,FALSE)</f>
        <v>5</v>
      </c>
      <c r="K1156" t="str">
        <f>VLOOKUP($A1156,[1]Table!$A$2:$N1299,K$1,FALSE)</f>
        <v>mg/stuk</v>
      </c>
      <c r="L1156">
        <f>VLOOKUP($A1156,[1]Table!$A$2:$N1299,L$1,FALSE)</f>
        <v>2.5</v>
      </c>
      <c r="M1156" t="str">
        <f>VLOOKUP($A1156,[1]Table!$A$2:$N1299,M$1,FALSE)</f>
        <v>mg</v>
      </c>
      <c r="N1156" t="str">
        <f>VLOOKUP($A1156,[1]Table!$A$2:$N1299,N$1,FALSE)</f>
        <v>Urine incontinentie||Urine incontinentie, overactief blaas syndroom, neurogene blaas</v>
      </c>
      <c r="O1156" t="str">
        <f>ConcatenateRange(AZ1156:BU1156,"||")</f>
        <v/>
      </c>
      <c r="AZ1156" t="str">
        <f t="shared" si="418"/>
        <v/>
      </c>
      <c r="BA1156" t="str">
        <f t="shared" si="419"/>
        <v/>
      </c>
      <c r="BB1156" t="str">
        <f t="shared" si="420"/>
        <v/>
      </c>
      <c r="BC1156" t="str">
        <f t="shared" si="421"/>
        <v/>
      </c>
      <c r="BD1156" t="str">
        <f t="shared" si="422"/>
        <v/>
      </c>
      <c r="BE1156" t="str">
        <f t="shared" si="423"/>
        <v/>
      </c>
      <c r="BF1156" t="str">
        <f t="shared" si="424"/>
        <v/>
      </c>
      <c r="BG1156" t="str">
        <f t="shared" si="425"/>
        <v/>
      </c>
      <c r="BH1156" t="str">
        <f t="shared" si="426"/>
        <v/>
      </c>
      <c r="BI1156" t="str">
        <f t="shared" si="427"/>
        <v/>
      </c>
      <c r="BJ1156" t="str">
        <f t="shared" si="428"/>
        <v/>
      </c>
      <c r="BK1156" t="str">
        <f t="shared" si="429"/>
        <v/>
      </c>
      <c r="BL1156" t="str">
        <f t="shared" si="430"/>
        <v/>
      </c>
      <c r="BM1156" t="str">
        <f t="shared" si="431"/>
        <v/>
      </c>
      <c r="BN1156" t="str">
        <f t="shared" si="432"/>
        <v/>
      </c>
      <c r="BO1156" t="str">
        <f t="shared" si="433"/>
        <v/>
      </c>
      <c r="BP1156" t="str">
        <f t="shared" si="434"/>
        <v/>
      </c>
      <c r="BQ1156" t="str">
        <f t="shared" si="435"/>
        <v/>
      </c>
      <c r="BR1156" t="str">
        <f t="shared" si="436"/>
        <v/>
      </c>
      <c r="BS1156" t="str">
        <f t="shared" si="437"/>
        <v/>
      </c>
      <c r="BT1156" t="str">
        <f t="shared" si="438"/>
        <v/>
      </c>
      <c r="BU1156" t="str">
        <f t="shared" si="439"/>
        <v/>
      </c>
    </row>
    <row r="1157" spans="1:73">
      <c r="A1157" s="1">
        <v>116904</v>
      </c>
      <c r="B1157" t="str">
        <f>VLOOKUP($A1157,[1]Table!$A$2:$N1300,B$1,FALSE)</f>
        <v>N02AA05</v>
      </c>
      <c r="C1157" t="str">
        <f>VLOOKUP($A1157,[1]Table!$A$2:$N1300,C$1,FALSE)</f>
        <v>ANALGETICA</v>
      </c>
      <c r="D1157" t="str">
        <f>VLOOKUP($A1157,[1]Table!$A$2:$N1300,D$1,FALSE)</f>
        <v>OPIOIDEN</v>
      </c>
      <c r="E1157" t="str">
        <f>VLOOKUP($A1157,[1]Table!$A$2:$N1300,E$1,FALSE)</f>
        <v>OXYCODON</v>
      </c>
      <c r="F1157" t="str">
        <f>VLOOKUP($A1157,[1]Table!$A$2:$N1300,F$1,FALSE)</f>
        <v>OXYNORM 5 MG CAPSULE</v>
      </c>
      <c r="G1157" t="str">
        <f>VLOOKUP($A1157,[1]Table!$A$2:$N1300,G$1,FALSE)</f>
        <v>OXYCODON 5MG CAPSULE</v>
      </c>
      <c r="H1157" t="str">
        <f>VLOOKUP($A1157,[1]Table!$A$2:$N1300,H$1,FALSE)</f>
        <v>capsule</v>
      </c>
      <c r="I1157" t="str">
        <f>VLOOKUP($A1157,[1]Table!$A$2:$N1300,I$1,FALSE)</f>
        <v>or</v>
      </c>
      <c r="J1157">
        <f>VLOOKUP($A1157,[1]Table!$A$2:$N1300,J$1,FALSE)</f>
        <v>5</v>
      </c>
      <c r="K1157" t="str">
        <f>VLOOKUP($A1157,[1]Table!$A$2:$N1300,K$1,FALSE)</f>
        <v>mg/stuk</v>
      </c>
      <c r="L1157">
        <f>VLOOKUP($A1157,[1]Table!$A$2:$N1300,L$1,FALSE)</f>
        <v>5</v>
      </c>
      <c r="M1157" t="str">
        <f>VLOOKUP($A1157,[1]Table!$A$2:$N1300,M$1,FALSE)</f>
        <v>mg</v>
      </c>
      <c r="N1157" t="str">
        <f>VLOOKUP($A1157,[1]Table!$A$2:$N1300,N$1,FALSE)</f>
        <v>Ernstige pijn||Ernstige post-operatieve pijn</v>
      </c>
      <c r="O1157" t="str">
        <f>ConcatenateRange(AZ1157:BU1157,"||")</f>
        <v/>
      </c>
      <c r="AZ1157" t="str">
        <f t="shared" si="418"/>
        <v/>
      </c>
      <c r="BA1157" t="str">
        <f t="shared" si="419"/>
        <v/>
      </c>
      <c r="BB1157" t="str">
        <f t="shared" si="420"/>
        <v/>
      </c>
      <c r="BC1157" t="str">
        <f t="shared" si="421"/>
        <v/>
      </c>
      <c r="BD1157" t="str">
        <f t="shared" si="422"/>
        <v/>
      </c>
      <c r="BE1157" t="str">
        <f t="shared" si="423"/>
        <v/>
      </c>
      <c r="BF1157" t="str">
        <f t="shared" si="424"/>
        <v/>
      </c>
      <c r="BG1157" t="str">
        <f t="shared" si="425"/>
        <v/>
      </c>
      <c r="BH1157" t="str">
        <f t="shared" si="426"/>
        <v/>
      </c>
      <c r="BI1157" t="str">
        <f t="shared" si="427"/>
        <v/>
      </c>
      <c r="BJ1157" t="str">
        <f t="shared" si="428"/>
        <v/>
      </c>
      <c r="BK1157" t="str">
        <f t="shared" si="429"/>
        <v/>
      </c>
      <c r="BL1157" t="str">
        <f t="shared" si="430"/>
        <v/>
      </c>
      <c r="BM1157" t="str">
        <f t="shared" si="431"/>
        <v/>
      </c>
      <c r="BN1157" t="str">
        <f t="shared" si="432"/>
        <v/>
      </c>
      <c r="BO1157" t="str">
        <f t="shared" si="433"/>
        <v/>
      </c>
      <c r="BP1157" t="str">
        <f t="shared" si="434"/>
        <v/>
      </c>
      <c r="BQ1157" t="str">
        <f t="shared" si="435"/>
        <v/>
      </c>
      <c r="BR1157" t="str">
        <f t="shared" si="436"/>
        <v/>
      </c>
      <c r="BS1157" t="str">
        <f t="shared" si="437"/>
        <v/>
      </c>
      <c r="BT1157" t="str">
        <f t="shared" si="438"/>
        <v/>
      </c>
      <c r="BU1157" t="str">
        <f t="shared" si="439"/>
        <v/>
      </c>
    </row>
    <row r="1158" spans="1:73">
      <c r="A1158" s="1">
        <v>116890</v>
      </c>
      <c r="B1158" t="str">
        <f>VLOOKUP($A1158,[1]Table!$A$2:$N1301,B$1,FALSE)</f>
        <v>N02AA05</v>
      </c>
      <c r="C1158" t="str">
        <f>VLOOKUP($A1158,[1]Table!$A$2:$N1301,C$1,FALSE)</f>
        <v>ANALGETICA</v>
      </c>
      <c r="D1158" t="str">
        <f>VLOOKUP($A1158,[1]Table!$A$2:$N1301,D$1,FALSE)</f>
        <v>OPIOIDEN</v>
      </c>
      <c r="E1158" t="str">
        <f>VLOOKUP($A1158,[1]Table!$A$2:$N1301,E$1,FALSE)</f>
        <v>OXYCODON</v>
      </c>
      <c r="F1158" t="str">
        <f>VLOOKUP($A1158,[1]Table!$A$2:$N1301,F$1,FALSE)</f>
        <v>OXYNORM 10 MG CAPSULE</v>
      </c>
      <c r="G1158" t="str">
        <f>VLOOKUP($A1158,[1]Table!$A$2:$N1301,G$1,FALSE)</f>
        <v>OXYCODON 10MG CAPSULE</v>
      </c>
      <c r="H1158" t="str">
        <f>VLOOKUP($A1158,[1]Table!$A$2:$N1301,H$1,FALSE)</f>
        <v>capsule</v>
      </c>
      <c r="I1158" t="str">
        <f>VLOOKUP($A1158,[1]Table!$A$2:$N1301,I$1,FALSE)</f>
        <v>or</v>
      </c>
      <c r="J1158">
        <f>VLOOKUP($A1158,[1]Table!$A$2:$N1301,J$1,FALSE)</f>
        <v>10</v>
      </c>
      <c r="K1158" t="str">
        <f>VLOOKUP($A1158,[1]Table!$A$2:$N1301,K$1,FALSE)</f>
        <v>mg/stuk</v>
      </c>
      <c r="L1158">
        <f>VLOOKUP($A1158,[1]Table!$A$2:$N1301,L$1,FALSE)</f>
        <v>10</v>
      </c>
      <c r="M1158" t="str">
        <f>VLOOKUP($A1158,[1]Table!$A$2:$N1301,M$1,FALSE)</f>
        <v>mg</v>
      </c>
      <c r="N1158" t="str">
        <f>VLOOKUP($A1158,[1]Table!$A$2:$N1301,N$1,FALSE)</f>
        <v>Ernstige pijn||Ernstige post-operatieve pijn</v>
      </c>
      <c r="O1158" t="str">
        <f>ConcatenateRange(AZ1158:BU1158,"||")</f>
        <v/>
      </c>
      <c r="AZ1158" t="str">
        <f t="shared" si="418"/>
        <v/>
      </c>
      <c r="BA1158" t="str">
        <f t="shared" si="419"/>
        <v/>
      </c>
      <c r="BB1158" t="str">
        <f t="shared" si="420"/>
        <v/>
      </c>
      <c r="BC1158" t="str">
        <f t="shared" si="421"/>
        <v/>
      </c>
      <c r="BD1158" t="str">
        <f t="shared" si="422"/>
        <v/>
      </c>
      <c r="BE1158" t="str">
        <f t="shared" si="423"/>
        <v/>
      </c>
      <c r="BF1158" t="str">
        <f t="shared" si="424"/>
        <v/>
      </c>
      <c r="BG1158" t="str">
        <f t="shared" si="425"/>
        <v/>
      </c>
      <c r="BH1158" t="str">
        <f t="shared" si="426"/>
        <v/>
      </c>
      <c r="BI1158" t="str">
        <f t="shared" si="427"/>
        <v/>
      </c>
      <c r="BJ1158" t="str">
        <f t="shared" si="428"/>
        <v/>
      </c>
      <c r="BK1158" t="str">
        <f t="shared" si="429"/>
        <v/>
      </c>
      <c r="BL1158" t="str">
        <f t="shared" si="430"/>
        <v/>
      </c>
      <c r="BM1158" t="str">
        <f t="shared" si="431"/>
        <v/>
      </c>
      <c r="BN1158" t="str">
        <f t="shared" si="432"/>
        <v/>
      </c>
      <c r="BO1158" t="str">
        <f t="shared" si="433"/>
        <v/>
      </c>
      <c r="BP1158" t="str">
        <f t="shared" si="434"/>
        <v/>
      </c>
      <c r="BQ1158" t="str">
        <f t="shared" si="435"/>
        <v/>
      </c>
      <c r="BR1158" t="str">
        <f t="shared" si="436"/>
        <v/>
      </c>
      <c r="BS1158" t="str">
        <f t="shared" si="437"/>
        <v/>
      </c>
      <c r="BT1158" t="str">
        <f t="shared" si="438"/>
        <v/>
      </c>
      <c r="BU1158" t="str">
        <f t="shared" si="439"/>
        <v/>
      </c>
    </row>
    <row r="1159" spans="1:73">
      <c r="A1159" s="1">
        <v>116882</v>
      </c>
      <c r="B1159" t="str">
        <f>VLOOKUP($A1159,[1]Table!$A$2:$N1302,B$1,FALSE)</f>
        <v>N02AA05</v>
      </c>
      <c r="C1159" t="str">
        <f>VLOOKUP($A1159,[1]Table!$A$2:$N1302,C$1,FALSE)</f>
        <v>ANALGETICA</v>
      </c>
      <c r="D1159" t="str">
        <f>VLOOKUP($A1159,[1]Table!$A$2:$N1302,D$1,FALSE)</f>
        <v>OPIOIDEN</v>
      </c>
      <c r="E1159" t="str">
        <f>VLOOKUP($A1159,[1]Table!$A$2:$N1302,E$1,FALSE)</f>
        <v>OXYCODON</v>
      </c>
      <c r="F1159" t="str">
        <f>VLOOKUP($A1159,[1]Table!$A$2:$N1302,F$1,FALSE)</f>
        <v>OXYNORM 20 MG CAPSULE</v>
      </c>
      <c r="G1159" t="str">
        <f>VLOOKUP($A1159,[1]Table!$A$2:$N1302,G$1,FALSE)</f>
        <v>OXYCODON 20MG CAPSULE</v>
      </c>
      <c r="H1159" t="str">
        <f>VLOOKUP($A1159,[1]Table!$A$2:$N1302,H$1,FALSE)</f>
        <v>capsule</v>
      </c>
      <c r="I1159" t="str">
        <f>VLOOKUP($A1159,[1]Table!$A$2:$N1302,I$1,FALSE)</f>
        <v>or</v>
      </c>
      <c r="J1159">
        <f>VLOOKUP($A1159,[1]Table!$A$2:$N1302,J$1,FALSE)</f>
        <v>20</v>
      </c>
      <c r="K1159" t="str">
        <f>VLOOKUP($A1159,[1]Table!$A$2:$N1302,K$1,FALSE)</f>
        <v>mg/stuk</v>
      </c>
      <c r="L1159">
        <f>VLOOKUP($A1159,[1]Table!$A$2:$N1302,L$1,FALSE)</f>
        <v>20</v>
      </c>
      <c r="M1159" t="str">
        <f>VLOOKUP($A1159,[1]Table!$A$2:$N1302,M$1,FALSE)</f>
        <v>mg</v>
      </c>
      <c r="N1159" t="str">
        <f>VLOOKUP($A1159,[1]Table!$A$2:$N1302,N$1,FALSE)</f>
        <v>Ernstige pijn||Ernstige post-operatieve pijn</v>
      </c>
      <c r="O1159" t="str">
        <f>ConcatenateRange(AZ1159:BU1159,"||")</f>
        <v/>
      </c>
      <c r="AZ1159" t="str">
        <f t="shared" si="418"/>
        <v/>
      </c>
      <c r="BA1159" t="str">
        <f t="shared" si="419"/>
        <v/>
      </c>
      <c r="BB1159" t="str">
        <f t="shared" si="420"/>
        <v/>
      </c>
      <c r="BC1159" t="str">
        <f t="shared" si="421"/>
        <v/>
      </c>
      <c r="BD1159" t="str">
        <f t="shared" si="422"/>
        <v/>
      </c>
      <c r="BE1159" t="str">
        <f t="shared" si="423"/>
        <v/>
      </c>
      <c r="BF1159" t="str">
        <f t="shared" si="424"/>
        <v/>
      </c>
      <c r="BG1159" t="str">
        <f t="shared" si="425"/>
        <v/>
      </c>
      <c r="BH1159" t="str">
        <f t="shared" si="426"/>
        <v/>
      </c>
      <c r="BI1159" t="str">
        <f t="shared" si="427"/>
        <v/>
      </c>
      <c r="BJ1159" t="str">
        <f t="shared" si="428"/>
        <v/>
      </c>
      <c r="BK1159" t="str">
        <f t="shared" si="429"/>
        <v/>
      </c>
      <c r="BL1159" t="str">
        <f t="shared" si="430"/>
        <v/>
      </c>
      <c r="BM1159" t="str">
        <f t="shared" si="431"/>
        <v/>
      </c>
      <c r="BN1159" t="str">
        <f t="shared" si="432"/>
        <v/>
      </c>
      <c r="BO1159" t="str">
        <f t="shared" si="433"/>
        <v/>
      </c>
      <c r="BP1159" t="str">
        <f t="shared" si="434"/>
        <v/>
      </c>
      <c r="BQ1159" t="str">
        <f t="shared" si="435"/>
        <v/>
      </c>
      <c r="BR1159" t="str">
        <f t="shared" si="436"/>
        <v/>
      </c>
      <c r="BS1159" t="str">
        <f t="shared" si="437"/>
        <v/>
      </c>
      <c r="BT1159" t="str">
        <f t="shared" si="438"/>
        <v/>
      </c>
      <c r="BU1159" t="str">
        <f t="shared" si="439"/>
        <v/>
      </c>
    </row>
    <row r="1160" spans="1:73">
      <c r="A1160" s="1">
        <v>118648</v>
      </c>
      <c r="B1160" t="str">
        <f>VLOOKUP($A1160,[1]Table!$A$2:$N1303,B$1,FALSE)</f>
        <v>N02AA05</v>
      </c>
      <c r="C1160" t="str">
        <f>VLOOKUP($A1160,[1]Table!$A$2:$N1303,C$1,FALSE)</f>
        <v>ANALGETICA</v>
      </c>
      <c r="D1160" t="str">
        <f>VLOOKUP($A1160,[1]Table!$A$2:$N1303,D$1,FALSE)</f>
        <v>OPIOIDEN</v>
      </c>
      <c r="E1160" t="str">
        <f>VLOOKUP($A1160,[1]Table!$A$2:$N1303,E$1,FALSE)</f>
        <v>OXYCODON</v>
      </c>
      <c r="F1160" t="str">
        <f>VLOOKUP($A1160,[1]Table!$A$2:$N1303,F$1,FALSE)</f>
        <v>OXYNORM 10 MG/ML DRANK</v>
      </c>
      <c r="G1160" t="str">
        <f>VLOOKUP($A1160,[1]Table!$A$2:$N1303,G$1,FALSE)</f>
        <v>OXYCODON 10MG/ML DRANK</v>
      </c>
      <c r="H1160" t="str">
        <f>VLOOKUP($A1160,[1]Table!$A$2:$N1303,H$1,FALSE)</f>
        <v>drank</v>
      </c>
      <c r="I1160" t="str">
        <f>VLOOKUP($A1160,[1]Table!$A$2:$N1303,I$1,FALSE)</f>
        <v>or</v>
      </c>
      <c r="J1160">
        <f>VLOOKUP($A1160,[1]Table!$A$2:$N1303,J$1,FALSE)</f>
        <v>10</v>
      </c>
      <c r="K1160" t="str">
        <f>VLOOKUP($A1160,[1]Table!$A$2:$N1303,K$1,FALSE)</f>
        <v>mg/ml</v>
      </c>
      <c r="L1160">
        <f>VLOOKUP($A1160,[1]Table!$A$2:$N1303,L$1,FALSE)</f>
        <v>10</v>
      </c>
      <c r="M1160" t="str">
        <f>VLOOKUP($A1160,[1]Table!$A$2:$N1303,M$1,FALSE)</f>
        <v>mg</v>
      </c>
      <c r="N1160" t="str">
        <f>VLOOKUP($A1160,[1]Table!$A$2:$N1303,N$1,FALSE)</f>
        <v>Ernstige pijn||Ernstige post-operatieve pijn</v>
      </c>
      <c r="O1160" t="str">
        <f>ConcatenateRange(AZ1160:BU1160,"||")</f>
        <v/>
      </c>
      <c r="Q1160" s="11"/>
      <c r="R1160" s="11"/>
      <c r="S1160" s="11"/>
      <c r="T1160" s="11"/>
      <c r="U1160" s="11"/>
      <c r="V1160" s="11"/>
      <c r="AZ1160" t="str">
        <f t="shared" si="418"/>
        <v/>
      </c>
      <c r="BA1160" t="str">
        <f t="shared" si="419"/>
        <v/>
      </c>
      <c r="BB1160" t="str">
        <f t="shared" si="420"/>
        <v/>
      </c>
      <c r="BC1160" t="str">
        <f t="shared" si="421"/>
        <v/>
      </c>
      <c r="BD1160" t="str">
        <f t="shared" si="422"/>
        <v/>
      </c>
      <c r="BE1160" t="str">
        <f t="shared" si="423"/>
        <v/>
      </c>
      <c r="BF1160" t="str">
        <f t="shared" si="424"/>
        <v/>
      </c>
      <c r="BG1160" t="str">
        <f t="shared" si="425"/>
        <v/>
      </c>
      <c r="BH1160" t="str">
        <f t="shared" si="426"/>
        <v/>
      </c>
      <c r="BI1160" t="str">
        <f t="shared" si="427"/>
        <v/>
      </c>
      <c r="BJ1160" t="str">
        <f t="shared" si="428"/>
        <v/>
      </c>
      <c r="BK1160" t="str">
        <f t="shared" si="429"/>
        <v/>
      </c>
      <c r="BL1160" t="str">
        <f t="shared" si="430"/>
        <v/>
      </c>
      <c r="BM1160" t="str">
        <f t="shared" si="431"/>
        <v/>
      </c>
      <c r="BN1160" t="str">
        <f t="shared" si="432"/>
        <v/>
      </c>
      <c r="BO1160" t="str">
        <f t="shared" si="433"/>
        <v/>
      </c>
      <c r="BP1160" t="str">
        <f t="shared" si="434"/>
        <v/>
      </c>
      <c r="BQ1160" t="str">
        <f t="shared" si="435"/>
        <v/>
      </c>
      <c r="BR1160" t="str">
        <f t="shared" si="436"/>
        <v/>
      </c>
      <c r="BS1160" t="str">
        <f t="shared" si="437"/>
        <v/>
      </c>
      <c r="BT1160" t="str">
        <f t="shared" si="438"/>
        <v/>
      </c>
      <c r="BU1160" t="str">
        <f t="shared" si="439"/>
        <v/>
      </c>
    </row>
    <row r="1161" spans="1:73">
      <c r="A1161" s="1">
        <v>119970</v>
      </c>
      <c r="B1161" t="str">
        <f>VLOOKUP($A1161,[1]Table!$A$2:$N1303,B$1,FALSE)</f>
        <v>N02AA05</v>
      </c>
      <c r="C1161" t="str">
        <f>VLOOKUP($A1161,[1]Table!$A$2:$N1303,C$1,FALSE)</f>
        <v>ANALGETICA</v>
      </c>
      <c r="D1161" t="str">
        <f>VLOOKUP($A1161,[1]Table!$A$2:$N1303,D$1,FALSE)</f>
        <v>OPIOIDEN</v>
      </c>
      <c r="E1161" t="str">
        <f>VLOOKUP($A1161,[1]Table!$A$2:$N1303,E$1,FALSE)</f>
        <v>OXYCODON</v>
      </c>
      <c r="F1161" t="str">
        <f>VLOOKUP($A1161,[1]Table!$A$2:$N1303,F$1,FALSE)</f>
        <v>OXYNORM 10 MG/ML AMPUL 2 ML</v>
      </c>
      <c r="G1161" t="str">
        <f>VLOOKUP($A1161,[1]Table!$A$2:$N1303,G$1,FALSE)</f>
        <v>OXYCODON 10MG/ML INJVLST</v>
      </c>
      <c r="H1161" t="str">
        <f>VLOOKUP($A1161,[1]Table!$A$2:$N1303,H$1,FALSE)</f>
        <v>injectievloeistof</v>
      </c>
      <c r="I1161" t="str">
        <f>VLOOKUP($A1161,[1]Table!$A$2:$N1303,I$1,FALSE)</f>
        <v>iv||sc</v>
      </c>
      <c r="J1161">
        <f>VLOOKUP($A1161,[1]Table!$A$2:$N1303,J$1,FALSE)</f>
        <v>10</v>
      </c>
      <c r="K1161" t="str">
        <f>VLOOKUP($A1161,[1]Table!$A$2:$N1303,K$1,FALSE)</f>
        <v>mg/ml</v>
      </c>
      <c r="L1161">
        <f>VLOOKUP($A1161,[1]Table!$A$2:$N1303,L$1,FALSE)</f>
        <v>10</v>
      </c>
      <c r="M1161" t="str">
        <f>VLOOKUP($A1161,[1]Table!$A$2:$N1303,M$1,FALSE)</f>
        <v>mg</v>
      </c>
      <c r="N1161" t="str">
        <f>VLOOKUP($A1161,[1]Table!$A$2:$N1303,N$1,FALSE)</f>
        <v>Ernstige pijn||Ernstige post-operatieve pijn</v>
      </c>
      <c r="O1161" t="str">
        <f>ConcatenateRange(AZ1161:BU1161,"||")</f>
        <v>1 x / dag||2 x / dag||3 x / dag||4 x / dag||5 x / dag||6 x / dag</v>
      </c>
      <c r="Q1161" s="11"/>
      <c r="R1161" s="11"/>
      <c r="S1161" s="11"/>
      <c r="T1161" s="11"/>
      <c r="U1161" s="11"/>
      <c r="V1161" s="11"/>
      <c r="AA1161" t="s">
        <v>49</v>
      </c>
      <c r="AB1161" t="s">
        <v>49</v>
      </c>
      <c r="AC1161" t="s">
        <v>49</v>
      </c>
      <c r="AD1161" t="s">
        <v>49</v>
      </c>
      <c r="AE1161" t="s">
        <v>49</v>
      </c>
      <c r="AF1161" t="s">
        <v>49</v>
      </c>
      <c r="AZ1161" t="str">
        <f t="shared" si="418"/>
        <v>1 x / dag</v>
      </c>
      <c r="BA1161" t="str">
        <f t="shared" si="419"/>
        <v>2 x / dag</v>
      </c>
      <c r="BB1161" t="str">
        <f t="shared" si="420"/>
        <v>3 x / dag</v>
      </c>
      <c r="BC1161" t="str">
        <f t="shared" si="421"/>
        <v>4 x / dag</v>
      </c>
      <c r="BD1161" t="str">
        <f t="shared" si="422"/>
        <v>5 x / dag</v>
      </c>
      <c r="BE1161" t="str">
        <f t="shared" si="423"/>
        <v>6 x / dag</v>
      </c>
      <c r="BF1161" t="str">
        <f t="shared" si="424"/>
        <v/>
      </c>
      <c r="BG1161" t="str">
        <f t="shared" si="425"/>
        <v/>
      </c>
      <c r="BH1161" t="str">
        <f t="shared" si="426"/>
        <v/>
      </c>
      <c r="BI1161" t="str">
        <f t="shared" si="427"/>
        <v/>
      </c>
      <c r="BJ1161" t="str">
        <f t="shared" si="428"/>
        <v/>
      </c>
      <c r="BK1161" t="str">
        <f t="shared" si="429"/>
        <v/>
      </c>
      <c r="BL1161" t="str">
        <f t="shared" si="430"/>
        <v/>
      </c>
      <c r="BM1161" t="str">
        <f t="shared" si="431"/>
        <v/>
      </c>
      <c r="BN1161" t="str">
        <f t="shared" si="432"/>
        <v/>
      </c>
      <c r="BO1161" t="str">
        <f t="shared" si="433"/>
        <v/>
      </c>
      <c r="BP1161" t="str">
        <f t="shared" si="434"/>
        <v/>
      </c>
      <c r="BQ1161" t="str">
        <f t="shared" si="435"/>
        <v/>
      </c>
      <c r="BR1161" t="str">
        <f t="shared" si="436"/>
        <v/>
      </c>
      <c r="BS1161" t="str">
        <f t="shared" si="437"/>
        <v/>
      </c>
      <c r="BT1161" t="str">
        <f t="shared" si="438"/>
        <v/>
      </c>
      <c r="BU1161" t="str">
        <f t="shared" si="439"/>
        <v/>
      </c>
    </row>
    <row r="1162" spans="1:73">
      <c r="A1162" s="1">
        <v>135690</v>
      </c>
      <c r="B1162" t="str">
        <f>VLOOKUP($A1162,[1]Table!$A$2:$N1304,B$1,FALSE)</f>
        <v>N02AA05</v>
      </c>
      <c r="C1162" t="str">
        <f>VLOOKUP($A1162,[1]Table!$A$2:$N1304,C$1,FALSE)</f>
        <v>ANALGETICA</v>
      </c>
      <c r="D1162" t="str">
        <f>VLOOKUP($A1162,[1]Table!$A$2:$N1304,D$1,FALSE)</f>
        <v>OPIOIDEN</v>
      </c>
      <c r="E1162" t="str">
        <f>VLOOKUP($A1162,[1]Table!$A$2:$N1304,E$1,FALSE)</f>
        <v>OXYCODON</v>
      </c>
      <c r="F1162" t="str">
        <f>VLOOKUP($A1162,[1]Table!$A$2:$N1304,F$1,FALSE)</f>
        <v>OXYNORM 50 MG/ML AMPUL 1 ML</v>
      </c>
      <c r="G1162" t="str">
        <f>VLOOKUP($A1162,[1]Table!$A$2:$N1304,G$1,FALSE)</f>
        <v>OXYCODON 50MG/ML INJVLST</v>
      </c>
      <c r="H1162" t="str">
        <f>VLOOKUP($A1162,[1]Table!$A$2:$N1304,H$1,FALSE)</f>
        <v>injectievloeistof</v>
      </c>
      <c r="I1162" t="str">
        <f>VLOOKUP($A1162,[1]Table!$A$2:$N1304,I$1,FALSE)</f>
        <v>iv||sc</v>
      </c>
      <c r="J1162">
        <f>VLOOKUP($A1162,[1]Table!$A$2:$N1304,J$1,FALSE)</f>
        <v>50</v>
      </c>
      <c r="K1162" t="str">
        <f>VLOOKUP($A1162,[1]Table!$A$2:$N1304,K$1,FALSE)</f>
        <v>mg/ml</v>
      </c>
      <c r="L1162">
        <f>VLOOKUP($A1162,[1]Table!$A$2:$N1304,L$1,FALSE)</f>
        <v>50</v>
      </c>
      <c r="M1162" t="str">
        <f>VLOOKUP($A1162,[1]Table!$A$2:$N1304,M$1,FALSE)</f>
        <v>mg</v>
      </c>
      <c r="N1162" t="str">
        <f>VLOOKUP($A1162,[1]Table!$A$2:$N1304,N$1,FALSE)</f>
        <v>Ernstige pijn||Ernstige post-operatieve pijn</v>
      </c>
      <c r="O1162" t="str">
        <f>ConcatenateRange(AZ1162:BU1162,"||")</f>
        <v>1 x / dag||2 x / dag||3 x / dag||4 x / dag||5 x / dag||6 x / dag</v>
      </c>
      <c r="Q1162" s="12"/>
      <c r="R1162" s="12"/>
      <c r="S1162" s="12"/>
      <c r="T1162" s="12"/>
      <c r="U1162" s="12"/>
      <c r="V1162" s="12"/>
      <c r="AA1162" t="s">
        <v>49</v>
      </c>
      <c r="AB1162" t="s">
        <v>49</v>
      </c>
      <c r="AC1162" t="s">
        <v>49</v>
      </c>
      <c r="AD1162" t="s">
        <v>49</v>
      </c>
      <c r="AE1162" t="s">
        <v>49</v>
      </c>
      <c r="AF1162" t="s">
        <v>49</v>
      </c>
      <c r="AZ1162" t="str">
        <f t="shared" si="418"/>
        <v>1 x / dag</v>
      </c>
      <c r="BA1162" t="str">
        <f t="shared" si="419"/>
        <v>2 x / dag</v>
      </c>
      <c r="BB1162" t="str">
        <f t="shared" si="420"/>
        <v>3 x / dag</v>
      </c>
      <c r="BC1162" t="str">
        <f t="shared" si="421"/>
        <v>4 x / dag</v>
      </c>
      <c r="BD1162" t="str">
        <f t="shared" si="422"/>
        <v>5 x / dag</v>
      </c>
      <c r="BE1162" t="str">
        <f t="shared" si="423"/>
        <v>6 x / dag</v>
      </c>
      <c r="BF1162" t="str">
        <f t="shared" si="424"/>
        <v/>
      </c>
      <c r="BG1162" t="str">
        <f t="shared" si="425"/>
        <v/>
      </c>
      <c r="BH1162" t="str">
        <f t="shared" si="426"/>
        <v/>
      </c>
      <c r="BI1162" t="str">
        <f t="shared" si="427"/>
        <v/>
      </c>
      <c r="BJ1162" t="str">
        <f t="shared" si="428"/>
        <v/>
      </c>
      <c r="BK1162" t="str">
        <f t="shared" si="429"/>
        <v/>
      </c>
      <c r="BL1162" t="str">
        <f t="shared" si="430"/>
        <v/>
      </c>
      <c r="BM1162" t="str">
        <f t="shared" si="431"/>
        <v/>
      </c>
      <c r="BN1162" t="str">
        <f t="shared" si="432"/>
        <v/>
      </c>
      <c r="BO1162" t="str">
        <f t="shared" si="433"/>
        <v/>
      </c>
      <c r="BP1162" t="str">
        <f t="shared" si="434"/>
        <v/>
      </c>
      <c r="BQ1162" t="str">
        <f t="shared" si="435"/>
        <v/>
      </c>
      <c r="BR1162" t="str">
        <f t="shared" si="436"/>
        <v/>
      </c>
      <c r="BS1162" t="str">
        <f t="shared" si="437"/>
        <v/>
      </c>
      <c r="BT1162" t="str">
        <f t="shared" si="438"/>
        <v/>
      </c>
      <c r="BU1162" t="str">
        <f t="shared" si="439"/>
        <v/>
      </c>
    </row>
    <row r="1163" spans="1:73">
      <c r="A1163" s="1">
        <v>134317</v>
      </c>
      <c r="B1163" t="str">
        <f>VLOOKUP($A1163,[1]Table!$A$2:$N1305,B$1,FALSE)</f>
        <v>N02AA05</v>
      </c>
      <c r="C1163" t="str">
        <f>VLOOKUP($A1163,[1]Table!$A$2:$N1305,C$1,FALSE)</f>
        <v>ANALGETICA</v>
      </c>
      <c r="D1163" t="str">
        <f>VLOOKUP($A1163,[1]Table!$A$2:$N1305,D$1,FALSE)</f>
        <v>OPIOIDEN</v>
      </c>
      <c r="E1163" t="str">
        <f>VLOOKUP($A1163,[1]Table!$A$2:$N1305,E$1,FALSE)</f>
        <v>OXYCODON</v>
      </c>
      <c r="F1163" t="str">
        <f>VLOOKUP($A1163,[1]Table!$A$2:$N1305,F$1,FALSE)</f>
        <v>OXYNORM 5 MG SMELTTABLET</v>
      </c>
      <c r="G1163" t="str">
        <f>VLOOKUP($A1163,[1]Table!$A$2:$N1305,G$1,FALSE)</f>
        <v>OXYCODON 5MG SMELTTABLET</v>
      </c>
      <c r="H1163" t="str">
        <f>VLOOKUP($A1163,[1]Table!$A$2:$N1305,H$1,FALSE)</f>
        <v>smelttablet</v>
      </c>
      <c r="I1163" t="str">
        <f>VLOOKUP($A1163,[1]Table!$A$2:$N1305,I$1,FALSE)</f>
        <v>or</v>
      </c>
      <c r="J1163">
        <f>VLOOKUP($A1163,[1]Table!$A$2:$N1305,J$1,FALSE)</f>
        <v>5</v>
      </c>
      <c r="K1163" t="str">
        <f>VLOOKUP($A1163,[1]Table!$A$2:$N1305,K$1,FALSE)</f>
        <v>mg/stuk</v>
      </c>
      <c r="L1163">
        <f>VLOOKUP($A1163,[1]Table!$A$2:$N1305,L$1,FALSE)</f>
        <v>5</v>
      </c>
      <c r="M1163" t="str">
        <f>VLOOKUP($A1163,[1]Table!$A$2:$N1305,M$1,FALSE)</f>
        <v>mg</v>
      </c>
      <c r="N1163" t="str">
        <f>VLOOKUP($A1163,[1]Table!$A$2:$N1305,N$1,FALSE)</f>
        <v>Ernstige pijn||Ernstige post-operatieve pijn</v>
      </c>
      <c r="O1163" t="str">
        <f>ConcatenateRange(AZ1163:BU1163,"||")</f>
        <v>1 x / dag||2 x / dag||3 x / dag||4 x / dag||5 x / dag||6 x / dag</v>
      </c>
      <c r="Q1163" s="12"/>
      <c r="R1163" s="12"/>
      <c r="S1163" s="12"/>
      <c r="T1163" s="12"/>
      <c r="U1163" s="12"/>
      <c r="V1163" s="12"/>
      <c r="AA1163" t="s">
        <v>49</v>
      </c>
      <c r="AB1163" t="s">
        <v>49</v>
      </c>
      <c r="AC1163" t="s">
        <v>49</v>
      </c>
      <c r="AD1163" t="s">
        <v>49</v>
      </c>
      <c r="AE1163" t="s">
        <v>49</v>
      </c>
      <c r="AF1163" t="s">
        <v>49</v>
      </c>
      <c r="AZ1163" t="str">
        <f t="shared" si="418"/>
        <v>1 x / dag</v>
      </c>
      <c r="BA1163" t="str">
        <f t="shared" si="419"/>
        <v>2 x / dag</v>
      </c>
      <c r="BB1163" t="str">
        <f t="shared" si="420"/>
        <v>3 x / dag</v>
      </c>
      <c r="BC1163" t="str">
        <f t="shared" si="421"/>
        <v>4 x / dag</v>
      </c>
      <c r="BD1163" t="str">
        <f t="shared" si="422"/>
        <v>5 x / dag</v>
      </c>
      <c r="BE1163" t="str">
        <f t="shared" si="423"/>
        <v>6 x / dag</v>
      </c>
      <c r="BF1163" t="str">
        <f t="shared" si="424"/>
        <v/>
      </c>
      <c r="BG1163" t="str">
        <f t="shared" si="425"/>
        <v/>
      </c>
      <c r="BH1163" t="str">
        <f t="shared" si="426"/>
        <v/>
      </c>
      <c r="BI1163" t="str">
        <f t="shared" si="427"/>
        <v/>
      </c>
      <c r="BJ1163" t="str">
        <f t="shared" si="428"/>
        <v/>
      </c>
      <c r="BK1163" t="str">
        <f t="shared" si="429"/>
        <v/>
      </c>
      <c r="BL1163" t="str">
        <f t="shared" si="430"/>
        <v/>
      </c>
      <c r="BM1163" t="str">
        <f t="shared" si="431"/>
        <v/>
      </c>
      <c r="BN1163" t="str">
        <f t="shared" si="432"/>
        <v/>
      </c>
      <c r="BO1163" t="str">
        <f t="shared" si="433"/>
        <v/>
      </c>
      <c r="BP1163" t="str">
        <f t="shared" si="434"/>
        <v/>
      </c>
      <c r="BQ1163" t="str">
        <f t="shared" si="435"/>
        <v/>
      </c>
      <c r="BR1163" t="str">
        <f t="shared" si="436"/>
        <v/>
      </c>
      <c r="BS1163" t="str">
        <f t="shared" si="437"/>
        <v/>
      </c>
      <c r="BT1163" t="str">
        <f t="shared" si="438"/>
        <v/>
      </c>
      <c r="BU1163" t="str">
        <f t="shared" si="439"/>
        <v/>
      </c>
    </row>
    <row r="1164" spans="1:73">
      <c r="A1164" s="1">
        <v>134333</v>
      </c>
      <c r="B1164" t="str">
        <f>VLOOKUP($A1164,[1]Table!$A$2:$N1306,B$1,FALSE)</f>
        <v>N02AA05</v>
      </c>
      <c r="C1164" t="str">
        <f>VLOOKUP($A1164,[1]Table!$A$2:$N1306,C$1,FALSE)</f>
        <v>ANALGETICA</v>
      </c>
      <c r="D1164" t="str">
        <f>VLOOKUP($A1164,[1]Table!$A$2:$N1306,D$1,FALSE)</f>
        <v>OPIOIDEN</v>
      </c>
      <c r="E1164" t="str">
        <f>VLOOKUP($A1164,[1]Table!$A$2:$N1306,E$1,FALSE)</f>
        <v>OXYCODON</v>
      </c>
      <c r="F1164" t="str">
        <f>VLOOKUP($A1164,[1]Table!$A$2:$N1306,F$1,FALSE)</f>
        <v>OXYNORM 10 MG INSTANT ORODISP TABLET</v>
      </c>
      <c r="G1164" t="str">
        <f>VLOOKUP($A1164,[1]Table!$A$2:$N1306,G$1,FALSE)</f>
        <v>OXYCODON 10MG SMELTTABLET</v>
      </c>
      <c r="H1164" t="str">
        <f>VLOOKUP($A1164,[1]Table!$A$2:$N1306,H$1,FALSE)</f>
        <v>smelttablet</v>
      </c>
      <c r="I1164" t="str">
        <f>VLOOKUP($A1164,[1]Table!$A$2:$N1306,I$1,FALSE)</f>
        <v>or</v>
      </c>
      <c r="J1164">
        <f>VLOOKUP($A1164,[1]Table!$A$2:$N1306,J$1,FALSE)</f>
        <v>10</v>
      </c>
      <c r="K1164" t="str">
        <f>VLOOKUP($A1164,[1]Table!$A$2:$N1306,K$1,FALSE)</f>
        <v>mg/stuk</v>
      </c>
      <c r="L1164">
        <f>VLOOKUP($A1164,[1]Table!$A$2:$N1306,L$1,FALSE)</f>
        <v>10</v>
      </c>
      <c r="M1164" t="str">
        <f>VLOOKUP($A1164,[1]Table!$A$2:$N1306,M$1,FALSE)</f>
        <v>mg</v>
      </c>
      <c r="N1164" t="str">
        <f>VLOOKUP($A1164,[1]Table!$A$2:$N1306,N$1,FALSE)</f>
        <v>Ernstige pijn||Ernstige post-operatieve pijn</v>
      </c>
      <c r="O1164" t="str">
        <f>ConcatenateRange(AZ1164:BU1164,"||")</f>
        <v>1 x / dag||2 x / dag||3 x / dag||4 x / dag||5 x / dag||6 x / dag</v>
      </c>
      <c r="Q1164" s="12"/>
      <c r="R1164" s="12"/>
      <c r="S1164" s="12"/>
      <c r="T1164" s="12"/>
      <c r="U1164" s="12"/>
      <c r="V1164" s="12"/>
      <c r="AA1164" t="s">
        <v>49</v>
      </c>
      <c r="AB1164" t="s">
        <v>49</v>
      </c>
      <c r="AC1164" t="s">
        <v>49</v>
      </c>
      <c r="AD1164" t="s">
        <v>49</v>
      </c>
      <c r="AE1164" t="s">
        <v>49</v>
      </c>
      <c r="AF1164" t="s">
        <v>49</v>
      </c>
      <c r="AZ1164" t="str">
        <f t="shared" si="418"/>
        <v>1 x / dag</v>
      </c>
      <c r="BA1164" t="str">
        <f t="shared" si="419"/>
        <v>2 x / dag</v>
      </c>
      <c r="BB1164" t="str">
        <f t="shared" si="420"/>
        <v>3 x / dag</v>
      </c>
      <c r="BC1164" t="str">
        <f t="shared" si="421"/>
        <v>4 x / dag</v>
      </c>
      <c r="BD1164" t="str">
        <f t="shared" si="422"/>
        <v>5 x / dag</v>
      </c>
      <c r="BE1164" t="str">
        <f t="shared" si="423"/>
        <v>6 x / dag</v>
      </c>
      <c r="BF1164" t="str">
        <f t="shared" si="424"/>
        <v/>
      </c>
      <c r="BG1164" t="str">
        <f t="shared" si="425"/>
        <v/>
      </c>
      <c r="BH1164" t="str">
        <f t="shared" si="426"/>
        <v/>
      </c>
      <c r="BI1164" t="str">
        <f t="shared" si="427"/>
        <v/>
      </c>
      <c r="BJ1164" t="str">
        <f t="shared" si="428"/>
        <v/>
      </c>
      <c r="BK1164" t="str">
        <f t="shared" si="429"/>
        <v/>
      </c>
      <c r="BL1164" t="str">
        <f t="shared" si="430"/>
        <v/>
      </c>
      <c r="BM1164" t="str">
        <f t="shared" si="431"/>
        <v/>
      </c>
      <c r="BN1164" t="str">
        <f t="shared" si="432"/>
        <v/>
      </c>
      <c r="BO1164" t="str">
        <f t="shared" si="433"/>
        <v/>
      </c>
      <c r="BP1164" t="str">
        <f t="shared" si="434"/>
        <v/>
      </c>
      <c r="BQ1164" t="str">
        <f t="shared" si="435"/>
        <v/>
      </c>
      <c r="BR1164" t="str">
        <f t="shared" si="436"/>
        <v/>
      </c>
      <c r="BS1164" t="str">
        <f t="shared" si="437"/>
        <v/>
      </c>
      <c r="BT1164" t="str">
        <f t="shared" si="438"/>
        <v/>
      </c>
      <c r="BU1164" t="str">
        <f t="shared" si="439"/>
        <v/>
      </c>
    </row>
    <row r="1165" spans="1:73">
      <c r="A1165" s="1">
        <v>134368</v>
      </c>
      <c r="B1165" t="str">
        <f>VLOOKUP($A1165,[1]Table!$A$2:$N1307,B$1,FALSE)</f>
        <v>N02AA05</v>
      </c>
      <c r="C1165" t="str">
        <f>VLOOKUP($A1165,[1]Table!$A$2:$N1307,C$1,FALSE)</f>
        <v>ANALGETICA</v>
      </c>
      <c r="D1165" t="str">
        <f>VLOOKUP($A1165,[1]Table!$A$2:$N1307,D$1,FALSE)</f>
        <v>OPIOIDEN</v>
      </c>
      <c r="E1165" t="str">
        <f>VLOOKUP($A1165,[1]Table!$A$2:$N1307,E$1,FALSE)</f>
        <v>OXYCODON</v>
      </c>
      <c r="F1165" t="str">
        <f>VLOOKUP($A1165,[1]Table!$A$2:$N1307,F$1,FALSE)</f>
        <v>OXYNORM 20 MG INSTANT ORODISP TABLET</v>
      </c>
      <c r="G1165" t="str">
        <f>VLOOKUP($A1165,[1]Table!$A$2:$N1307,G$1,FALSE)</f>
        <v>OXYCODON 20MG SMELTTABLET</v>
      </c>
      <c r="H1165" t="str">
        <f>VLOOKUP($A1165,[1]Table!$A$2:$N1307,H$1,FALSE)</f>
        <v>smelttablet</v>
      </c>
      <c r="I1165" t="str">
        <f>VLOOKUP($A1165,[1]Table!$A$2:$N1307,I$1,FALSE)</f>
        <v>or</v>
      </c>
      <c r="J1165">
        <f>VLOOKUP($A1165,[1]Table!$A$2:$N1307,J$1,FALSE)</f>
        <v>20</v>
      </c>
      <c r="K1165" t="str">
        <f>VLOOKUP($A1165,[1]Table!$A$2:$N1307,K$1,FALSE)</f>
        <v>mg/stuk</v>
      </c>
      <c r="L1165">
        <f>VLOOKUP($A1165,[1]Table!$A$2:$N1307,L$1,FALSE)</f>
        <v>20</v>
      </c>
      <c r="M1165" t="str">
        <f>VLOOKUP($A1165,[1]Table!$A$2:$N1307,M$1,FALSE)</f>
        <v>mg</v>
      </c>
      <c r="N1165" t="str">
        <f>VLOOKUP($A1165,[1]Table!$A$2:$N1307,N$1,FALSE)</f>
        <v>Ernstige pijn||Ernstige post-operatieve pijn</v>
      </c>
      <c r="O1165" t="str">
        <f>ConcatenateRange(AZ1165:BU1165,"||")</f>
        <v>1 x / dag||2 x / dag||3 x / dag||4 x / dag||5 x / dag||6 x / dag</v>
      </c>
      <c r="Q1165" s="13"/>
      <c r="R1165" s="13"/>
      <c r="S1165" s="13"/>
      <c r="T1165" s="13"/>
      <c r="U1165" s="13"/>
      <c r="V1165" s="13"/>
      <c r="AA1165" t="s">
        <v>49</v>
      </c>
      <c r="AB1165" t="s">
        <v>49</v>
      </c>
      <c r="AC1165" t="s">
        <v>49</v>
      </c>
      <c r="AD1165" t="s">
        <v>49</v>
      </c>
      <c r="AE1165" t="s">
        <v>49</v>
      </c>
      <c r="AF1165" t="s">
        <v>49</v>
      </c>
      <c r="AZ1165" t="str">
        <f t="shared" si="418"/>
        <v>1 x / dag</v>
      </c>
      <c r="BA1165" t="str">
        <f t="shared" si="419"/>
        <v>2 x / dag</v>
      </c>
      <c r="BB1165" t="str">
        <f t="shared" si="420"/>
        <v>3 x / dag</v>
      </c>
      <c r="BC1165" t="str">
        <f t="shared" si="421"/>
        <v>4 x / dag</v>
      </c>
      <c r="BD1165" t="str">
        <f t="shared" si="422"/>
        <v>5 x / dag</v>
      </c>
      <c r="BE1165" t="str">
        <f t="shared" si="423"/>
        <v>6 x / dag</v>
      </c>
      <c r="BF1165" t="str">
        <f t="shared" si="424"/>
        <v/>
      </c>
      <c r="BG1165" t="str">
        <f t="shared" si="425"/>
        <v/>
      </c>
      <c r="BH1165" t="str">
        <f t="shared" si="426"/>
        <v/>
      </c>
      <c r="BI1165" t="str">
        <f t="shared" si="427"/>
        <v/>
      </c>
      <c r="BJ1165" t="str">
        <f t="shared" si="428"/>
        <v/>
      </c>
      <c r="BK1165" t="str">
        <f t="shared" si="429"/>
        <v/>
      </c>
      <c r="BL1165" t="str">
        <f t="shared" si="430"/>
        <v/>
      </c>
      <c r="BM1165" t="str">
        <f t="shared" si="431"/>
        <v/>
      </c>
      <c r="BN1165" t="str">
        <f t="shared" si="432"/>
        <v/>
      </c>
      <c r="BO1165" t="str">
        <f t="shared" si="433"/>
        <v/>
      </c>
      <c r="BP1165" t="str">
        <f t="shared" si="434"/>
        <v/>
      </c>
      <c r="BQ1165" t="str">
        <f t="shared" si="435"/>
        <v/>
      </c>
      <c r="BR1165" t="str">
        <f t="shared" si="436"/>
        <v/>
      </c>
      <c r="BS1165" t="str">
        <f t="shared" si="437"/>
        <v/>
      </c>
      <c r="BT1165" t="str">
        <f t="shared" si="438"/>
        <v/>
      </c>
      <c r="BU1165" t="str">
        <f t="shared" si="439"/>
        <v/>
      </c>
    </row>
    <row r="1166" spans="1:73">
      <c r="A1166" s="1">
        <v>115932</v>
      </c>
      <c r="B1166" t="str">
        <f>VLOOKUP($A1166,[1]Table!$A$2:$N1307,B$1,FALSE)</f>
        <v>N02AA05</v>
      </c>
      <c r="C1166" t="str">
        <f>VLOOKUP($A1166,[1]Table!$A$2:$N1307,C$1,FALSE)</f>
        <v>ANALGETICA</v>
      </c>
      <c r="D1166" t="str">
        <f>VLOOKUP($A1166,[1]Table!$A$2:$N1307,D$1,FALSE)</f>
        <v>OPIOIDEN</v>
      </c>
      <c r="E1166" t="s">
        <v>117</v>
      </c>
      <c r="F1166" t="str">
        <f>VLOOKUP($A1166,[1]Table!$A$2:$N1307,F$1,FALSE)</f>
        <v>OXYCONTIN 5 MG TABLET MVA (RETARD)</v>
      </c>
      <c r="G1166" t="str">
        <f>VLOOKUP($A1166,[1]Table!$A$2:$N1307,G$1,FALSE)</f>
        <v>OXYCODON 5MG TABLET MGA</v>
      </c>
      <c r="H1166" t="str">
        <f>VLOOKUP($A1166,[1]Table!$A$2:$N1307,H$1,FALSE)</f>
        <v>tablet met gereguleerde afgifte</v>
      </c>
      <c r="I1166" t="str">
        <f>VLOOKUP($A1166,[1]Table!$A$2:$N1307,I$1,FALSE)</f>
        <v>or</v>
      </c>
      <c r="J1166">
        <f>VLOOKUP($A1166,[1]Table!$A$2:$N1307,J$1,FALSE)</f>
        <v>5</v>
      </c>
      <c r="K1166" t="str">
        <f>VLOOKUP($A1166,[1]Table!$A$2:$N1307,K$1,FALSE)</f>
        <v>mg/stuk</v>
      </c>
      <c r="L1166">
        <f>VLOOKUP($A1166,[1]Table!$A$2:$N1307,L$1,FALSE)</f>
        <v>5</v>
      </c>
      <c r="M1166" t="str">
        <f>VLOOKUP($A1166,[1]Table!$A$2:$N1307,M$1,FALSE)</f>
        <v>mg</v>
      </c>
      <c r="N1166" t="str">
        <f>VLOOKUP($A1166,[1]Table!$A$2:$N1307,N$1,FALSE)</f>
        <v>Ernstige pijn||Ernstige post-operatieve pijn</v>
      </c>
      <c r="O1166" t="str">
        <f>ConcatenateRange(AZ1166:BU1166,"||")</f>
        <v>1 x / dag||2 x / dag||3 x / dag||4 x / dag||5 x / dag||6 x / dag</v>
      </c>
      <c r="P1166" s="11"/>
      <c r="Q1166" s="13"/>
      <c r="R1166" s="13"/>
      <c r="S1166" s="13"/>
      <c r="T1166" s="13"/>
      <c r="U1166" s="13"/>
      <c r="V1166" s="13"/>
      <c r="AA1166" t="s">
        <v>49</v>
      </c>
      <c r="AB1166" t="s">
        <v>49</v>
      </c>
      <c r="AC1166" t="s">
        <v>49</v>
      </c>
      <c r="AD1166" t="s">
        <v>49</v>
      </c>
      <c r="AE1166" t="s">
        <v>49</v>
      </c>
      <c r="AF1166" t="s">
        <v>49</v>
      </c>
      <c r="AZ1166" t="str">
        <f t="shared" si="418"/>
        <v>1 x / dag</v>
      </c>
      <c r="BA1166" t="str">
        <f t="shared" si="419"/>
        <v>2 x / dag</v>
      </c>
      <c r="BB1166" t="str">
        <f t="shared" si="420"/>
        <v>3 x / dag</v>
      </c>
      <c r="BC1166" t="str">
        <f t="shared" si="421"/>
        <v>4 x / dag</v>
      </c>
      <c r="BD1166" t="str">
        <f t="shared" si="422"/>
        <v>5 x / dag</v>
      </c>
      <c r="BE1166" t="str">
        <f t="shared" si="423"/>
        <v>6 x / dag</v>
      </c>
      <c r="BF1166" t="str">
        <f t="shared" si="424"/>
        <v/>
      </c>
      <c r="BG1166" t="str">
        <f t="shared" si="425"/>
        <v/>
      </c>
      <c r="BH1166" t="str">
        <f t="shared" si="426"/>
        <v/>
      </c>
      <c r="BI1166" t="str">
        <f t="shared" si="427"/>
        <v/>
      </c>
      <c r="BJ1166" t="str">
        <f t="shared" si="428"/>
        <v/>
      </c>
      <c r="BK1166" t="str">
        <f t="shared" si="429"/>
        <v/>
      </c>
      <c r="BL1166" t="str">
        <f t="shared" si="430"/>
        <v/>
      </c>
      <c r="BM1166" t="str">
        <f t="shared" si="431"/>
        <v/>
      </c>
      <c r="BN1166" t="str">
        <f t="shared" si="432"/>
        <v/>
      </c>
      <c r="BO1166" t="str">
        <f t="shared" si="433"/>
        <v/>
      </c>
      <c r="BP1166" t="str">
        <f t="shared" si="434"/>
        <v/>
      </c>
      <c r="BQ1166" t="str">
        <f t="shared" si="435"/>
        <v/>
      </c>
      <c r="BR1166" t="str">
        <f t="shared" si="436"/>
        <v/>
      </c>
      <c r="BS1166" t="str">
        <f t="shared" si="437"/>
        <v/>
      </c>
      <c r="BT1166" t="str">
        <f t="shared" si="438"/>
        <v/>
      </c>
      <c r="BU1166" t="str">
        <f t="shared" si="439"/>
        <v/>
      </c>
    </row>
    <row r="1167" spans="1:73">
      <c r="A1167" s="1">
        <v>111430</v>
      </c>
      <c r="B1167" t="str">
        <f>VLOOKUP($A1167,[1]Table!$A$2:$N1308,B$1,FALSE)</f>
        <v>N02AA05</v>
      </c>
      <c r="C1167" t="str">
        <f>VLOOKUP($A1167,[1]Table!$A$2:$N1308,C$1,FALSE)</f>
        <v>ANALGETICA</v>
      </c>
      <c r="D1167" t="str">
        <f>VLOOKUP($A1167,[1]Table!$A$2:$N1308,D$1,FALSE)</f>
        <v>OPIOIDEN</v>
      </c>
      <c r="E1167" t="s">
        <v>117</v>
      </c>
      <c r="F1167" t="str">
        <f>VLOOKUP($A1167,[1]Table!$A$2:$N1308,F$1,FALSE)</f>
        <v>OXYCONTIN 10 MG TABLET MVA (RETARD)</v>
      </c>
      <c r="G1167" t="str">
        <f>VLOOKUP($A1167,[1]Table!$A$2:$N1308,G$1,FALSE)</f>
        <v>OXYCODON 10MG TABLET MGA</v>
      </c>
      <c r="H1167" t="str">
        <f>VLOOKUP($A1167,[1]Table!$A$2:$N1308,H$1,FALSE)</f>
        <v>tablet met gereguleerde afgifte</v>
      </c>
      <c r="I1167" t="str">
        <f>VLOOKUP($A1167,[1]Table!$A$2:$N1308,I$1,FALSE)</f>
        <v>or</v>
      </c>
      <c r="J1167">
        <f>VLOOKUP($A1167,[1]Table!$A$2:$N1308,J$1,FALSE)</f>
        <v>10</v>
      </c>
      <c r="K1167" t="str">
        <f>VLOOKUP($A1167,[1]Table!$A$2:$N1308,K$1,FALSE)</f>
        <v>mg/stuk</v>
      </c>
      <c r="L1167">
        <f>VLOOKUP($A1167,[1]Table!$A$2:$N1308,L$1,FALSE)</f>
        <v>10</v>
      </c>
      <c r="M1167" t="str">
        <f>VLOOKUP($A1167,[1]Table!$A$2:$N1308,M$1,FALSE)</f>
        <v>mg</v>
      </c>
      <c r="N1167" t="str">
        <f>VLOOKUP($A1167,[1]Table!$A$2:$N1308,N$1,FALSE)</f>
        <v>Ernstige pijn||Ernstige post-operatieve pijn</v>
      </c>
      <c r="O1167" t="str">
        <f>ConcatenateRange(AZ1167:BU1167,"||")</f>
        <v>1 x / dag||2 x / dag||3 x / dag||4 x / dag||5 x / dag||6 x / dag</v>
      </c>
      <c r="P1167" s="11"/>
      <c r="Q1167" s="13"/>
      <c r="R1167" s="13"/>
      <c r="S1167" s="13"/>
      <c r="T1167" s="13"/>
      <c r="U1167" s="13"/>
      <c r="V1167" s="13"/>
      <c r="AA1167" t="s">
        <v>49</v>
      </c>
      <c r="AB1167" t="s">
        <v>49</v>
      </c>
      <c r="AC1167" t="s">
        <v>49</v>
      </c>
      <c r="AD1167" t="s">
        <v>49</v>
      </c>
      <c r="AE1167" t="s">
        <v>49</v>
      </c>
      <c r="AF1167" t="s">
        <v>49</v>
      </c>
      <c r="AZ1167" t="str">
        <f t="shared" si="418"/>
        <v>1 x / dag</v>
      </c>
      <c r="BA1167" t="str">
        <f t="shared" si="419"/>
        <v>2 x / dag</v>
      </c>
      <c r="BB1167" t="str">
        <f t="shared" si="420"/>
        <v>3 x / dag</v>
      </c>
      <c r="BC1167" t="str">
        <f t="shared" si="421"/>
        <v>4 x / dag</v>
      </c>
      <c r="BD1167" t="str">
        <f t="shared" si="422"/>
        <v>5 x / dag</v>
      </c>
      <c r="BE1167" t="str">
        <f t="shared" si="423"/>
        <v>6 x / dag</v>
      </c>
      <c r="BF1167" t="str">
        <f t="shared" si="424"/>
        <v/>
      </c>
      <c r="BG1167" t="str">
        <f t="shared" si="425"/>
        <v/>
      </c>
      <c r="BH1167" t="str">
        <f t="shared" si="426"/>
        <v/>
      </c>
      <c r="BI1167" t="str">
        <f t="shared" si="427"/>
        <v/>
      </c>
      <c r="BJ1167" t="str">
        <f t="shared" si="428"/>
        <v/>
      </c>
      <c r="BK1167" t="str">
        <f t="shared" si="429"/>
        <v/>
      </c>
      <c r="BL1167" t="str">
        <f t="shared" si="430"/>
        <v/>
      </c>
      <c r="BM1167" t="str">
        <f t="shared" si="431"/>
        <v/>
      </c>
      <c r="BN1167" t="str">
        <f t="shared" si="432"/>
        <v/>
      </c>
      <c r="BO1167" t="str">
        <f t="shared" si="433"/>
        <v/>
      </c>
      <c r="BP1167" t="str">
        <f t="shared" si="434"/>
        <v/>
      </c>
      <c r="BQ1167" t="str">
        <f t="shared" si="435"/>
        <v/>
      </c>
      <c r="BR1167" t="str">
        <f t="shared" si="436"/>
        <v/>
      </c>
      <c r="BS1167" t="str">
        <f t="shared" si="437"/>
        <v/>
      </c>
      <c r="BT1167" t="str">
        <f t="shared" si="438"/>
        <v/>
      </c>
      <c r="BU1167" t="str">
        <f t="shared" si="439"/>
        <v/>
      </c>
    </row>
    <row r="1168" spans="1:73">
      <c r="A1168" s="1">
        <v>111449</v>
      </c>
      <c r="B1168" t="str">
        <f>VLOOKUP($A1168,[1]Table!$A$2:$N1309,B$1,FALSE)</f>
        <v>N02AA05</v>
      </c>
      <c r="C1168" t="str">
        <f>VLOOKUP($A1168,[1]Table!$A$2:$N1309,C$1,FALSE)</f>
        <v>ANALGETICA</v>
      </c>
      <c r="D1168" t="str">
        <f>VLOOKUP($A1168,[1]Table!$A$2:$N1309,D$1,FALSE)</f>
        <v>OPIOIDEN</v>
      </c>
      <c r="E1168" t="s">
        <v>117</v>
      </c>
      <c r="F1168" t="str">
        <f>VLOOKUP($A1168,[1]Table!$A$2:$N1309,F$1,FALSE)</f>
        <v>OXYCONTIN 20 MG TABLET MVA (RETARD)</v>
      </c>
      <c r="G1168" t="str">
        <f>VLOOKUP($A1168,[1]Table!$A$2:$N1309,G$1,FALSE)</f>
        <v>OXYCODON 20MG TABLET MGA</v>
      </c>
      <c r="H1168" t="str">
        <f>VLOOKUP($A1168,[1]Table!$A$2:$N1309,H$1,FALSE)</f>
        <v>tablet met gereguleerde afgifte</v>
      </c>
      <c r="I1168" t="str">
        <f>VLOOKUP($A1168,[1]Table!$A$2:$N1309,I$1,FALSE)</f>
        <v>or</v>
      </c>
      <c r="J1168">
        <f>VLOOKUP($A1168,[1]Table!$A$2:$N1309,J$1,FALSE)</f>
        <v>20</v>
      </c>
      <c r="K1168" t="str">
        <f>VLOOKUP($A1168,[1]Table!$A$2:$N1309,K$1,FALSE)</f>
        <v>mg/stuk</v>
      </c>
      <c r="L1168">
        <f>VLOOKUP($A1168,[1]Table!$A$2:$N1309,L$1,FALSE)</f>
        <v>20</v>
      </c>
      <c r="M1168" t="str">
        <f>VLOOKUP($A1168,[1]Table!$A$2:$N1309,M$1,FALSE)</f>
        <v>mg</v>
      </c>
      <c r="N1168" t="str">
        <f>VLOOKUP($A1168,[1]Table!$A$2:$N1309,N$1,FALSE)</f>
        <v>Ernstige pijn||Ernstige post-operatieve pijn</v>
      </c>
      <c r="O1168" t="str">
        <f>ConcatenateRange(AZ1168:BU1168,"||")</f>
        <v>1 x / dag||2 x / dag||3 x / dag||4 x / dag||5 x / dag||6 x / dag</v>
      </c>
      <c r="P1168" s="12"/>
      <c r="Q1168" s="13"/>
      <c r="R1168" s="13"/>
      <c r="S1168" s="13"/>
      <c r="T1168" s="13"/>
      <c r="U1168" s="13"/>
      <c r="V1168" s="13"/>
      <c r="AA1168" t="s">
        <v>49</v>
      </c>
      <c r="AB1168" t="s">
        <v>49</v>
      </c>
      <c r="AC1168" t="s">
        <v>49</v>
      </c>
      <c r="AD1168" t="s">
        <v>49</v>
      </c>
      <c r="AE1168" t="s">
        <v>49</v>
      </c>
      <c r="AF1168" t="s">
        <v>49</v>
      </c>
      <c r="AZ1168" t="str">
        <f t="shared" si="418"/>
        <v>1 x / dag</v>
      </c>
      <c r="BA1168" t="str">
        <f t="shared" si="419"/>
        <v>2 x / dag</v>
      </c>
      <c r="BB1168" t="str">
        <f t="shared" si="420"/>
        <v>3 x / dag</v>
      </c>
      <c r="BC1168" t="str">
        <f t="shared" si="421"/>
        <v>4 x / dag</v>
      </c>
      <c r="BD1168" t="str">
        <f t="shared" si="422"/>
        <v>5 x / dag</v>
      </c>
      <c r="BE1168" t="str">
        <f t="shared" si="423"/>
        <v>6 x / dag</v>
      </c>
      <c r="BF1168" t="str">
        <f t="shared" si="424"/>
        <v/>
      </c>
      <c r="BG1168" t="str">
        <f t="shared" si="425"/>
        <v/>
      </c>
      <c r="BH1168" t="str">
        <f t="shared" si="426"/>
        <v/>
      </c>
      <c r="BI1168" t="str">
        <f t="shared" si="427"/>
        <v/>
      </c>
      <c r="BJ1168" t="str">
        <f t="shared" si="428"/>
        <v/>
      </c>
      <c r="BK1168" t="str">
        <f t="shared" si="429"/>
        <v/>
      </c>
      <c r="BL1168" t="str">
        <f t="shared" si="430"/>
        <v/>
      </c>
      <c r="BM1168" t="str">
        <f t="shared" si="431"/>
        <v/>
      </c>
      <c r="BN1168" t="str">
        <f t="shared" si="432"/>
        <v/>
      </c>
      <c r="BO1168" t="str">
        <f t="shared" si="433"/>
        <v/>
      </c>
      <c r="BP1168" t="str">
        <f t="shared" si="434"/>
        <v/>
      </c>
      <c r="BQ1168" t="str">
        <f t="shared" si="435"/>
        <v/>
      </c>
      <c r="BR1168" t="str">
        <f t="shared" si="436"/>
        <v/>
      </c>
      <c r="BS1168" t="str">
        <f t="shared" si="437"/>
        <v/>
      </c>
      <c r="BT1168" t="str">
        <f t="shared" si="438"/>
        <v/>
      </c>
      <c r="BU1168" t="str">
        <f t="shared" si="439"/>
        <v/>
      </c>
    </row>
    <row r="1169" spans="1:73">
      <c r="A1169" s="1">
        <v>111457</v>
      </c>
      <c r="B1169" t="str">
        <f>VLOOKUP($A1169,[1]Table!$A$2:$N1310,B$1,FALSE)</f>
        <v>N02AA05</v>
      </c>
      <c r="C1169" t="str">
        <f>VLOOKUP($A1169,[1]Table!$A$2:$N1310,C$1,FALSE)</f>
        <v>ANALGETICA</v>
      </c>
      <c r="D1169" t="str">
        <f>VLOOKUP($A1169,[1]Table!$A$2:$N1310,D$1,FALSE)</f>
        <v>OPIOIDEN</v>
      </c>
      <c r="E1169" t="s">
        <v>117</v>
      </c>
      <c r="F1169" t="str">
        <f>VLOOKUP($A1169,[1]Table!$A$2:$N1310,F$1,FALSE)</f>
        <v>OXYCONTIN 40 MG TABLET MVA (RETARD)</v>
      </c>
      <c r="G1169" t="str">
        <f>VLOOKUP($A1169,[1]Table!$A$2:$N1310,G$1,FALSE)</f>
        <v>OXYCODON 40MG TABLET MGA</v>
      </c>
      <c r="H1169" t="str">
        <f>VLOOKUP($A1169,[1]Table!$A$2:$N1310,H$1,FALSE)</f>
        <v>tablet met gereguleerde afgifte</v>
      </c>
      <c r="I1169" t="str">
        <f>VLOOKUP($A1169,[1]Table!$A$2:$N1310,I$1,FALSE)</f>
        <v>or</v>
      </c>
      <c r="J1169">
        <f>VLOOKUP($A1169,[1]Table!$A$2:$N1310,J$1,FALSE)</f>
        <v>40</v>
      </c>
      <c r="K1169" t="str">
        <f>VLOOKUP($A1169,[1]Table!$A$2:$N1310,K$1,FALSE)</f>
        <v>mg/stuk</v>
      </c>
      <c r="L1169">
        <f>VLOOKUP($A1169,[1]Table!$A$2:$N1310,L$1,FALSE)</f>
        <v>40</v>
      </c>
      <c r="M1169" t="str">
        <f>VLOOKUP($A1169,[1]Table!$A$2:$N1310,M$1,FALSE)</f>
        <v>mg</v>
      </c>
      <c r="N1169" t="str">
        <f>VLOOKUP($A1169,[1]Table!$A$2:$N1310,N$1,FALSE)</f>
        <v>Ernstige pijn||Ernstige post-operatieve pijn</v>
      </c>
      <c r="O1169" t="str">
        <f>ConcatenateRange(AZ1169:BU1169,"||")</f>
        <v>1 x / dag||2 x / dag||3 x / dag||4 x / dag||5 x / dag||6 x / dag</v>
      </c>
      <c r="P1169" s="12"/>
      <c r="Q1169" s="13"/>
      <c r="R1169" s="13"/>
      <c r="S1169" s="13"/>
      <c r="T1169" s="13"/>
      <c r="U1169" s="13"/>
      <c r="V1169" s="13"/>
      <c r="AA1169" t="s">
        <v>49</v>
      </c>
      <c r="AB1169" t="s">
        <v>49</v>
      </c>
      <c r="AC1169" t="s">
        <v>49</v>
      </c>
      <c r="AD1169" t="s">
        <v>49</v>
      </c>
      <c r="AE1169" t="s">
        <v>49</v>
      </c>
      <c r="AF1169" t="s">
        <v>49</v>
      </c>
      <c r="AZ1169" t="str">
        <f t="shared" si="418"/>
        <v>1 x / dag</v>
      </c>
      <c r="BA1169" t="str">
        <f t="shared" si="419"/>
        <v>2 x / dag</v>
      </c>
      <c r="BB1169" t="str">
        <f t="shared" si="420"/>
        <v>3 x / dag</v>
      </c>
      <c r="BC1169" t="str">
        <f t="shared" si="421"/>
        <v>4 x / dag</v>
      </c>
      <c r="BD1169" t="str">
        <f t="shared" si="422"/>
        <v>5 x / dag</v>
      </c>
      <c r="BE1169" t="str">
        <f t="shared" si="423"/>
        <v>6 x / dag</v>
      </c>
      <c r="BF1169" t="str">
        <f t="shared" si="424"/>
        <v/>
      </c>
      <c r="BG1169" t="str">
        <f t="shared" si="425"/>
        <v/>
      </c>
      <c r="BH1169" t="str">
        <f t="shared" si="426"/>
        <v/>
      </c>
      <c r="BI1169" t="str">
        <f t="shared" si="427"/>
        <v/>
      </c>
      <c r="BJ1169" t="str">
        <f t="shared" si="428"/>
        <v/>
      </c>
      <c r="BK1169" t="str">
        <f t="shared" si="429"/>
        <v/>
      </c>
      <c r="BL1169" t="str">
        <f t="shared" si="430"/>
        <v/>
      </c>
      <c r="BM1169" t="str">
        <f t="shared" si="431"/>
        <v/>
      </c>
      <c r="BN1169" t="str">
        <f t="shared" si="432"/>
        <v/>
      </c>
      <c r="BO1169" t="str">
        <f t="shared" si="433"/>
        <v/>
      </c>
      <c r="BP1169" t="str">
        <f t="shared" si="434"/>
        <v/>
      </c>
      <c r="BQ1169" t="str">
        <f t="shared" si="435"/>
        <v/>
      </c>
      <c r="BR1169" t="str">
        <f t="shared" si="436"/>
        <v/>
      </c>
      <c r="BS1169" t="str">
        <f t="shared" si="437"/>
        <v/>
      </c>
      <c r="BT1169" t="str">
        <f t="shared" si="438"/>
        <v/>
      </c>
      <c r="BU1169" t="str">
        <f t="shared" si="439"/>
        <v/>
      </c>
    </row>
    <row r="1170" spans="1:73">
      <c r="A1170" s="1">
        <v>111465</v>
      </c>
      <c r="B1170" t="str">
        <f>VLOOKUP($A1170,[1]Table!$A$2:$N1311,B$1,FALSE)</f>
        <v>N02AA05</v>
      </c>
      <c r="C1170" t="str">
        <f>VLOOKUP($A1170,[1]Table!$A$2:$N1311,C$1,FALSE)</f>
        <v>ANALGETICA</v>
      </c>
      <c r="D1170" t="str">
        <f>VLOOKUP($A1170,[1]Table!$A$2:$N1311,D$1,FALSE)</f>
        <v>OPIOIDEN</v>
      </c>
      <c r="E1170" t="s">
        <v>117</v>
      </c>
      <c r="F1170" t="str">
        <f>VLOOKUP($A1170,[1]Table!$A$2:$N1311,F$1,FALSE)</f>
        <v>OXYCONTIN 80 MG TABLET MVA (RETARD)</v>
      </c>
      <c r="G1170" t="str">
        <f>VLOOKUP($A1170,[1]Table!$A$2:$N1311,G$1,FALSE)</f>
        <v>OXYCODON 80MG TABLET MGA</v>
      </c>
      <c r="H1170" t="str">
        <f>VLOOKUP($A1170,[1]Table!$A$2:$N1311,H$1,FALSE)</f>
        <v>tablet met gereguleerde afgifte</v>
      </c>
      <c r="I1170" t="str">
        <f>VLOOKUP($A1170,[1]Table!$A$2:$N1311,I$1,FALSE)</f>
        <v>or</v>
      </c>
      <c r="J1170">
        <f>VLOOKUP($A1170,[1]Table!$A$2:$N1311,J$1,FALSE)</f>
        <v>80</v>
      </c>
      <c r="K1170" t="str">
        <f>VLOOKUP($A1170,[1]Table!$A$2:$N1311,K$1,FALSE)</f>
        <v>mg/stuk</v>
      </c>
      <c r="L1170">
        <f>VLOOKUP($A1170,[1]Table!$A$2:$N1311,L$1,FALSE)</f>
        <v>80</v>
      </c>
      <c r="M1170" t="str">
        <f>VLOOKUP($A1170,[1]Table!$A$2:$N1311,M$1,FALSE)</f>
        <v>mg</v>
      </c>
      <c r="N1170" t="str">
        <f>VLOOKUP($A1170,[1]Table!$A$2:$N1311,N$1,FALSE)</f>
        <v>Ernstige pijn||Ernstige post-operatieve pijn</v>
      </c>
      <c r="O1170" t="str">
        <f>ConcatenateRange(AZ1170:BU1170,"||")</f>
        <v>1 x / dag||2 x / dag||3 x / dag||4 x / dag||5 x / dag||6 x / dag</v>
      </c>
      <c r="P1170" s="12"/>
      <c r="Q1170" s="13"/>
      <c r="R1170" s="13"/>
      <c r="S1170" s="13"/>
      <c r="T1170" s="13"/>
      <c r="U1170" s="13"/>
      <c r="V1170" s="13"/>
      <c r="AA1170" t="s">
        <v>49</v>
      </c>
      <c r="AB1170" t="s">
        <v>49</v>
      </c>
      <c r="AC1170" t="s">
        <v>49</v>
      </c>
      <c r="AD1170" t="s">
        <v>49</v>
      </c>
      <c r="AE1170" t="s">
        <v>49</v>
      </c>
      <c r="AF1170" t="s">
        <v>49</v>
      </c>
      <c r="AZ1170" t="str">
        <f t="shared" ref="AZ1170:AZ1232" si="440">IF(AA1170&lt;&gt;0,AA$2,"")</f>
        <v>1 x / dag</v>
      </c>
      <c r="BA1170" t="str">
        <f t="shared" ref="BA1170:BA1232" si="441">IF(AB1170&lt;&gt;0,AB$2,"")</f>
        <v>2 x / dag</v>
      </c>
      <c r="BB1170" t="str">
        <f t="shared" ref="BB1170:BB1232" si="442">IF(AC1170&lt;&gt;0,AC$2,"")</f>
        <v>3 x / dag</v>
      </c>
      <c r="BC1170" t="str">
        <f t="shared" ref="BC1170:BC1232" si="443">IF(AD1170&lt;&gt;0,AD$2,"")</f>
        <v>4 x / dag</v>
      </c>
      <c r="BD1170" t="str">
        <f t="shared" ref="BD1170:BD1232" si="444">IF(AE1170&lt;&gt;0,AE$2,"")</f>
        <v>5 x / dag</v>
      </c>
      <c r="BE1170" t="str">
        <f t="shared" ref="BE1170:BE1232" si="445">IF(AF1170&lt;&gt;0,AF$2,"")</f>
        <v>6 x / dag</v>
      </c>
      <c r="BF1170" t="str">
        <f t="shared" ref="BF1170:BF1232" si="446">IF(AG1170&lt;&gt;0,AG$2,"")</f>
        <v/>
      </c>
      <c r="BG1170" t="str">
        <f t="shared" ref="BG1170:BG1232" si="447">IF(AH1170&lt;&gt;0,AH$2,"")</f>
        <v/>
      </c>
      <c r="BH1170" t="str">
        <f t="shared" ref="BH1170:BH1232" si="448">IF(AI1170&lt;&gt;0,AI$2,"")</f>
        <v/>
      </c>
      <c r="BI1170" t="str">
        <f t="shared" ref="BI1170:BI1232" si="449">IF(AJ1170&lt;&gt;0,AJ$2,"")</f>
        <v/>
      </c>
      <c r="BJ1170" t="str">
        <f t="shared" ref="BJ1170:BJ1232" si="450">IF(AK1170&lt;&gt;0,AK$2,"")</f>
        <v/>
      </c>
      <c r="BK1170" t="str">
        <f t="shared" ref="BK1170:BK1232" si="451">IF(AL1170&lt;&gt;0,AL$2,"")</f>
        <v/>
      </c>
      <c r="BL1170" t="str">
        <f t="shared" ref="BL1170:BL1232" si="452">IF(AM1170&lt;&gt;0,AM$2,"")</f>
        <v/>
      </c>
      <c r="BM1170" t="str">
        <f t="shared" ref="BM1170:BM1232" si="453">IF(AN1170&lt;&gt;0,AN$2,"")</f>
        <v/>
      </c>
      <c r="BN1170" t="str">
        <f t="shared" ref="BN1170:BN1232" si="454">IF(AO1170&lt;&gt;0,AO$2,"")</f>
        <v/>
      </c>
      <c r="BO1170" t="str">
        <f t="shared" ref="BO1170:BO1232" si="455">IF(AP1170&lt;&gt;0,AP$2,"")</f>
        <v/>
      </c>
      <c r="BP1170" t="str">
        <f t="shared" ref="BP1170:BP1232" si="456">IF(AQ1170&lt;&gt;0,AQ$2,"")</f>
        <v/>
      </c>
      <c r="BQ1170" t="str">
        <f t="shared" ref="BQ1170:BQ1232" si="457">IF(AR1170&lt;&gt;0,AR$2,"")</f>
        <v/>
      </c>
      <c r="BR1170" t="str">
        <f t="shared" ref="BR1170:BR1232" si="458">IF(AS1170&lt;&gt;0,AS$2,"")</f>
        <v/>
      </c>
      <c r="BS1170" t="str">
        <f t="shared" ref="BS1170:BS1232" si="459">IF(AT1170&lt;&gt;0,AT$2,"")</f>
        <v/>
      </c>
      <c r="BT1170" t="str">
        <f t="shared" ref="BT1170:BT1232" si="460">IF(AU1170&lt;&gt;0,AU$2,"")</f>
        <v/>
      </c>
      <c r="BU1170" t="str">
        <f t="shared" ref="BU1170:BU1232" si="461">IF(AV1170&lt;&gt;0,AV$2,"")</f>
        <v/>
      </c>
    </row>
    <row r="1171" spans="1:73">
      <c r="A1171" s="1">
        <v>134279</v>
      </c>
      <c r="B1171" t="str">
        <f>VLOOKUP($A1171,[1]Table!$A$2:$N1312,B$1,FALSE)</f>
        <v>N02AA05</v>
      </c>
      <c r="C1171" t="str">
        <f>VLOOKUP($A1171,[1]Table!$A$2:$N1312,C$1,FALSE)</f>
        <v>ANALGETICA</v>
      </c>
      <c r="D1171" t="str">
        <f>VLOOKUP($A1171,[1]Table!$A$2:$N1312,D$1,FALSE)</f>
        <v>OPIOIDEN</v>
      </c>
      <c r="E1171" t="str">
        <f>VLOOKUP($A1171,[1]Table!$A$2:$N1312,E$1,FALSE)</f>
        <v>OXYCODON</v>
      </c>
      <c r="F1171" t="str">
        <f>VLOOKUP($A1171,[1]Table!$A$2:$N1312,F$1,FALSE)</f>
        <v>OXYCONTIN 120 MG TABLET MVA (RETARD)</v>
      </c>
      <c r="G1171" t="str">
        <f>VLOOKUP($A1171,[1]Table!$A$2:$N1312,G$1,FALSE)</f>
        <v>OXYCODON 120MG TABLET MGA</v>
      </c>
      <c r="H1171" t="str">
        <f>VLOOKUP($A1171,[1]Table!$A$2:$N1312,H$1,FALSE)</f>
        <v>tablet met gereguleerde afgifte</v>
      </c>
      <c r="I1171" t="str">
        <f>VLOOKUP($A1171,[1]Table!$A$2:$N1312,I$1,FALSE)</f>
        <v>or</v>
      </c>
      <c r="J1171">
        <f>VLOOKUP($A1171,[1]Table!$A$2:$N1312,J$1,FALSE)</f>
        <v>120</v>
      </c>
      <c r="K1171" t="str">
        <f>VLOOKUP($A1171,[1]Table!$A$2:$N1312,K$1,FALSE)</f>
        <v>mg/stuk</v>
      </c>
      <c r="L1171">
        <f>VLOOKUP($A1171,[1]Table!$A$2:$N1312,L$1,FALSE)</f>
        <v>120</v>
      </c>
      <c r="M1171" t="str">
        <f>VLOOKUP($A1171,[1]Table!$A$2:$N1312,M$1,FALSE)</f>
        <v>mg</v>
      </c>
      <c r="N1171" t="str">
        <f>VLOOKUP($A1171,[1]Table!$A$2:$N1312,N$1,FALSE)</f>
        <v>Ernstige pijn||Ernstige post-operatieve pijn</v>
      </c>
      <c r="O1171" t="str">
        <f>ConcatenateRange(AZ1171:BU1171,"||")</f>
        <v>1 x / dag||2 x / dag||3 x / dag||4 x / dag||5 x / dag||6 x / dag</v>
      </c>
      <c r="P1171" s="13"/>
      <c r="Q1171" s="20"/>
      <c r="R1171" s="20"/>
      <c r="S1171" s="20"/>
      <c r="T1171" s="20"/>
      <c r="U1171" s="20"/>
      <c r="V1171" s="20"/>
      <c r="AA1171" t="s">
        <v>49</v>
      </c>
      <c r="AB1171" t="s">
        <v>49</v>
      </c>
      <c r="AC1171" t="s">
        <v>49</v>
      </c>
      <c r="AD1171" t="s">
        <v>49</v>
      </c>
      <c r="AE1171" t="s">
        <v>49</v>
      </c>
      <c r="AF1171" t="s">
        <v>49</v>
      </c>
      <c r="AZ1171" t="str">
        <f t="shared" si="440"/>
        <v>1 x / dag</v>
      </c>
      <c r="BA1171" t="str">
        <f t="shared" si="441"/>
        <v>2 x / dag</v>
      </c>
      <c r="BB1171" t="str">
        <f t="shared" si="442"/>
        <v>3 x / dag</v>
      </c>
      <c r="BC1171" t="str">
        <f t="shared" si="443"/>
        <v>4 x / dag</v>
      </c>
      <c r="BD1171" t="str">
        <f t="shared" si="444"/>
        <v>5 x / dag</v>
      </c>
      <c r="BE1171" t="str">
        <f t="shared" si="445"/>
        <v>6 x / dag</v>
      </c>
      <c r="BF1171" t="str">
        <f t="shared" si="446"/>
        <v/>
      </c>
      <c r="BG1171" t="str">
        <f t="shared" si="447"/>
        <v/>
      </c>
      <c r="BH1171" t="str">
        <f t="shared" si="448"/>
        <v/>
      </c>
      <c r="BI1171" t="str">
        <f t="shared" si="449"/>
        <v/>
      </c>
      <c r="BJ1171" t="str">
        <f t="shared" si="450"/>
        <v/>
      </c>
      <c r="BK1171" t="str">
        <f t="shared" si="451"/>
        <v/>
      </c>
      <c r="BL1171" t="str">
        <f t="shared" si="452"/>
        <v/>
      </c>
      <c r="BM1171" t="str">
        <f t="shared" si="453"/>
        <v/>
      </c>
      <c r="BN1171" t="str">
        <f t="shared" si="454"/>
        <v/>
      </c>
      <c r="BO1171" t="str">
        <f t="shared" si="455"/>
        <v/>
      </c>
      <c r="BP1171" t="str">
        <f t="shared" si="456"/>
        <v/>
      </c>
      <c r="BQ1171" t="str">
        <f t="shared" si="457"/>
        <v/>
      </c>
      <c r="BR1171" t="str">
        <f t="shared" si="458"/>
        <v/>
      </c>
      <c r="BS1171" t="str">
        <f t="shared" si="459"/>
        <v/>
      </c>
      <c r="BT1171" t="str">
        <f t="shared" si="460"/>
        <v/>
      </c>
      <c r="BU1171" t="str">
        <f t="shared" si="461"/>
        <v/>
      </c>
    </row>
    <row r="1172" spans="1:73">
      <c r="A1172" s="1">
        <v>157899</v>
      </c>
      <c r="B1172" t="str">
        <f>VLOOKUP($A1172,[1]Table!$A$2:$N1313,B$1,FALSE)</f>
        <v>J06BB16</v>
      </c>
      <c r="C1172" t="str">
        <f>VLOOKUP($A1172,[1]Table!$A$2:$N1313,C$1,FALSE)</f>
        <v>SERA EN IMMUNOGLOBULINEN</v>
      </c>
      <c r="D1172" t="str">
        <f>VLOOKUP($A1172,[1]Table!$A$2:$N1313,D$1,FALSE)</f>
        <v>IMMUNOGLOBULINEN</v>
      </c>
      <c r="E1172" t="str">
        <f>VLOOKUP($A1172,[1]Table!$A$2:$N1313,E$1,FALSE)</f>
        <v>PALIVIZUMAB</v>
      </c>
      <c r="F1172" t="str">
        <f>VLOOKUP($A1172,[1]Table!$A$2:$N1313,F$1,FALSE)</f>
        <v>SYNAGIS 100 MG/ML INJVLST  FLACON 0,5 ML</v>
      </c>
      <c r="G1172" t="str">
        <f>VLOOKUP($A1172,[1]Table!$A$2:$N1313,G$1,FALSE)</f>
        <v>PALIVIZUMAB 100MG/ML INJVLS</v>
      </c>
      <c r="H1172" t="str">
        <f>VLOOKUP($A1172,[1]Table!$A$2:$N1313,H$1,FALSE)</f>
        <v>injectievloeistof</v>
      </c>
      <c r="I1172" t="str">
        <f>VLOOKUP($A1172,[1]Table!$A$2:$N1313,I$1,FALSE)</f>
        <v>im</v>
      </c>
      <c r="J1172">
        <f>VLOOKUP($A1172,[1]Table!$A$2:$N1313,J$1,FALSE)</f>
        <v>100</v>
      </c>
      <c r="K1172" t="str">
        <f>VLOOKUP($A1172,[1]Table!$A$2:$N1313,K$1,FALSE)</f>
        <v>mg/ml</v>
      </c>
      <c r="L1172">
        <f>VLOOKUP($A1172,[1]Table!$A$2:$N1313,L$1,FALSE)</f>
        <v>100</v>
      </c>
      <c r="M1172" t="str">
        <f>VLOOKUP($A1172,[1]Table!$A$2:$N1313,M$1,FALSE)</f>
        <v>mg</v>
      </c>
      <c r="N1172" t="str">
        <f>VLOOKUP($A1172,[1]Table!$A$2:$N1313,N$1,FALSE)</f>
        <v>Profylaxe RSV infectie</v>
      </c>
      <c r="O1172" t="str">
        <f>ConcatenateRange(AZ1172:BU1172,"||")</f>
        <v>1 x / dag||2 x / dag||3 x / dag||4 x / dag||5 x / dag||6 x / dag</v>
      </c>
      <c r="P1172" s="13"/>
      <c r="Q1172" s="20"/>
      <c r="R1172" s="20"/>
      <c r="S1172" s="20"/>
      <c r="T1172" s="20"/>
      <c r="U1172" s="20"/>
      <c r="V1172" s="20"/>
      <c r="AA1172" t="s">
        <v>49</v>
      </c>
      <c r="AB1172" t="s">
        <v>49</v>
      </c>
      <c r="AC1172" t="s">
        <v>49</v>
      </c>
      <c r="AD1172" t="s">
        <v>49</v>
      </c>
      <c r="AE1172" t="s">
        <v>49</v>
      </c>
      <c r="AF1172" t="s">
        <v>49</v>
      </c>
      <c r="AZ1172" t="str">
        <f t="shared" si="440"/>
        <v>1 x / dag</v>
      </c>
      <c r="BA1172" t="str">
        <f t="shared" si="441"/>
        <v>2 x / dag</v>
      </c>
      <c r="BB1172" t="str">
        <f t="shared" si="442"/>
        <v>3 x / dag</v>
      </c>
      <c r="BC1172" t="str">
        <f t="shared" si="443"/>
        <v>4 x / dag</v>
      </c>
      <c r="BD1172" t="str">
        <f t="shared" si="444"/>
        <v>5 x / dag</v>
      </c>
      <c r="BE1172" t="str">
        <f t="shared" si="445"/>
        <v>6 x / dag</v>
      </c>
      <c r="BF1172" t="str">
        <f t="shared" si="446"/>
        <v/>
      </c>
      <c r="BG1172" t="str">
        <f t="shared" si="447"/>
        <v/>
      </c>
      <c r="BH1172" t="str">
        <f t="shared" si="448"/>
        <v/>
      </c>
      <c r="BI1172" t="str">
        <f t="shared" si="449"/>
        <v/>
      </c>
      <c r="BJ1172" t="str">
        <f t="shared" si="450"/>
        <v/>
      </c>
      <c r="BK1172" t="str">
        <f t="shared" si="451"/>
        <v/>
      </c>
      <c r="BL1172" t="str">
        <f t="shared" si="452"/>
        <v/>
      </c>
      <c r="BM1172" t="str">
        <f t="shared" si="453"/>
        <v/>
      </c>
      <c r="BN1172" t="str">
        <f t="shared" si="454"/>
        <v/>
      </c>
      <c r="BO1172" t="str">
        <f t="shared" si="455"/>
        <v/>
      </c>
      <c r="BP1172" t="str">
        <f t="shared" si="456"/>
        <v/>
      </c>
      <c r="BQ1172" t="str">
        <f t="shared" si="457"/>
        <v/>
      </c>
      <c r="BR1172" t="str">
        <f t="shared" si="458"/>
        <v/>
      </c>
      <c r="BS1172" t="str">
        <f t="shared" si="459"/>
        <v/>
      </c>
      <c r="BT1172" t="str">
        <f t="shared" si="460"/>
        <v/>
      </c>
      <c r="BU1172" t="str">
        <f t="shared" si="461"/>
        <v/>
      </c>
    </row>
    <row r="1173" spans="1:73">
      <c r="A1173" s="1">
        <v>10006</v>
      </c>
      <c r="B1173" t="str">
        <f>VLOOKUP($A1173,[1]Table!$A$2:$N788,B$1,FALSE)</f>
        <v>S02CA07</v>
      </c>
      <c r="C1173" t="str">
        <f>VLOOKUP($A1173,[1]Table!$A$2:$N788,C$1,FALSE)</f>
        <v>MIDDELEN VOOR OORHEELKUNDIG GEBRUIK</v>
      </c>
      <c r="D1173" t="str">
        <f>VLOOKUP($A1173,[1]Table!$A$2:$N788,D$1,FALSE)</f>
        <v>CORTICOSTEROIDEN MET ANTIMICROBIELE MIDDELEN</v>
      </c>
      <c r="E1173" t="str">
        <f>VLOOKUP($A1173,[1]Table!$A$2:$N788,E$1,FALSE)</f>
        <v>PANOTILE</v>
      </c>
      <c r="F1173" t="str">
        <f>VLOOKUP($A1173,[1]Table!$A$2:$N788,F$1,FALSE)</f>
        <v>PANOTILE OORDRUPPELS 12 ML</v>
      </c>
      <c r="G1173" t="str">
        <f>VLOOKUP($A1173,[1]Table!$A$2:$N788,G$1,FALSE)</f>
        <v>PANOTILE OORDRUPPELS</v>
      </c>
      <c r="H1173" t="str">
        <f>VLOOKUP($A1173,[1]Table!$A$2:$N788,H$1,FALSE)</f>
        <v>oordruppels</v>
      </c>
      <c r="I1173" t="str">
        <f>VLOOKUP($A1173,[1]Table!$A$2:$N788,I$1,FALSE)</f>
        <v>oor</v>
      </c>
      <c r="J1173">
        <f>VLOOKUP($A1173,[1]Table!$A$2:$N788,J$1,FALSE)</f>
        <v>1</v>
      </c>
      <c r="K1173" t="str">
        <f>VLOOKUP($A1173,[1]Table!$A$2:$N788,K$1,FALSE)</f>
        <v>mg/ml</v>
      </c>
      <c r="L1173">
        <f>VLOOKUP($A1173,[1]Table!$A$2:$N788,L$1,FALSE)</f>
        <v>1</v>
      </c>
      <c r="M1173" t="str">
        <f>VLOOKUP($A1173,[1]Table!$A$2:$N788,M$1,FALSE)</f>
        <v>mg</v>
      </c>
      <c r="N1173" t="str">
        <f>VLOOKUP($A1173,[1]Table!$A$2:$N788,N$1,FALSE)</f>
        <v>Otitis externa</v>
      </c>
      <c r="O1173" t="str">
        <f>ConcatenateRange(AZ1173:BU1173,"||")</f>
        <v/>
      </c>
      <c r="P1173" s="13"/>
      <c r="Q1173" s="20"/>
      <c r="R1173" s="20"/>
      <c r="S1173" s="20"/>
      <c r="T1173" s="20"/>
      <c r="U1173" s="20"/>
      <c r="V1173" s="20"/>
      <c r="AZ1173" t="str">
        <f t="shared" si="440"/>
        <v/>
      </c>
      <c r="BA1173" t="str">
        <f t="shared" si="441"/>
        <v/>
      </c>
      <c r="BB1173" t="str">
        <f t="shared" si="442"/>
        <v/>
      </c>
      <c r="BC1173" t="str">
        <f t="shared" si="443"/>
        <v/>
      </c>
      <c r="BD1173" t="str">
        <f t="shared" si="444"/>
        <v/>
      </c>
      <c r="BE1173" t="str">
        <f t="shared" si="445"/>
        <v/>
      </c>
      <c r="BF1173" t="str">
        <f t="shared" si="446"/>
        <v/>
      </c>
      <c r="BG1173" t="str">
        <f t="shared" si="447"/>
        <v/>
      </c>
      <c r="BH1173" t="str">
        <f t="shared" si="448"/>
        <v/>
      </c>
      <c r="BI1173" t="str">
        <f t="shared" si="449"/>
        <v/>
      </c>
      <c r="BJ1173" t="str">
        <f t="shared" si="450"/>
        <v/>
      </c>
      <c r="BK1173" t="str">
        <f t="shared" si="451"/>
        <v/>
      </c>
      <c r="BL1173" t="str">
        <f t="shared" si="452"/>
        <v/>
      </c>
      <c r="BM1173" t="str">
        <f t="shared" si="453"/>
        <v/>
      </c>
      <c r="BN1173" t="str">
        <f t="shared" si="454"/>
        <v/>
      </c>
      <c r="BO1173" t="str">
        <f t="shared" si="455"/>
        <v/>
      </c>
      <c r="BP1173" t="str">
        <f t="shared" si="456"/>
        <v/>
      </c>
      <c r="BQ1173" t="str">
        <f t="shared" si="457"/>
        <v/>
      </c>
      <c r="BR1173" t="str">
        <f t="shared" si="458"/>
        <v/>
      </c>
      <c r="BS1173" t="str">
        <f t="shared" si="459"/>
        <v/>
      </c>
      <c r="BT1173" t="str">
        <f t="shared" si="460"/>
        <v/>
      </c>
      <c r="BU1173" t="str">
        <f t="shared" si="461"/>
        <v/>
      </c>
    </row>
    <row r="1174" spans="1:73">
      <c r="A1174" s="1">
        <v>106275</v>
      </c>
      <c r="B1174" t="str">
        <f>VLOOKUP($A1174,[1]Table!$A$2:$N1314,B$1,FALSE)</f>
        <v>A02BC02</v>
      </c>
      <c r="C1174" t="str">
        <f>VLOOKUP($A1174,[1]Table!$A$2:$N1314,C$1,FALSE)</f>
        <v>MIDDELEN BIJ ZUURGERELATEERDE AFWIJKINGEN</v>
      </c>
      <c r="D1174" t="str">
        <f>VLOOKUP($A1174,[1]Table!$A$2:$N1314,D$1,FALSE)</f>
        <v>MIDDELEN BIJ ULCUS PEPTICUM EN GASTRO-OESOFAGEALE REFLUX</v>
      </c>
      <c r="E1174" t="str">
        <f>VLOOKUP($A1174,[1]Table!$A$2:$N1314,E$1,FALSE)</f>
        <v>PANTOPRAZOL</v>
      </c>
      <c r="F1174" t="str">
        <f>VLOOKUP($A1174,[1]Table!$A$2:$N1314,F$1,FALSE)</f>
        <v>PANTOPRAZOL 20 MG TABLET MSR</v>
      </c>
      <c r="G1174" t="str">
        <f>VLOOKUP($A1174,[1]Table!$A$2:$N1314,G$1,FALSE)</f>
        <v>PANTOPRAZOL 20MG TABLET MSR</v>
      </c>
      <c r="H1174" t="str">
        <f>VLOOKUP($A1174,[1]Table!$A$2:$N1314,H$1,FALSE)</f>
        <v>maagsapresistente tablet</v>
      </c>
      <c r="I1174" t="str">
        <f>VLOOKUP($A1174,[1]Table!$A$2:$N1314,I$1,FALSE)</f>
        <v>or</v>
      </c>
      <c r="J1174">
        <f>VLOOKUP($A1174,[1]Table!$A$2:$N1314,J$1,FALSE)</f>
        <v>20</v>
      </c>
      <c r="K1174" t="str">
        <f>VLOOKUP($A1174,[1]Table!$A$2:$N1314,K$1,FALSE)</f>
        <v>mg/stuk</v>
      </c>
      <c r="L1174">
        <f>VLOOKUP($A1174,[1]Table!$A$2:$N1314,L$1,FALSE)</f>
        <v>20</v>
      </c>
      <c r="M1174" t="str">
        <f>VLOOKUP($A1174,[1]Table!$A$2:$N1314,M$1,FALSE)</f>
        <v>mg</v>
      </c>
      <c r="N1174" t="str">
        <f>VLOOKUP($A1174,[1]Table!$A$2:$N1314,N$1,FALSE)</f>
        <v>Gastro-oesofageale reflux ziekte||Reflux oesophagitis</v>
      </c>
      <c r="O1174" t="str">
        <f>ConcatenateRange(AZ1174:BU1174,"||")</f>
        <v/>
      </c>
      <c r="P1174" s="13"/>
      <c r="Q1174" s="20"/>
      <c r="R1174" s="20"/>
      <c r="S1174" s="20"/>
      <c r="T1174" s="20"/>
      <c r="U1174" s="20"/>
      <c r="V1174" s="20"/>
      <c r="AZ1174" t="str">
        <f t="shared" si="440"/>
        <v/>
      </c>
      <c r="BA1174" t="str">
        <f t="shared" si="441"/>
        <v/>
      </c>
      <c r="BB1174" t="str">
        <f t="shared" si="442"/>
        <v/>
      </c>
      <c r="BC1174" t="str">
        <f t="shared" si="443"/>
        <v/>
      </c>
      <c r="BD1174" t="str">
        <f t="shared" si="444"/>
        <v/>
      </c>
      <c r="BE1174" t="str">
        <f t="shared" si="445"/>
        <v/>
      </c>
      <c r="BF1174" t="str">
        <f t="shared" si="446"/>
        <v/>
      </c>
      <c r="BG1174" t="str">
        <f t="shared" si="447"/>
        <v/>
      </c>
      <c r="BH1174" t="str">
        <f t="shared" si="448"/>
        <v/>
      </c>
      <c r="BI1174" t="str">
        <f t="shared" si="449"/>
        <v/>
      </c>
      <c r="BJ1174" t="str">
        <f t="shared" si="450"/>
        <v/>
      </c>
      <c r="BK1174" t="str">
        <f t="shared" si="451"/>
        <v/>
      </c>
      <c r="BL1174" t="str">
        <f t="shared" si="452"/>
        <v/>
      </c>
      <c r="BM1174" t="str">
        <f t="shared" si="453"/>
        <v/>
      </c>
      <c r="BN1174" t="str">
        <f t="shared" si="454"/>
        <v/>
      </c>
      <c r="BO1174" t="str">
        <f t="shared" si="455"/>
        <v/>
      </c>
      <c r="BP1174" t="str">
        <f t="shared" si="456"/>
        <v/>
      </c>
      <c r="BQ1174" t="str">
        <f t="shared" si="457"/>
        <v/>
      </c>
      <c r="BR1174" t="str">
        <f t="shared" si="458"/>
        <v/>
      </c>
      <c r="BS1174" t="str">
        <f t="shared" si="459"/>
        <v/>
      </c>
      <c r="BT1174" t="str">
        <f t="shared" si="460"/>
        <v/>
      </c>
      <c r="BU1174" t="str">
        <f t="shared" si="461"/>
        <v/>
      </c>
    </row>
    <row r="1175" spans="1:73">
      <c r="A1175" s="1">
        <v>96938</v>
      </c>
      <c r="B1175" t="str">
        <f>VLOOKUP($A1175,[1]Table!$A$2:$N1315,B$1,FALSE)</f>
        <v>A02BC02</v>
      </c>
      <c r="C1175" t="str">
        <f>VLOOKUP($A1175,[1]Table!$A$2:$N1315,C$1,FALSE)</f>
        <v>MIDDELEN BIJ ZUURGERELATEERDE AFWIJKINGEN</v>
      </c>
      <c r="D1175" t="str">
        <f>VLOOKUP($A1175,[1]Table!$A$2:$N1315,D$1,FALSE)</f>
        <v>MIDDELEN BIJ ULCUS PEPTICUM EN GASTRO-OESOFAGEALE REFLUX</v>
      </c>
      <c r="E1175" t="str">
        <f>VLOOKUP($A1175,[1]Table!$A$2:$N1315,E$1,FALSE)</f>
        <v>PANTOPRAZOL</v>
      </c>
      <c r="F1175" t="str">
        <f>VLOOKUP($A1175,[1]Table!$A$2:$N1315,F$1,FALSE)</f>
        <v>PANTOPRAZOL 40 MG TABLET MSR</v>
      </c>
      <c r="G1175" t="str">
        <f>VLOOKUP($A1175,[1]Table!$A$2:$N1315,G$1,FALSE)</f>
        <v>PANTOPRAZOL 40MG TABLET MSR</v>
      </c>
      <c r="H1175" t="str">
        <f>VLOOKUP($A1175,[1]Table!$A$2:$N1315,H$1,FALSE)</f>
        <v>maagsapresistente tablet</v>
      </c>
      <c r="I1175" t="str">
        <f>VLOOKUP($A1175,[1]Table!$A$2:$N1315,I$1,FALSE)</f>
        <v>or</v>
      </c>
      <c r="J1175">
        <f>VLOOKUP($A1175,[1]Table!$A$2:$N1315,J$1,FALSE)</f>
        <v>40</v>
      </c>
      <c r="K1175" t="str">
        <f>VLOOKUP($A1175,[1]Table!$A$2:$N1315,K$1,FALSE)</f>
        <v>mg/stuk</v>
      </c>
      <c r="L1175">
        <f>VLOOKUP($A1175,[1]Table!$A$2:$N1315,L$1,FALSE)</f>
        <v>40</v>
      </c>
      <c r="M1175" t="str">
        <f>VLOOKUP($A1175,[1]Table!$A$2:$N1315,M$1,FALSE)</f>
        <v>mg</v>
      </c>
      <c r="N1175" t="str">
        <f>VLOOKUP($A1175,[1]Table!$A$2:$N1315,N$1,FALSE)</f>
        <v>Gastro-oesofageale reflux ziekte||Reflux oesophagitis</v>
      </c>
      <c r="O1175" t="str">
        <f>ConcatenateRange(AZ1175:BU1175,"||")</f>
        <v/>
      </c>
      <c r="P1175" s="13"/>
      <c r="Q1175" s="20"/>
      <c r="R1175" s="20"/>
      <c r="S1175" s="20"/>
      <c r="T1175" s="20"/>
      <c r="U1175" s="20"/>
      <c r="V1175" s="20"/>
      <c r="AZ1175" t="str">
        <f t="shared" si="440"/>
        <v/>
      </c>
      <c r="BA1175" t="str">
        <f t="shared" si="441"/>
        <v/>
      </c>
      <c r="BB1175" t="str">
        <f t="shared" si="442"/>
        <v/>
      </c>
      <c r="BC1175" t="str">
        <f t="shared" si="443"/>
        <v/>
      </c>
      <c r="BD1175" t="str">
        <f t="shared" si="444"/>
        <v/>
      </c>
      <c r="BE1175" t="str">
        <f t="shared" si="445"/>
        <v/>
      </c>
      <c r="BF1175" t="str">
        <f t="shared" si="446"/>
        <v/>
      </c>
      <c r="BG1175" t="str">
        <f t="shared" si="447"/>
        <v/>
      </c>
      <c r="BH1175" t="str">
        <f t="shared" si="448"/>
        <v/>
      </c>
      <c r="BI1175" t="str">
        <f t="shared" si="449"/>
        <v/>
      </c>
      <c r="BJ1175" t="str">
        <f t="shared" si="450"/>
        <v/>
      </c>
      <c r="BK1175" t="str">
        <f t="shared" si="451"/>
        <v/>
      </c>
      <c r="BL1175" t="str">
        <f t="shared" si="452"/>
        <v/>
      </c>
      <c r="BM1175" t="str">
        <f t="shared" si="453"/>
        <v/>
      </c>
      <c r="BN1175" t="str">
        <f t="shared" si="454"/>
        <v/>
      </c>
      <c r="BO1175" t="str">
        <f t="shared" si="455"/>
        <v/>
      </c>
      <c r="BP1175" t="str">
        <f t="shared" si="456"/>
        <v/>
      </c>
      <c r="BQ1175" t="str">
        <f t="shared" si="457"/>
        <v/>
      </c>
      <c r="BR1175" t="str">
        <f t="shared" si="458"/>
        <v/>
      </c>
      <c r="BS1175" t="str">
        <f t="shared" si="459"/>
        <v/>
      </c>
      <c r="BT1175" t="str">
        <f t="shared" si="460"/>
        <v/>
      </c>
      <c r="BU1175" t="str">
        <f t="shared" si="461"/>
        <v/>
      </c>
    </row>
    <row r="1176" spans="1:73">
      <c r="A1176" s="1">
        <v>104280</v>
      </c>
      <c r="B1176" t="str">
        <f>VLOOKUP($A1176,[1]Table!$A$2:$N1316,B$1,FALSE)</f>
        <v>A02BC02</v>
      </c>
      <c r="C1176" t="str">
        <f>VLOOKUP($A1176,[1]Table!$A$2:$N1316,C$1,FALSE)</f>
        <v>MIDDELEN BIJ ZUURGERELATEERDE AFWIJKINGEN</v>
      </c>
      <c r="D1176" t="str">
        <f>VLOOKUP($A1176,[1]Table!$A$2:$N1316,D$1,FALSE)</f>
        <v>MIDDELEN BIJ ULCUS PEPTICUM EN GASTRO-OESOFAGEALE REFLUX</v>
      </c>
      <c r="E1176" t="str">
        <f>VLOOKUP($A1176,[1]Table!$A$2:$N1316,E$1,FALSE)</f>
        <v>PANTOPRAZOL</v>
      </c>
      <c r="F1176" t="str">
        <f>VLOOKUP($A1176,[1]Table!$A$2:$N1316,F$1,FALSE)</f>
        <v>PANTOPRAZOL 40 MG POEDER VOOR INJECTIE</v>
      </c>
      <c r="G1176" t="str">
        <f>VLOOKUP($A1176,[1]Table!$A$2:$N1316,G$1,FALSE)</f>
        <v>PANTOPRAZOL 40MG INJPDR</v>
      </c>
      <c r="H1176" t="str">
        <f>VLOOKUP($A1176,[1]Table!$A$2:$N1316,H$1,FALSE)</f>
        <v>poeder voor injectievloeistof</v>
      </c>
      <c r="I1176" t="str">
        <f>VLOOKUP($A1176,[1]Table!$A$2:$N1316,I$1,FALSE)</f>
        <v>iv</v>
      </c>
      <c r="J1176">
        <f>VLOOKUP($A1176,[1]Table!$A$2:$N1316,J$1,FALSE)</f>
        <v>40</v>
      </c>
      <c r="K1176" t="str">
        <f>VLOOKUP($A1176,[1]Table!$A$2:$N1316,K$1,FALSE)</f>
        <v>mg/stuk</v>
      </c>
      <c r="L1176">
        <f>VLOOKUP($A1176,[1]Table!$A$2:$N1316,L$1,FALSE)</f>
        <v>40</v>
      </c>
      <c r="M1176" t="str">
        <f>VLOOKUP($A1176,[1]Table!$A$2:$N1316,M$1,FALSE)</f>
        <v>mg</v>
      </c>
      <c r="N1176" t="str">
        <f>VLOOKUP($A1176,[1]Table!$A$2:$N1316,N$1,FALSE)</f>
        <v>Gastro-oesofageale reflux ziekte||Reflux oesophagitis</v>
      </c>
      <c r="O1176" t="str">
        <f>ConcatenateRange(AZ1176:BU1176,"||")</f>
        <v/>
      </c>
      <c r="P1176" s="13"/>
      <c r="Q1176" s="20"/>
      <c r="R1176" s="20"/>
      <c r="S1176" s="20"/>
      <c r="T1176" s="20"/>
      <c r="U1176" s="20"/>
      <c r="V1176" s="20"/>
      <c r="AZ1176" t="str">
        <f t="shared" si="440"/>
        <v/>
      </c>
      <c r="BA1176" t="str">
        <f t="shared" si="441"/>
        <v/>
      </c>
      <c r="BB1176" t="str">
        <f t="shared" si="442"/>
        <v/>
      </c>
      <c r="BC1176" t="str">
        <f t="shared" si="443"/>
        <v/>
      </c>
      <c r="BD1176" t="str">
        <f t="shared" si="444"/>
        <v/>
      </c>
      <c r="BE1176" t="str">
        <f t="shared" si="445"/>
        <v/>
      </c>
      <c r="BF1176" t="str">
        <f t="shared" si="446"/>
        <v/>
      </c>
      <c r="BG1176" t="str">
        <f t="shared" si="447"/>
        <v/>
      </c>
      <c r="BH1176" t="str">
        <f t="shared" si="448"/>
        <v/>
      </c>
      <c r="BI1176" t="str">
        <f t="shared" si="449"/>
        <v/>
      </c>
      <c r="BJ1176" t="str">
        <f t="shared" si="450"/>
        <v/>
      </c>
      <c r="BK1176" t="str">
        <f t="shared" si="451"/>
        <v/>
      </c>
      <c r="BL1176" t="str">
        <f t="shared" si="452"/>
        <v/>
      </c>
      <c r="BM1176" t="str">
        <f t="shared" si="453"/>
        <v/>
      </c>
      <c r="BN1176" t="str">
        <f t="shared" si="454"/>
        <v/>
      </c>
      <c r="BO1176" t="str">
        <f t="shared" si="455"/>
        <v/>
      </c>
      <c r="BP1176" t="str">
        <f t="shared" si="456"/>
        <v/>
      </c>
      <c r="BQ1176" t="str">
        <f t="shared" si="457"/>
        <v/>
      </c>
      <c r="BR1176" t="str">
        <f t="shared" si="458"/>
        <v/>
      </c>
      <c r="BS1176" t="str">
        <f t="shared" si="459"/>
        <v/>
      </c>
      <c r="BT1176" t="str">
        <f t="shared" si="460"/>
        <v/>
      </c>
      <c r="BU1176" t="str">
        <f t="shared" si="461"/>
        <v/>
      </c>
    </row>
    <row r="1177" spans="1:73">
      <c r="A1177" s="1">
        <v>127965</v>
      </c>
      <c r="B1177" t="str">
        <f>VLOOKUP($A1177,[1]Table!$A$2:$N1317,B$1,FALSE)</f>
        <v>J07BM02</v>
      </c>
      <c r="C1177" t="str">
        <f>VLOOKUP($A1177,[1]Table!$A$2:$N1317,C$1,FALSE)</f>
        <v>VACCINS</v>
      </c>
      <c r="D1177" t="str">
        <f>VLOOKUP($A1177,[1]Table!$A$2:$N1317,D$1,FALSE)</f>
        <v>VIRALE VACCINS</v>
      </c>
      <c r="E1177" t="str">
        <f>VLOOKUP($A1177,[1]Table!$A$2:$N1317,E$1,FALSE)</f>
        <v>PAPILLOMAVIRUSVACCIN</v>
      </c>
      <c r="F1177" t="str">
        <f>VLOOKUP($A1177,[1]Table!$A$2:$N1317,F$1,FALSE)</f>
        <v>CERVARIX INJSUSP WWSP 0,5ML(ENTADMINISTRATIE)</v>
      </c>
      <c r="G1177" t="str">
        <f>VLOOKUP($A1177,[1]Table!$A$2:$N1317,G$1,FALSE)</f>
        <v>PAPILLOMAVIRUSVACCIN 2TYPEN</v>
      </c>
      <c r="H1177" t="str">
        <f>VLOOKUP($A1177,[1]Table!$A$2:$N1317,H$1,FALSE)</f>
        <v>suspensie voor injectie</v>
      </c>
      <c r="I1177" t="str">
        <f>VLOOKUP($A1177,[1]Table!$A$2:$N1317,I$1,FALSE)</f>
        <v>im</v>
      </c>
      <c r="J1177">
        <f>VLOOKUP($A1177,[1]Table!$A$2:$N1317,J$1,FALSE)</f>
        <v>40</v>
      </c>
      <c r="K1177" t="str">
        <f>VLOOKUP($A1177,[1]Table!$A$2:$N1317,K$1,FALSE)</f>
        <v>mcg/ml</v>
      </c>
      <c r="L1177">
        <f>VLOOKUP($A1177,[1]Table!$A$2:$N1317,L$1,FALSE)</f>
        <v>40</v>
      </c>
      <c r="M1177" t="str">
        <f>VLOOKUP($A1177,[1]Table!$A$2:$N1317,M$1,FALSE)</f>
        <v>mcg</v>
      </c>
      <c r="N1177" t="str">
        <f>VLOOKUP($A1177,[1]Table!$A$2:$N1317,N$1,FALSE)</f>
        <v>RIJKSVACCINATIE PROGRAMMA: HPV (humaan papilloma virus type 16 en 18)||Vaccinatie humaan papilloma virus type 16 en 18 (HPV)</v>
      </c>
      <c r="O1177" t="str">
        <f>ConcatenateRange(AZ1177:BU1177,"||")</f>
        <v/>
      </c>
      <c r="P1177" s="20"/>
      <c r="Q1177" s="20"/>
      <c r="R1177" s="20"/>
      <c r="S1177" s="20"/>
      <c r="T1177" s="20"/>
      <c r="U1177" s="20"/>
      <c r="V1177" s="20"/>
      <c r="AZ1177" t="str">
        <f t="shared" si="440"/>
        <v/>
      </c>
      <c r="BA1177" t="str">
        <f t="shared" si="441"/>
        <v/>
      </c>
      <c r="BB1177" t="str">
        <f t="shared" si="442"/>
        <v/>
      </c>
      <c r="BC1177" t="str">
        <f t="shared" si="443"/>
        <v/>
      </c>
      <c r="BD1177" t="str">
        <f t="shared" si="444"/>
        <v/>
      </c>
      <c r="BE1177" t="str">
        <f t="shared" si="445"/>
        <v/>
      </c>
      <c r="BF1177" t="str">
        <f t="shared" si="446"/>
        <v/>
      </c>
      <c r="BG1177" t="str">
        <f t="shared" si="447"/>
        <v/>
      </c>
      <c r="BH1177" t="str">
        <f t="shared" si="448"/>
        <v/>
      </c>
      <c r="BI1177" t="str">
        <f t="shared" si="449"/>
        <v/>
      </c>
      <c r="BJ1177" t="str">
        <f t="shared" si="450"/>
        <v/>
      </c>
      <c r="BK1177" t="str">
        <f t="shared" si="451"/>
        <v/>
      </c>
      <c r="BL1177" t="str">
        <f t="shared" si="452"/>
        <v/>
      </c>
      <c r="BM1177" t="str">
        <f t="shared" si="453"/>
        <v/>
      </c>
      <c r="BN1177" t="str">
        <f t="shared" si="454"/>
        <v/>
      </c>
      <c r="BO1177" t="str">
        <f t="shared" si="455"/>
        <v/>
      </c>
      <c r="BP1177" t="str">
        <f t="shared" si="456"/>
        <v/>
      </c>
      <c r="BQ1177" t="str">
        <f t="shared" si="457"/>
        <v/>
      </c>
      <c r="BR1177" t="str">
        <f t="shared" si="458"/>
        <v/>
      </c>
      <c r="BS1177" t="str">
        <f t="shared" si="459"/>
        <v/>
      </c>
      <c r="BT1177" t="str">
        <f t="shared" si="460"/>
        <v/>
      </c>
      <c r="BU1177" t="str">
        <f t="shared" si="461"/>
        <v/>
      </c>
    </row>
    <row r="1178" spans="1:73">
      <c r="A1178" s="1">
        <v>121967</v>
      </c>
      <c r="B1178" t="str">
        <f>VLOOKUP($A1178,[1]Table!$A$2:$N1318,B$1,FALSE)</f>
        <v>N02BE01</v>
      </c>
      <c r="C1178" t="str">
        <f>VLOOKUP($A1178,[1]Table!$A$2:$N1318,C$1,FALSE)</f>
        <v>ANALGETICA</v>
      </c>
      <c r="D1178" t="str">
        <f>VLOOKUP($A1178,[1]Table!$A$2:$N1318,D$1,FALSE)</f>
        <v>OVERIGE ANALGETICA EN ANTIPYRETICA</v>
      </c>
      <c r="E1178" t="str">
        <f>VLOOKUP($A1178,[1]Table!$A$2:$N1318,E$1,FALSE)</f>
        <v>PARACETAMOL</v>
      </c>
      <c r="F1178" t="str">
        <f>VLOOKUP($A1178,[1]Table!$A$2:$N1318,F$1,FALSE)</f>
        <v>PARACETAMOL 10 MG/ML FLACON 100 ML</v>
      </c>
      <c r="G1178" t="str">
        <f>VLOOKUP($A1178,[1]Table!$A$2:$N1318,G$1,FALSE)</f>
        <v>PARACETAMOL 10MG/ML INFVLST</v>
      </c>
      <c r="H1178" t="str">
        <f>VLOOKUP($A1178,[1]Table!$A$2:$N1318,H$1,FALSE)</f>
        <v>infusievloeistof</v>
      </c>
      <c r="I1178" t="str">
        <f>VLOOKUP($A1178,[1]Table!$A$2:$N1318,I$1,FALSE)</f>
        <v>iv</v>
      </c>
      <c r="J1178">
        <f>VLOOKUP($A1178,[1]Table!$A$2:$N1318,J$1,FALSE)</f>
        <v>10</v>
      </c>
      <c r="K1178" t="str">
        <f>VLOOKUP($A1178,[1]Table!$A$2:$N1318,K$1,FALSE)</f>
        <v>mg/ml</v>
      </c>
      <c r="L1178">
        <f>VLOOKUP($A1178,[1]Table!$A$2:$N1318,L$1,FALSE)</f>
        <v>10</v>
      </c>
      <c r="M1178" t="str">
        <f>VLOOKUP($A1178,[1]Table!$A$2:$N1318,M$1,FALSE)</f>
        <v>mg</v>
      </c>
      <c r="N1178" t="str">
        <f>VLOOKUP($A1178,[1]Table!$A$2:$N1318,N$1,FALSE)</f>
        <v>Pijn, acuut/post-operatief (kortdurend gebruik maximaal 2-3 dagen)||Milde pijn en koorts||Chronische pijn</v>
      </c>
      <c r="O1178" t="s">
        <v>52</v>
      </c>
      <c r="P1178" s="20">
        <v>40</v>
      </c>
      <c r="Q1178" s="3">
        <v>20</v>
      </c>
      <c r="R1178" s="3">
        <v>90</v>
      </c>
      <c r="S1178" s="4">
        <v>30</v>
      </c>
      <c r="T1178" s="3">
        <v>10</v>
      </c>
      <c r="U1178" s="3">
        <v>60</v>
      </c>
      <c r="V1178" s="3">
        <v>4000</v>
      </c>
      <c r="AZ1178" t="str">
        <f t="shared" si="440"/>
        <v/>
      </c>
      <c r="BA1178" t="str">
        <f t="shared" si="441"/>
        <v/>
      </c>
      <c r="BB1178" t="str">
        <f t="shared" si="442"/>
        <v/>
      </c>
      <c r="BC1178" t="str">
        <f t="shared" si="443"/>
        <v/>
      </c>
      <c r="BD1178" t="str">
        <f t="shared" si="444"/>
        <v/>
      </c>
      <c r="BE1178" t="str">
        <f t="shared" si="445"/>
        <v/>
      </c>
      <c r="BF1178" t="str">
        <f t="shared" si="446"/>
        <v/>
      </c>
      <c r="BG1178" t="str">
        <f t="shared" si="447"/>
        <v/>
      </c>
      <c r="BH1178" t="str">
        <f t="shared" si="448"/>
        <v/>
      </c>
      <c r="BI1178" t="str">
        <f t="shared" si="449"/>
        <v/>
      </c>
      <c r="BJ1178" t="str">
        <f t="shared" si="450"/>
        <v/>
      </c>
      <c r="BK1178" t="str">
        <f t="shared" si="451"/>
        <v/>
      </c>
      <c r="BL1178" t="str">
        <f t="shared" si="452"/>
        <v/>
      </c>
      <c r="BM1178" t="str">
        <f t="shared" si="453"/>
        <v/>
      </c>
      <c r="BN1178" t="str">
        <f t="shared" si="454"/>
        <v/>
      </c>
      <c r="BO1178" t="str">
        <f t="shared" si="455"/>
        <v/>
      </c>
      <c r="BP1178" t="str">
        <f t="shared" si="456"/>
        <v/>
      </c>
      <c r="BQ1178" t="str">
        <f t="shared" si="457"/>
        <v/>
      </c>
      <c r="BR1178" t="str">
        <f t="shared" si="458"/>
        <v/>
      </c>
      <c r="BS1178" t="str">
        <f t="shared" si="459"/>
        <v/>
      </c>
      <c r="BT1178" t="str">
        <f t="shared" si="460"/>
        <v/>
      </c>
      <c r="BU1178" t="str">
        <f t="shared" si="461"/>
        <v/>
      </c>
    </row>
    <row r="1179" spans="1:73">
      <c r="A1179" s="1">
        <v>84131</v>
      </c>
      <c r="B1179" t="str">
        <f>VLOOKUP($A1179,[1]Table!$A$2:$N1319,B$1,FALSE)</f>
        <v>N02BE01</v>
      </c>
      <c r="C1179" t="str">
        <f>VLOOKUP($A1179,[1]Table!$A$2:$N1319,C$1,FALSE)</f>
        <v>ANALGETICA</v>
      </c>
      <c r="D1179" t="str">
        <f>VLOOKUP($A1179,[1]Table!$A$2:$N1319,D$1,FALSE)</f>
        <v>OVERIGE ANALGETICA EN ANTIPYRETICA</v>
      </c>
      <c r="E1179" t="str">
        <f>VLOOKUP($A1179,[1]Table!$A$2:$N1319,E$1,FALSE)</f>
        <v>PARACETAMOL</v>
      </c>
      <c r="F1179" t="str">
        <f>VLOOKUP($A1179,[1]Table!$A$2:$N1319,F$1,FALSE)</f>
        <v>PARACETAMOL (SINASPRIL) 120 MG KAUWTABLET</v>
      </c>
      <c r="G1179" t="str">
        <f>VLOOKUP($A1179,[1]Table!$A$2:$N1319,G$1,FALSE)</f>
        <v>PARACETAMOL 120MG KAUWTAB</v>
      </c>
      <c r="H1179" t="str">
        <f>VLOOKUP($A1179,[1]Table!$A$2:$N1319,H$1,FALSE)</f>
        <v>kauwtablet</v>
      </c>
      <c r="I1179" t="str">
        <f>VLOOKUP($A1179,[1]Table!$A$2:$N1319,I$1,FALSE)</f>
        <v>or</v>
      </c>
      <c r="J1179">
        <f>VLOOKUP($A1179,[1]Table!$A$2:$N1319,J$1,FALSE)</f>
        <v>120</v>
      </c>
      <c r="K1179" t="str">
        <f>VLOOKUP($A1179,[1]Table!$A$2:$N1319,K$1,FALSE)</f>
        <v>mg/stuk</v>
      </c>
      <c r="L1179">
        <f>VLOOKUP($A1179,[1]Table!$A$2:$N1319,L$1,FALSE)</f>
        <v>120</v>
      </c>
      <c r="M1179" t="str">
        <f>VLOOKUP($A1179,[1]Table!$A$2:$N1319,M$1,FALSE)</f>
        <v>mg</v>
      </c>
      <c r="N1179" t="str">
        <f>VLOOKUP($A1179,[1]Table!$A$2:$N1319,N$1,FALSE)</f>
        <v>Pijn, acuut/post-operatief (kortdurend gebruik maximaal 2-3 dagen)||Milde pijn en koorts||Chronische pijn</v>
      </c>
      <c r="O1179" t="s">
        <v>52</v>
      </c>
      <c r="P1179" s="20">
        <v>60</v>
      </c>
      <c r="Q1179" s="3">
        <v>20</v>
      </c>
      <c r="R1179" s="3">
        <v>90</v>
      </c>
      <c r="S1179" s="4">
        <v>40</v>
      </c>
      <c r="T1179" s="3">
        <v>10</v>
      </c>
      <c r="U1179" s="3">
        <v>60</v>
      </c>
      <c r="V1179" s="3">
        <v>4000</v>
      </c>
      <c r="AZ1179" t="str">
        <f t="shared" si="440"/>
        <v/>
      </c>
      <c r="BA1179" t="str">
        <f t="shared" si="441"/>
        <v/>
      </c>
      <c r="BB1179" t="str">
        <f t="shared" si="442"/>
        <v/>
      </c>
      <c r="BC1179" t="str">
        <f t="shared" si="443"/>
        <v/>
      </c>
      <c r="BD1179" t="str">
        <f t="shared" si="444"/>
        <v/>
      </c>
      <c r="BE1179" t="str">
        <f t="shared" si="445"/>
        <v/>
      </c>
      <c r="BF1179" t="str">
        <f t="shared" si="446"/>
        <v/>
      </c>
      <c r="BG1179" t="str">
        <f t="shared" si="447"/>
        <v/>
      </c>
      <c r="BH1179" t="str">
        <f t="shared" si="448"/>
        <v/>
      </c>
      <c r="BI1179" t="str">
        <f t="shared" si="449"/>
        <v/>
      </c>
      <c r="BJ1179" t="str">
        <f t="shared" si="450"/>
        <v/>
      </c>
      <c r="BK1179" t="str">
        <f t="shared" si="451"/>
        <v/>
      </c>
      <c r="BL1179" t="str">
        <f t="shared" si="452"/>
        <v/>
      </c>
      <c r="BM1179" t="str">
        <f t="shared" si="453"/>
        <v/>
      </c>
      <c r="BN1179" t="str">
        <f t="shared" si="454"/>
        <v/>
      </c>
      <c r="BO1179" t="str">
        <f t="shared" si="455"/>
        <v/>
      </c>
      <c r="BP1179" t="str">
        <f t="shared" si="456"/>
        <v/>
      </c>
      <c r="BQ1179" t="str">
        <f t="shared" si="457"/>
        <v/>
      </c>
      <c r="BR1179" t="str">
        <f t="shared" si="458"/>
        <v/>
      </c>
      <c r="BS1179" t="str">
        <f t="shared" si="459"/>
        <v/>
      </c>
      <c r="BT1179" t="str">
        <f t="shared" si="460"/>
        <v/>
      </c>
      <c r="BU1179" t="str">
        <f t="shared" si="461"/>
        <v/>
      </c>
    </row>
    <row r="1180" spans="1:73">
      <c r="A1180" s="1">
        <v>124370</v>
      </c>
      <c r="B1180" t="str">
        <f>VLOOKUP($A1180,[1]Table!$A$2:$N1320,B$1,FALSE)</f>
        <v>N02BE01</v>
      </c>
      <c r="C1180" t="str">
        <f>VLOOKUP($A1180,[1]Table!$A$2:$N1320,C$1,FALSE)</f>
        <v>ANALGETICA</v>
      </c>
      <c r="D1180" t="str">
        <f>VLOOKUP($A1180,[1]Table!$A$2:$N1320,D$1,FALSE)</f>
        <v>OVERIGE ANALGETICA EN ANTIPYRETICA</v>
      </c>
      <c r="E1180" t="str">
        <f>VLOOKUP($A1180,[1]Table!$A$2:$N1320,E$1,FALSE)</f>
        <v>PARACETAMOL</v>
      </c>
      <c r="F1180" t="str">
        <f>VLOOKUP($A1180,[1]Table!$A$2:$N1320,F$1,FALSE)</f>
        <v>PINEX 250 MG SMELTTABLET AARDBEIENSMAAK</v>
      </c>
      <c r="G1180" t="str">
        <f>VLOOKUP($A1180,[1]Table!$A$2:$N1320,G$1,FALSE)</f>
        <v>PARACETAMOL 250MG SMELTTAB</v>
      </c>
      <c r="H1180" t="str">
        <f>VLOOKUP($A1180,[1]Table!$A$2:$N1320,H$1,FALSE)</f>
        <v>smelttablet</v>
      </c>
      <c r="I1180" t="str">
        <f>VLOOKUP($A1180,[1]Table!$A$2:$N1320,I$1,FALSE)</f>
        <v>or</v>
      </c>
      <c r="J1180">
        <f>VLOOKUP($A1180,[1]Table!$A$2:$N1320,J$1,FALSE)</f>
        <v>250</v>
      </c>
      <c r="K1180" t="str">
        <f>VLOOKUP($A1180,[1]Table!$A$2:$N1320,K$1,FALSE)</f>
        <v>mg/stuk</v>
      </c>
      <c r="L1180">
        <f>VLOOKUP($A1180,[1]Table!$A$2:$N1320,L$1,FALSE)</f>
        <v>250</v>
      </c>
      <c r="M1180" t="str">
        <f>VLOOKUP($A1180,[1]Table!$A$2:$N1320,M$1,FALSE)</f>
        <v>mg</v>
      </c>
      <c r="N1180" t="str">
        <f>VLOOKUP($A1180,[1]Table!$A$2:$N1320,N$1,FALSE)</f>
        <v>Pijn, acuut/post-operatief (kortdurend gebruik maximaal 2-3 dagen)||Milde pijn en koorts||Chronische pijn</v>
      </c>
      <c r="O1180" t="s">
        <v>52</v>
      </c>
      <c r="P1180" s="20">
        <v>60</v>
      </c>
      <c r="Q1180" s="3">
        <v>20</v>
      </c>
      <c r="R1180" s="3">
        <v>90</v>
      </c>
      <c r="S1180" s="4">
        <v>40</v>
      </c>
      <c r="T1180" s="3">
        <v>10</v>
      </c>
      <c r="U1180" s="3">
        <v>60</v>
      </c>
      <c r="V1180" s="3">
        <v>4000</v>
      </c>
      <c r="AZ1180" t="str">
        <f t="shared" si="440"/>
        <v/>
      </c>
      <c r="BA1180" t="str">
        <f t="shared" si="441"/>
        <v/>
      </c>
      <c r="BB1180" t="str">
        <f t="shared" si="442"/>
        <v/>
      </c>
      <c r="BC1180" t="str">
        <f t="shared" si="443"/>
        <v/>
      </c>
      <c r="BD1180" t="str">
        <f t="shared" si="444"/>
        <v/>
      </c>
      <c r="BE1180" t="str">
        <f t="shared" si="445"/>
        <v/>
      </c>
      <c r="BF1180" t="str">
        <f t="shared" si="446"/>
        <v/>
      </c>
      <c r="BG1180" t="str">
        <f t="shared" si="447"/>
        <v/>
      </c>
      <c r="BH1180" t="str">
        <f t="shared" si="448"/>
        <v/>
      </c>
      <c r="BI1180" t="str">
        <f t="shared" si="449"/>
        <v/>
      </c>
      <c r="BJ1180" t="str">
        <f t="shared" si="450"/>
        <v/>
      </c>
      <c r="BK1180" t="str">
        <f t="shared" si="451"/>
        <v/>
      </c>
      <c r="BL1180" t="str">
        <f t="shared" si="452"/>
        <v/>
      </c>
      <c r="BM1180" t="str">
        <f t="shared" si="453"/>
        <v/>
      </c>
      <c r="BN1180" t="str">
        <f t="shared" si="454"/>
        <v/>
      </c>
      <c r="BO1180" t="str">
        <f t="shared" si="455"/>
        <v/>
      </c>
      <c r="BP1180" t="str">
        <f t="shared" si="456"/>
        <v/>
      </c>
      <c r="BQ1180" t="str">
        <f t="shared" si="457"/>
        <v/>
      </c>
      <c r="BR1180" t="str">
        <f t="shared" si="458"/>
        <v/>
      </c>
      <c r="BS1180" t="str">
        <f t="shared" si="459"/>
        <v/>
      </c>
      <c r="BT1180" t="str">
        <f t="shared" si="460"/>
        <v/>
      </c>
      <c r="BU1180" t="str">
        <f t="shared" si="461"/>
        <v/>
      </c>
    </row>
    <row r="1181" spans="1:73">
      <c r="A1181" s="1">
        <v>124354</v>
      </c>
      <c r="B1181" t="str">
        <f>VLOOKUP($A1181,[1]Table!$A$2:$N1321,B$1,FALSE)</f>
        <v>N02BE01</v>
      </c>
      <c r="C1181" t="str">
        <f>VLOOKUP($A1181,[1]Table!$A$2:$N1321,C$1,FALSE)</f>
        <v>ANALGETICA</v>
      </c>
      <c r="D1181" t="str">
        <f>VLOOKUP($A1181,[1]Table!$A$2:$N1321,D$1,FALSE)</f>
        <v>OVERIGE ANALGETICA EN ANTIPYRETICA</v>
      </c>
      <c r="E1181" t="str">
        <f>VLOOKUP($A1181,[1]Table!$A$2:$N1321,E$1,FALSE)</f>
        <v>PARACETAMOL</v>
      </c>
      <c r="F1181" t="str">
        <f>VLOOKUP($A1181,[1]Table!$A$2:$N1321,F$1,FALSE)</f>
        <v>PARACETAMOL 500 MG SMELTTABLET</v>
      </c>
      <c r="G1181" t="str">
        <f>VLOOKUP($A1181,[1]Table!$A$2:$N1321,G$1,FALSE)</f>
        <v>PARACETAMOL 500MG SMELTTAB</v>
      </c>
      <c r="H1181" t="str">
        <f>VLOOKUP($A1181,[1]Table!$A$2:$N1321,H$1,FALSE)</f>
        <v>smelttablet</v>
      </c>
      <c r="I1181" t="str">
        <f>VLOOKUP($A1181,[1]Table!$A$2:$N1321,I$1,FALSE)</f>
        <v>or</v>
      </c>
      <c r="J1181">
        <f>VLOOKUP($A1181,[1]Table!$A$2:$N1321,J$1,FALSE)</f>
        <v>500</v>
      </c>
      <c r="K1181" t="str">
        <f>VLOOKUP($A1181,[1]Table!$A$2:$N1321,K$1,FALSE)</f>
        <v>mg/stuk</v>
      </c>
      <c r="L1181">
        <f>VLOOKUP($A1181,[1]Table!$A$2:$N1321,L$1,FALSE)</f>
        <v>500</v>
      </c>
      <c r="M1181" t="str">
        <f>VLOOKUP($A1181,[1]Table!$A$2:$N1321,M$1,FALSE)</f>
        <v>mg</v>
      </c>
      <c r="N1181" t="str">
        <f>VLOOKUP($A1181,[1]Table!$A$2:$N1321,N$1,FALSE)</f>
        <v>Pijn, acuut/post-operatief (kortdurend gebruik maximaal 2-3 dagen)||Milde pijn en koorts||Chronische pijn</v>
      </c>
      <c r="O1181" t="s">
        <v>52</v>
      </c>
      <c r="P1181" s="20">
        <v>60</v>
      </c>
      <c r="Q1181" s="3">
        <v>20</v>
      </c>
      <c r="R1181" s="3">
        <v>90</v>
      </c>
      <c r="S1181" s="4">
        <v>40</v>
      </c>
      <c r="T1181" s="3">
        <v>10</v>
      </c>
      <c r="U1181" s="3">
        <v>60</v>
      </c>
      <c r="V1181" s="3">
        <v>4000</v>
      </c>
      <c r="AZ1181" t="str">
        <f t="shared" si="440"/>
        <v/>
      </c>
      <c r="BA1181" t="str">
        <f t="shared" si="441"/>
        <v/>
      </c>
      <c r="BB1181" t="str">
        <f t="shared" si="442"/>
        <v/>
      </c>
      <c r="BC1181" t="str">
        <f t="shared" si="443"/>
        <v/>
      </c>
      <c r="BD1181" t="str">
        <f t="shared" si="444"/>
        <v/>
      </c>
      <c r="BE1181" t="str">
        <f t="shared" si="445"/>
        <v/>
      </c>
      <c r="BF1181" t="str">
        <f t="shared" si="446"/>
        <v/>
      </c>
      <c r="BG1181" t="str">
        <f t="shared" si="447"/>
        <v/>
      </c>
      <c r="BH1181" t="str">
        <f t="shared" si="448"/>
        <v/>
      </c>
      <c r="BI1181" t="str">
        <f t="shared" si="449"/>
        <v/>
      </c>
      <c r="BJ1181" t="str">
        <f t="shared" si="450"/>
        <v/>
      </c>
      <c r="BK1181" t="str">
        <f t="shared" si="451"/>
        <v/>
      </c>
      <c r="BL1181" t="str">
        <f t="shared" si="452"/>
        <v/>
      </c>
      <c r="BM1181" t="str">
        <f t="shared" si="453"/>
        <v/>
      </c>
      <c r="BN1181" t="str">
        <f t="shared" si="454"/>
        <v/>
      </c>
      <c r="BO1181" t="str">
        <f t="shared" si="455"/>
        <v/>
      </c>
      <c r="BP1181" t="str">
        <f t="shared" si="456"/>
        <v/>
      </c>
      <c r="BQ1181" t="str">
        <f t="shared" si="457"/>
        <v/>
      </c>
      <c r="BR1181" t="str">
        <f t="shared" si="458"/>
        <v/>
      </c>
      <c r="BS1181" t="str">
        <f t="shared" si="459"/>
        <v/>
      </c>
      <c r="BT1181" t="str">
        <f t="shared" si="460"/>
        <v/>
      </c>
      <c r="BU1181" t="str">
        <f t="shared" si="461"/>
        <v/>
      </c>
    </row>
    <row r="1182" spans="1:73">
      <c r="A1182" s="1">
        <v>9504</v>
      </c>
      <c r="B1182" t="str">
        <f>VLOOKUP($A1182,[1]Table!$A$2:$N1322,B$1,FALSE)</f>
        <v>N02BE01</v>
      </c>
      <c r="C1182" t="str">
        <f>VLOOKUP($A1182,[1]Table!$A$2:$N1322,C$1,FALSE)</f>
        <v>ANALGETICA</v>
      </c>
      <c r="D1182" t="str">
        <f>VLOOKUP($A1182,[1]Table!$A$2:$N1322,D$1,FALSE)</f>
        <v>OVERIGE ANALGETICA EN ANTIPYRETICA</v>
      </c>
      <c r="E1182" t="str">
        <f>VLOOKUP($A1182,[1]Table!$A$2:$N1322,E$1,FALSE)</f>
        <v>PARACETAMOL</v>
      </c>
      <c r="F1182" t="str">
        <f>VLOOKUP($A1182,[1]Table!$A$2:$N1322,F$1,FALSE)</f>
        <v>PARACETAMOL 24 MG/ML STROOP</v>
      </c>
      <c r="G1182" t="str">
        <f>VLOOKUP($A1182,[1]Table!$A$2:$N1322,G$1,FALSE)</f>
        <v>PARACETAMOL 24MG/ML STROOP</v>
      </c>
      <c r="H1182" t="str">
        <f>VLOOKUP($A1182,[1]Table!$A$2:$N1322,H$1,FALSE)</f>
        <v>stroop</v>
      </c>
      <c r="I1182" t="str">
        <f>VLOOKUP($A1182,[1]Table!$A$2:$N1322,I$1,FALSE)</f>
        <v>or</v>
      </c>
      <c r="J1182">
        <f>VLOOKUP($A1182,[1]Table!$A$2:$N1322,J$1,FALSE)</f>
        <v>24</v>
      </c>
      <c r="K1182" t="str">
        <f>VLOOKUP($A1182,[1]Table!$A$2:$N1322,K$1,FALSE)</f>
        <v>mg/ml</v>
      </c>
      <c r="L1182">
        <f>VLOOKUP($A1182,[1]Table!$A$2:$N1322,L$1,FALSE)</f>
        <v>24</v>
      </c>
      <c r="M1182" t="str">
        <f>VLOOKUP($A1182,[1]Table!$A$2:$N1322,M$1,FALSE)</f>
        <v>mg</v>
      </c>
      <c r="N1182" t="str">
        <f>VLOOKUP($A1182,[1]Table!$A$2:$N1322,N$1,FALSE)</f>
        <v>Pijn, acuut/post-operatief (kortdurend gebruik maximaal 2-3 dagen)||Milde pijn en koorts||Chronische pijn</v>
      </c>
      <c r="O1182" t="s">
        <v>52</v>
      </c>
      <c r="P1182" s="20">
        <v>60</v>
      </c>
      <c r="Q1182" s="3">
        <v>20</v>
      </c>
      <c r="R1182" s="3">
        <v>90</v>
      </c>
      <c r="S1182" s="4">
        <v>40</v>
      </c>
      <c r="T1182" s="3">
        <v>10</v>
      </c>
      <c r="U1182" s="3">
        <v>60</v>
      </c>
      <c r="V1182" s="3">
        <v>4000</v>
      </c>
      <c r="AZ1182" t="str">
        <f t="shared" si="440"/>
        <v/>
      </c>
      <c r="BA1182" t="str">
        <f t="shared" si="441"/>
        <v/>
      </c>
      <c r="BB1182" t="str">
        <f t="shared" si="442"/>
        <v/>
      </c>
      <c r="BC1182" t="str">
        <f t="shared" si="443"/>
        <v/>
      </c>
      <c r="BD1182" t="str">
        <f t="shared" si="444"/>
        <v/>
      </c>
      <c r="BE1182" t="str">
        <f t="shared" si="445"/>
        <v/>
      </c>
      <c r="BF1182" t="str">
        <f t="shared" si="446"/>
        <v/>
      </c>
      <c r="BG1182" t="str">
        <f t="shared" si="447"/>
        <v/>
      </c>
      <c r="BH1182" t="str">
        <f t="shared" si="448"/>
        <v/>
      </c>
      <c r="BI1182" t="str">
        <f t="shared" si="449"/>
        <v/>
      </c>
      <c r="BJ1182" t="str">
        <f t="shared" si="450"/>
        <v/>
      </c>
      <c r="BK1182" t="str">
        <f t="shared" si="451"/>
        <v/>
      </c>
      <c r="BL1182" t="str">
        <f t="shared" si="452"/>
        <v/>
      </c>
      <c r="BM1182" t="str">
        <f t="shared" si="453"/>
        <v/>
      </c>
      <c r="BN1182" t="str">
        <f t="shared" si="454"/>
        <v/>
      </c>
      <c r="BO1182" t="str">
        <f t="shared" si="455"/>
        <v/>
      </c>
      <c r="BP1182" t="str">
        <f t="shared" si="456"/>
        <v/>
      </c>
      <c r="BQ1182" t="str">
        <f t="shared" si="457"/>
        <v/>
      </c>
      <c r="BR1182" t="str">
        <f t="shared" si="458"/>
        <v/>
      </c>
      <c r="BS1182" t="str">
        <f t="shared" si="459"/>
        <v/>
      </c>
      <c r="BT1182" t="str">
        <f t="shared" si="460"/>
        <v/>
      </c>
      <c r="BU1182" t="str">
        <f t="shared" si="461"/>
        <v/>
      </c>
    </row>
    <row r="1183" spans="1:73">
      <c r="A1183" s="1">
        <v>2194</v>
      </c>
      <c r="B1183" t="str">
        <f>VLOOKUP($A1183,[1]Table!$A$2:$N1323,B$1,FALSE)</f>
        <v>N02BE01</v>
      </c>
      <c r="C1183" t="str">
        <f>VLOOKUP($A1183,[1]Table!$A$2:$N1323,C$1,FALSE)</f>
        <v>ANALGETICA</v>
      </c>
      <c r="D1183" t="str">
        <f>VLOOKUP($A1183,[1]Table!$A$2:$N1323,D$1,FALSE)</f>
        <v>OVERIGE ANALGETICA EN ANTIPYRETICA</v>
      </c>
      <c r="E1183" t="str">
        <f>VLOOKUP($A1183,[1]Table!$A$2:$N1323,E$1,FALSE)</f>
        <v>PARACETAMOL</v>
      </c>
      <c r="F1183" t="str">
        <f>VLOOKUP($A1183,[1]Table!$A$2:$N1323,F$1,FALSE)</f>
        <v>PARACETAMOL 500 MG TABLET</v>
      </c>
      <c r="G1183" t="str">
        <f>VLOOKUP($A1183,[1]Table!$A$2:$N1323,G$1,FALSE)</f>
        <v>PARACETAMOL 500MG TABLET</v>
      </c>
      <c r="H1183" t="str">
        <f>VLOOKUP($A1183,[1]Table!$A$2:$N1323,H$1,FALSE)</f>
        <v>tablet</v>
      </c>
      <c r="I1183" t="str">
        <f>VLOOKUP($A1183,[1]Table!$A$2:$N1323,I$1,FALSE)</f>
        <v>or</v>
      </c>
      <c r="J1183">
        <f>VLOOKUP($A1183,[1]Table!$A$2:$N1323,J$1,FALSE)</f>
        <v>500</v>
      </c>
      <c r="K1183" t="str">
        <f>VLOOKUP($A1183,[1]Table!$A$2:$N1323,K$1,FALSE)</f>
        <v>mg/stuk</v>
      </c>
      <c r="L1183">
        <f>VLOOKUP($A1183,[1]Table!$A$2:$N1323,L$1,FALSE)</f>
        <v>250</v>
      </c>
      <c r="M1183" t="str">
        <f>VLOOKUP($A1183,[1]Table!$A$2:$N1323,M$1,FALSE)</f>
        <v>mg</v>
      </c>
      <c r="N1183" t="str">
        <f>VLOOKUP($A1183,[1]Table!$A$2:$N1323,N$1,FALSE)</f>
        <v>Pijn, acuut/post-operatief (kortdurend gebruik maximaal 2-3 dagen)||Milde pijn en koorts||Chronische pijn</v>
      </c>
      <c r="O1183" t="s">
        <v>52</v>
      </c>
      <c r="P1183" s="20">
        <v>60</v>
      </c>
      <c r="Q1183" s="3">
        <v>20</v>
      </c>
      <c r="R1183" s="3">
        <v>90</v>
      </c>
      <c r="S1183" s="4">
        <v>40</v>
      </c>
      <c r="T1183" s="3">
        <v>10</v>
      </c>
      <c r="U1183" s="3">
        <v>60</v>
      </c>
      <c r="V1183" s="3">
        <v>4000</v>
      </c>
      <c r="AZ1183" t="str">
        <f t="shared" si="440"/>
        <v/>
      </c>
      <c r="BA1183" t="str">
        <f t="shared" si="441"/>
        <v/>
      </c>
      <c r="BB1183" t="str">
        <f t="shared" si="442"/>
        <v/>
      </c>
      <c r="BC1183" t="str">
        <f t="shared" si="443"/>
        <v/>
      </c>
      <c r="BD1183" t="str">
        <f t="shared" si="444"/>
        <v/>
      </c>
      <c r="BE1183" t="str">
        <f t="shared" si="445"/>
        <v/>
      </c>
      <c r="BF1183" t="str">
        <f t="shared" si="446"/>
        <v/>
      </c>
      <c r="BG1183" t="str">
        <f t="shared" si="447"/>
        <v/>
      </c>
      <c r="BH1183" t="str">
        <f t="shared" si="448"/>
        <v/>
      </c>
      <c r="BI1183" t="str">
        <f t="shared" si="449"/>
        <v/>
      </c>
      <c r="BJ1183" t="str">
        <f t="shared" si="450"/>
        <v/>
      </c>
      <c r="BK1183" t="str">
        <f t="shared" si="451"/>
        <v/>
      </c>
      <c r="BL1183" t="str">
        <f t="shared" si="452"/>
        <v/>
      </c>
      <c r="BM1183" t="str">
        <f t="shared" si="453"/>
        <v/>
      </c>
      <c r="BN1183" t="str">
        <f t="shared" si="454"/>
        <v/>
      </c>
      <c r="BO1183" t="str">
        <f t="shared" si="455"/>
        <v/>
      </c>
      <c r="BP1183" t="str">
        <f t="shared" si="456"/>
        <v/>
      </c>
      <c r="BQ1183" t="str">
        <f t="shared" si="457"/>
        <v/>
      </c>
      <c r="BR1183" t="str">
        <f t="shared" si="458"/>
        <v/>
      </c>
      <c r="BS1183" t="str">
        <f t="shared" si="459"/>
        <v/>
      </c>
      <c r="BT1183" t="str">
        <f t="shared" si="460"/>
        <v/>
      </c>
      <c r="BU1183" t="str">
        <f t="shared" si="461"/>
        <v/>
      </c>
    </row>
    <row r="1184" spans="1:73">
      <c r="A1184" s="1">
        <v>122718</v>
      </c>
      <c r="B1184" t="str">
        <f>VLOOKUP($A1184,[1]Table!$A$2:$N1324,B$1,FALSE)</f>
        <v>N02BE01</v>
      </c>
      <c r="C1184" t="str">
        <f>VLOOKUP($A1184,[1]Table!$A$2:$N1324,C$1,FALSE)</f>
        <v>ANALGETICA</v>
      </c>
      <c r="D1184" t="str">
        <f>VLOOKUP($A1184,[1]Table!$A$2:$N1324,D$1,FALSE)</f>
        <v>OVERIGE ANALGETICA EN ANTIPYRETICA</v>
      </c>
      <c r="E1184" t="str">
        <f>VLOOKUP($A1184,[1]Table!$A$2:$N1324,E$1,FALSE)</f>
        <v>PARACETAMOL</v>
      </c>
      <c r="F1184" t="str">
        <f>VLOOKUP($A1184,[1]Table!$A$2:$N1324,F$1,FALSE)</f>
        <v>PARACETAMOL 60 MG ZETPIL</v>
      </c>
      <c r="G1184" t="str">
        <f>VLOOKUP($A1184,[1]Table!$A$2:$N1324,G$1,FALSE)</f>
        <v>PARACETAMOL 60MG ZETPIL</v>
      </c>
      <c r="H1184" t="str">
        <f>VLOOKUP($A1184,[1]Table!$A$2:$N1324,H$1,FALSE)</f>
        <v>zetpil</v>
      </c>
      <c r="I1184" t="str">
        <f>VLOOKUP($A1184,[1]Table!$A$2:$N1324,I$1,FALSE)</f>
        <v>rect</v>
      </c>
      <c r="J1184">
        <f>VLOOKUP($A1184,[1]Table!$A$2:$N1324,J$1,FALSE)</f>
        <v>60</v>
      </c>
      <c r="K1184" t="str">
        <f>VLOOKUP($A1184,[1]Table!$A$2:$N1324,K$1,FALSE)</f>
        <v>mg/stuk</v>
      </c>
      <c r="L1184">
        <f>VLOOKUP($A1184,[1]Table!$A$2:$N1324,L$1,FALSE)</f>
        <v>60</v>
      </c>
      <c r="M1184" t="str">
        <f>VLOOKUP($A1184,[1]Table!$A$2:$N1324,M$1,FALSE)</f>
        <v>mg</v>
      </c>
      <c r="N1184" t="str">
        <f>VLOOKUP($A1184,[1]Table!$A$2:$N1324,N$1,FALSE)</f>
        <v>Pijn, acuut/post-operatief (kortdurend gebruik maximaal 2-3 dagen)||Milde pijn en koorts||Chronische pijn</v>
      </c>
      <c r="O1184" t="s">
        <v>52</v>
      </c>
      <c r="P1184" s="3">
        <v>60</v>
      </c>
      <c r="Q1184" s="3">
        <v>20</v>
      </c>
      <c r="R1184" s="3">
        <v>90</v>
      </c>
      <c r="S1184" s="3">
        <v>40</v>
      </c>
      <c r="T1184" s="3">
        <v>10</v>
      </c>
      <c r="U1184" s="3">
        <v>60</v>
      </c>
      <c r="V1184" s="3">
        <v>4000</v>
      </c>
      <c r="AZ1184" t="str">
        <f t="shared" si="440"/>
        <v/>
      </c>
      <c r="BA1184" t="str">
        <f t="shared" si="441"/>
        <v/>
      </c>
      <c r="BB1184" t="str">
        <f t="shared" si="442"/>
        <v/>
      </c>
      <c r="BC1184" t="str">
        <f t="shared" si="443"/>
        <v/>
      </c>
      <c r="BD1184" t="str">
        <f t="shared" si="444"/>
        <v/>
      </c>
      <c r="BE1184" t="str">
        <f t="shared" si="445"/>
        <v/>
      </c>
      <c r="BF1184" t="str">
        <f t="shared" si="446"/>
        <v/>
      </c>
      <c r="BG1184" t="str">
        <f t="shared" si="447"/>
        <v/>
      </c>
      <c r="BH1184" t="str">
        <f t="shared" si="448"/>
        <v/>
      </c>
      <c r="BI1184" t="str">
        <f t="shared" si="449"/>
        <v/>
      </c>
      <c r="BJ1184" t="str">
        <f t="shared" si="450"/>
        <v/>
      </c>
      <c r="BK1184" t="str">
        <f t="shared" si="451"/>
        <v/>
      </c>
      <c r="BL1184" t="str">
        <f t="shared" si="452"/>
        <v/>
      </c>
      <c r="BM1184" t="str">
        <f t="shared" si="453"/>
        <v/>
      </c>
      <c r="BN1184" t="str">
        <f t="shared" si="454"/>
        <v/>
      </c>
      <c r="BO1184" t="str">
        <f t="shared" si="455"/>
        <v/>
      </c>
      <c r="BP1184" t="str">
        <f t="shared" si="456"/>
        <v/>
      </c>
      <c r="BQ1184" t="str">
        <f t="shared" si="457"/>
        <v/>
      </c>
      <c r="BR1184" t="str">
        <f t="shared" si="458"/>
        <v/>
      </c>
      <c r="BS1184" t="str">
        <f t="shared" si="459"/>
        <v/>
      </c>
      <c r="BT1184" t="str">
        <f t="shared" si="460"/>
        <v/>
      </c>
      <c r="BU1184" t="str">
        <f t="shared" si="461"/>
        <v/>
      </c>
    </row>
    <row r="1185" spans="1:73">
      <c r="A1185" s="1">
        <v>37176</v>
      </c>
      <c r="B1185" t="str">
        <f>VLOOKUP($A1185,[1]Table!$A$2:$N1325,B$1,FALSE)</f>
        <v>N02BE01</v>
      </c>
      <c r="C1185" t="str">
        <f>VLOOKUP($A1185,[1]Table!$A$2:$N1325,C$1,FALSE)</f>
        <v>ANALGETICA</v>
      </c>
      <c r="D1185" t="str">
        <f>VLOOKUP($A1185,[1]Table!$A$2:$N1325,D$1,FALSE)</f>
        <v>OVERIGE ANALGETICA EN ANTIPYRETICA</v>
      </c>
      <c r="E1185" t="str">
        <f>VLOOKUP($A1185,[1]Table!$A$2:$N1325,E$1,FALSE)</f>
        <v>PARACETAMOL</v>
      </c>
      <c r="F1185" t="str">
        <f>VLOOKUP($A1185,[1]Table!$A$2:$N1325,F$1,FALSE)</f>
        <v>PARACETAMOL 120 MG ZETPIL</v>
      </c>
      <c r="G1185" t="str">
        <f>VLOOKUP($A1185,[1]Table!$A$2:$N1325,G$1,FALSE)</f>
        <v>PARACETAMOL 120MG ZETPIL</v>
      </c>
      <c r="H1185" t="str">
        <f>VLOOKUP($A1185,[1]Table!$A$2:$N1325,H$1,FALSE)</f>
        <v>zetpil</v>
      </c>
      <c r="I1185" t="str">
        <f>VLOOKUP($A1185,[1]Table!$A$2:$N1325,I$1,FALSE)</f>
        <v>rect</v>
      </c>
      <c r="J1185">
        <f>VLOOKUP($A1185,[1]Table!$A$2:$N1325,J$1,FALSE)</f>
        <v>120</v>
      </c>
      <c r="K1185" t="str">
        <f>VLOOKUP($A1185,[1]Table!$A$2:$N1325,K$1,FALSE)</f>
        <v>mg/stuk</v>
      </c>
      <c r="L1185">
        <f>VLOOKUP($A1185,[1]Table!$A$2:$N1325,L$1,FALSE)</f>
        <v>120</v>
      </c>
      <c r="M1185" t="str">
        <f>VLOOKUP($A1185,[1]Table!$A$2:$N1325,M$1,FALSE)</f>
        <v>mg</v>
      </c>
      <c r="N1185" t="str">
        <f>VLOOKUP($A1185,[1]Table!$A$2:$N1325,N$1,FALSE)</f>
        <v>Pijn, acuut/post-operatief (kortdurend gebruik maximaal 2-3 dagen)||Milde pijn en koorts||Chronische pijn</v>
      </c>
      <c r="O1185" t="s">
        <v>52</v>
      </c>
      <c r="P1185" s="3">
        <v>60</v>
      </c>
      <c r="Q1185" s="3">
        <v>20</v>
      </c>
      <c r="R1185" s="3">
        <v>90</v>
      </c>
      <c r="S1185" s="3">
        <v>40</v>
      </c>
      <c r="T1185" s="3">
        <v>10</v>
      </c>
      <c r="U1185" s="3">
        <v>60</v>
      </c>
      <c r="V1185" s="3">
        <v>4000</v>
      </c>
      <c r="AZ1185" t="str">
        <f t="shared" si="440"/>
        <v/>
      </c>
      <c r="BA1185" t="str">
        <f t="shared" si="441"/>
        <v/>
      </c>
      <c r="BB1185" t="str">
        <f t="shared" si="442"/>
        <v/>
      </c>
      <c r="BC1185" t="str">
        <f t="shared" si="443"/>
        <v/>
      </c>
      <c r="BD1185" t="str">
        <f t="shared" si="444"/>
        <v/>
      </c>
      <c r="BE1185" t="str">
        <f t="shared" si="445"/>
        <v/>
      </c>
      <c r="BF1185" t="str">
        <f t="shared" si="446"/>
        <v/>
      </c>
      <c r="BG1185" t="str">
        <f t="shared" si="447"/>
        <v/>
      </c>
      <c r="BH1185" t="str">
        <f t="shared" si="448"/>
        <v/>
      </c>
      <c r="BI1185" t="str">
        <f t="shared" si="449"/>
        <v/>
      </c>
      <c r="BJ1185" t="str">
        <f t="shared" si="450"/>
        <v/>
      </c>
      <c r="BK1185" t="str">
        <f t="shared" si="451"/>
        <v/>
      </c>
      <c r="BL1185" t="str">
        <f t="shared" si="452"/>
        <v/>
      </c>
      <c r="BM1185" t="str">
        <f t="shared" si="453"/>
        <v/>
      </c>
      <c r="BN1185" t="str">
        <f t="shared" si="454"/>
        <v/>
      </c>
      <c r="BO1185" t="str">
        <f t="shared" si="455"/>
        <v/>
      </c>
      <c r="BP1185" t="str">
        <f t="shared" si="456"/>
        <v/>
      </c>
      <c r="BQ1185" t="str">
        <f t="shared" si="457"/>
        <v/>
      </c>
      <c r="BR1185" t="str">
        <f t="shared" si="458"/>
        <v/>
      </c>
      <c r="BS1185" t="str">
        <f t="shared" si="459"/>
        <v/>
      </c>
      <c r="BT1185" t="str">
        <f t="shared" si="460"/>
        <v/>
      </c>
      <c r="BU1185" t="str">
        <f t="shared" si="461"/>
        <v/>
      </c>
    </row>
    <row r="1186" spans="1:73">
      <c r="A1186" s="1">
        <v>37184</v>
      </c>
      <c r="B1186" t="str">
        <f>VLOOKUP($A1186,[1]Table!$A$2:$N1326,B$1,FALSE)</f>
        <v>N02BE01</v>
      </c>
      <c r="C1186" t="str">
        <f>VLOOKUP($A1186,[1]Table!$A$2:$N1326,C$1,FALSE)</f>
        <v>ANALGETICA</v>
      </c>
      <c r="D1186" t="str">
        <f>VLOOKUP($A1186,[1]Table!$A$2:$N1326,D$1,FALSE)</f>
        <v>OVERIGE ANALGETICA EN ANTIPYRETICA</v>
      </c>
      <c r="E1186" t="str">
        <f>VLOOKUP($A1186,[1]Table!$A$2:$N1326,E$1,FALSE)</f>
        <v>PARACETAMOL</v>
      </c>
      <c r="F1186" t="str">
        <f>VLOOKUP($A1186,[1]Table!$A$2:$N1326,F$1,FALSE)</f>
        <v>PARACETAMOL 240 MG ZETPIL</v>
      </c>
      <c r="G1186" t="str">
        <f>VLOOKUP($A1186,[1]Table!$A$2:$N1326,G$1,FALSE)</f>
        <v>PARACETAMOL 240MG ZETPIL</v>
      </c>
      <c r="H1186" t="str">
        <f>VLOOKUP($A1186,[1]Table!$A$2:$N1326,H$1,FALSE)</f>
        <v>zetpil</v>
      </c>
      <c r="I1186" t="str">
        <f>VLOOKUP($A1186,[1]Table!$A$2:$N1326,I$1,FALSE)</f>
        <v>rect</v>
      </c>
      <c r="J1186">
        <f>VLOOKUP($A1186,[1]Table!$A$2:$N1326,J$1,FALSE)</f>
        <v>240</v>
      </c>
      <c r="K1186" t="str">
        <f>VLOOKUP($A1186,[1]Table!$A$2:$N1326,K$1,FALSE)</f>
        <v>mg/stuk</v>
      </c>
      <c r="L1186">
        <f>VLOOKUP($A1186,[1]Table!$A$2:$N1326,L$1,FALSE)</f>
        <v>240</v>
      </c>
      <c r="M1186" t="str">
        <f>VLOOKUP($A1186,[1]Table!$A$2:$N1326,M$1,FALSE)</f>
        <v>mg</v>
      </c>
      <c r="N1186" t="str">
        <f>VLOOKUP($A1186,[1]Table!$A$2:$N1326,N$1,FALSE)</f>
        <v>Pijn, acuut/post-operatief (kortdurend gebruik maximaal 2-3 dagen)||Milde pijn en koorts||Chronische pijn</v>
      </c>
      <c r="O1186" t="s">
        <v>52</v>
      </c>
      <c r="P1186" s="3">
        <v>60</v>
      </c>
      <c r="Q1186" s="3">
        <v>20</v>
      </c>
      <c r="R1186" s="3">
        <v>90</v>
      </c>
      <c r="S1186" s="3">
        <v>40</v>
      </c>
      <c r="T1186" s="3">
        <v>10</v>
      </c>
      <c r="U1186" s="3">
        <v>60</v>
      </c>
      <c r="V1186" s="3">
        <v>4000</v>
      </c>
      <c r="AZ1186" t="str">
        <f t="shared" si="440"/>
        <v/>
      </c>
      <c r="BA1186" t="str">
        <f t="shared" si="441"/>
        <v/>
      </c>
      <c r="BB1186" t="str">
        <f t="shared" si="442"/>
        <v/>
      </c>
      <c r="BC1186" t="str">
        <f t="shared" si="443"/>
        <v/>
      </c>
      <c r="BD1186" t="str">
        <f t="shared" si="444"/>
        <v/>
      </c>
      <c r="BE1186" t="str">
        <f t="shared" si="445"/>
        <v/>
      </c>
      <c r="BF1186" t="str">
        <f t="shared" si="446"/>
        <v/>
      </c>
      <c r="BG1186" t="str">
        <f t="shared" si="447"/>
        <v/>
      </c>
      <c r="BH1186" t="str">
        <f t="shared" si="448"/>
        <v/>
      </c>
      <c r="BI1186" t="str">
        <f t="shared" si="449"/>
        <v/>
      </c>
      <c r="BJ1186" t="str">
        <f t="shared" si="450"/>
        <v/>
      </c>
      <c r="BK1186" t="str">
        <f t="shared" si="451"/>
        <v/>
      </c>
      <c r="BL1186" t="str">
        <f t="shared" si="452"/>
        <v/>
      </c>
      <c r="BM1186" t="str">
        <f t="shared" si="453"/>
        <v/>
      </c>
      <c r="BN1186" t="str">
        <f t="shared" si="454"/>
        <v/>
      </c>
      <c r="BO1186" t="str">
        <f t="shared" si="455"/>
        <v/>
      </c>
      <c r="BP1186" t="str">
        <f t="shared" si="456"/>
        <v/>
      </c>
      <c r="BQ1186" t="str">
        <f t="shared" si="457"/>
        <v/>
      </c>
      <c r="BR1186" t="str">
        <f t="shared" si="458"/>
        <v/>
      </c>
      <c r="BS1186" t="str">
        <f t="shared" si="459"/>
        <v/>
      </c>
      <c r="BT1186" t="str">
        <f t="shared" si="460"/>
        <v/>
      </c>
      <c r="BU1186" t="str">
        <f t="shared" si="461"/>
        <v/>
      </c>
    </row>
    <row r="1187" spans="1:73">
      <c r="A1187" s="1">
        <v>152234</v>
      </c>
      <c r="B1187" t="str">
        <f>VLOOKUP($A1187,[1]Table!$A$2:$N1327,B$1,FALSE)</f>
        <v>N02BE01</v>
      </c>
      <c r="C1187" t="str">
        <f>VLOOKUP($A1187,[1]Table!$A$2:$N1327,C$1,FALSE)</f>
        <v>ANALGETICA</v>
      </c>
      <c r="D1187" t="str">
        <f>VLOOKUP($A1187,[1]Table!$A$2:$N1327,D$1,FALSE)</f>
        <v>OVERIGE ANALGETICA EN ANTIPYRETICA</v>
      </c>
      <c r="E1187" t="str">
        <f>VLOOKUP($A1187,[1]Table!$A$2:$N1327,E$1,FALSE)</f>
        <v>PARACETAMOL</v>
      </c>
      <c r="F1187" t="str">
        <f>VLOOKUP($A1187,[1]Table!$A$2:$N1327,F$1,FALSE)</f>
        <v>PARACETAMOL 360 MG ZETPIL</v>
      </c>
      <c r="G1187" t="str">
        <f>VLOOKUP($A1187,[1]Table!$A$2:$N1327,G$1,FALSE)</f>
        <v>PARACETAMOL 360MG ZETPIL</v>
      </c>
      <c r="H1187" t="str">
        <f>VLOOKUP($A1187,[1]Table!$A$2:$N1327,H$1,FALSE)</f>
        <v>zetpil</v>
      </c>
      <c r="I1187" t="str">
        <f>VLOOKUP($A1187,[1]Table!$A$2:$N1327,I$1,FALSE)</f>
        <v>rect</v>
      </c>
      <c r="J1187">
        <f>VLOOKUP($A1187,[1]Table!$A$2:$N1327,J$1,FALSE)</f>
        <v>360</v>
      </c>
      <c r="K1187" t="str">
        <f>VLOOKUP($A1187,[1]Table!$A$2:$N1327,K$1,FALSE)</f>
        <v>mg/stuk</v>
      </c>
      <c r="L1187">
        <f>VLOOKUP($A1187,[1]Table!$A$2:$N1327,L$1,FALSE)</f>
        <v>360</v>
      </c>
      <c r="M1187" t="str">
        <f>VLOOKUP($A1187,[1]Table!$A$2:$N1327,M$1,FALSE)</f>
        <v>mg</v>
      </c>
      <c r="N1187" t="str">
        <f>VLOOKUP($A1187,[1]Table!$A$2:$N1327,N$1,FALSE)</f>
        <v>Pijn, acuut/post-operatief (kortdurend gebruik maximaal 2-3 dagen)||Milde pijn en koorts||Chronische pijn</v>
      </c>
      <c r="O1187" t="s">
        <v>52</v>
      </c>
      <c r="P1187" s="3">
        <v>60</v>
      </c>
      <c r="Q1187" s="3">
        <v>20</v>
      </c>
      <c r="R1187" s="3">
        <v>90</v>
      </c>
      <c r="S1187" s="3">
        <v>40</v>
      </c>
      <c r="T1187" s="3">
        <v>10</v>
      </c>
      <c r="U1187" s="3">
        <v>60</v>
      </c>
      <c r="V1187" s="3">
        <v>4000</v>
      </c>
      <c r="AZ1187" t="str">
        <f t="shared" si="440"/>
        <v/>
      </c>
      <c r="BA1187" t="str">
        <f t="shared" si="441"/>
        <v/>
      </c>
      <c r="BB1187" t="str">
        <f t="shared" si="442"/>
        <v/>
      </c>
      <c r="BC1187" t="str">
        <f t="shared" si="443"/>
        <v/>
      </c>
      <c r="BD1187" t="str">
        <f t="shared" si="444"/>
        <v/>
      </c>
      <c r="BE1187" t="str">
        <f t="shared" si="445"/>
        <v/>
      </c>
      <c r="BF1187" t="str">
        <f t="shared" si="446"/>
        <v/>
      </c>
      <c r="BG1187" t="str">
        <f t="shared" si="447"/>
        <v/>
      </c>
      <c r="BH1187" t="str">
        <f t="shared" si="448"/>
        <v/>
      </c>
      <c r="BI1187" t="str">
        <f t="shared" si="449"/>
        <v/>
      </c>
      <c r="BJ1187" t="str">
        <f t="shared" si="450"/>
        <v/>
      </c>
      <c r="BK1187" t="str">
        <f t="shared" si="451"/>
        <v/>
      </c>
      <c r="BL1187" t="str">
        <f t="shared" si="452"/>
        <v/>
      </c>
      <c r="BM1187" t="str">
        <f t="shared" si="453"/>
        <v/>
      </c>
      <c r="BN1187" t="str">
        <f t="shared" si="454"/>
        <v/>
      </c>
      <c r="BO1187" t="str">
        <f t="shared" si="455"/>
        <v/>
      </c>
      <c r="BP1187" t="str">
        <f t="shared" si="456"/>
        <v/>
      </c>
      <c r="BQ1187" t="str">
        <f t="shared" si="457"/>
        <v/>
      </c>
      <c r="BR1187" t="str">
        <f t="shared" si="458"/>
        <v/>
      </c>
      <c r="BS1187" t="str">
        <f t="shared" si="459"/>
        <v/>
      </c>
      <c r="BT1187" t="str">
        <f t="shared" si="460"/>
        <v/>
      </c>
      <c r="BU1187" t="str">
        <f t="shared" si="461"/>
        <v/>
      </c>
    </row>
    <row r="1188" spans="1:73">
      <c r="A1188" s="1">
        <v>43966</v>
      </c>
      <c r="B1188" t="str">
        <f>VLOOKUP($A1188,[1]Table!$A$2:$N1328,B$1,FALSE)</f>
        <v>N02BE01</v>
      </c>
      <c r="C1188" t="str">
        <f>VLOOKUP($A1188,[1]Table!$A$2:$N1328,C$1,FALSE)</f>
        <v>ANALGETICA</v>
      </c>
      <c r="D1188" t="str">
        <f>VLOOKUP($A1188,[1]Table!$A$2:$N1328,D$1,FALSE)</f>
        <v>OVERIGE ANALGETICA EN ANTIPYRETICA</v>
      </c>
      <c r="E1188" t="str">
        <f>VLOOKUP($A1188,[1]Table!$A$2:$N1328,E$1,FALSE)</f>
        <v>PARACETAMOL</v>
      </c>
      <c r="F1188" t="str">
        <f>VLOOKUP($A1188,[1]Table!$A$2:$N1328,F$1,FALSE)</f>
        <v>PARACETAMOL 500 MG ZETPIL</v>
      </c>
      <c r="G1188" t="str">
        <f>VLOOKUP($A1188,[1]Table!$A$2:$N1328,G$1,FALSE)</f>
        <v>PARACETAMOL 500MG ZETPIL</v>
      </c>
      <c r="H1188" t="str">
        <f>VLOOKUP($A1188,[1]Table!$A$2:$N1328,H$1,FALSE)</f>
        <v>zetpil</v>
      </c>
      <c r="I1188" t="str">
        <f>VLOOKUP($A1188,[1]Table!$A$2:$N1328,I$1,FALSE)</f>
        <v>rect</v>
      </c>
      <c r="J1188">
        <f>VLOOKUP($A1188,[1]Table!$A$2:$N1328,J$1,FALSE)</f>
        <v>500</v>
      </c>
      <c r="K1188" t="str">
        <f>VLOOKUP($A1188,[1]Table!$A$2:$N1328,K$1,FALSE)</f>
        <v>mg/stuk</v>
      </c>
      <c r="L1188">
        <f>VLOOKUP($A1188,[1]Table!$A$2:$N1328,L$1,FALSE)</f>
        <v>500</v>
      </c>
      <c r="M1188" t="str">
        <f>VLOOKUP($A1188,[1]Table!$A$2:$N1328,M$1,FALSE)</f>
        <v>mg</v>
      </c>
      <c r="N1188" t="str">
        <f>VLOOKUP($A1188,[1]Table!$A$2:$N1328,N$1,FALSE)</f>
        <v>Pijn, acuut/post-operatief (kortdurend gebruik maximaal 2-3 dagen)||Milde pijn en koorts||Chronische pijn</v>
      </c>
      <c r="O1188" t="s">
        <v>52</v>
      </c>
      <c r="P1188" s="3">
        <v>60</v>
      </c>
      <c r="Q1188" s="3">
        <v>20</v>
      </c>
      <c r="R1188" s="3">
        <v>90</v>
      </c>
      <c r="S1188" s="3">
        <v>40</v>
      </c>
      <c r="T1188" s="3">
        <v>10</v>
      </c>
      <c r="U1188" s="3">
        <v>60</v>
      </c>
      <c r="V1188" s="3">
        <v>4000</v>
      </c>
      <c r="AZ1188" t="str">
        <f t="shared" si="440"/>
        <v/>
      </c>
      <c r="BA1188" t="str">
        <f t="shared" si="441"/>
        <v/>
      </c>
      <c r="BB1188" t="str">
        <f t="shared" si="442"/>
        <v/>
      </c>
      <c r="BC1188" t="str">
        <f t="shared" si="443"/>
        <v/>
      </c>
      <c r="BD1188" t="str">
        <f t="shared" si="444"/>
        <v/>
      </c>
      <c r="BE1188" t="str">
        <f t="shared" si="445"/>
        <v/>
      </c>
      <c r="BF1188" t="str">
        <f t="shared" si="446"/>
        <v/>
      </c>
      <c r="BG1188" t="str">
        <f t="shared" si="447"/>
        <v/>
      </c>
      <c r="BH1188" t="str">
        <f t="shared" si="448"/>
        <v/>
      </c>
      <c r="BI1188" t="str">
        <f t="shared" si="449"/>
        <v/>
      </c>
      <c r="BJ1188" t="str">
        <f t="shared" si="450"/>
        <v/>
      </c>
      <c r="BK1188" t="str">
        <f t="shared" si="451"/>
        <v/>
      </c>
      <c r="BL1188" t="str">
        <f t="shared" si="452"/>
        <v/>
      </c>
      <c r="BM1188" t="str">
        <f t="shared" si="453"/>
        <v/>
      </c>
      <c r="BN1188" t="str">
        <f t="shared" si="454"/>
        <v/>
      </c>
      <c r="BO1188" t="str">
        <f t="shared" si="455"/>
        <v/>
      </c>
      <c r="BP1188" t="str">
        <f t="shared" si="456"/>
        <v/>
      </c>
      <c r="BQ1188" t="str">
        <f t="shared" si="457"/>
        <v/>
      </c>
      <c r="BR1188" t="str">
        <f t="shared" si="458"/>
        <v/>
      </c>
      <c r="BS1188" t="str">
        <f t="shared" si="459"/>
        <v/>
      </c>
      <c r="BT1188" t="str">
        <f t="shared" si="460"/>
        <v/>
      </c>
      <c r="BU1188" t="str">
        <f t="shared" si="461"/>
        <v/>
      </c>
    </row>
    <row r="1189" spans="1:73">
      <c r="A1189" s="1">
        <v>43974</v>
      </c>
      <c r="B1189" t="str">
        <f>VLOOKUP($A1189,[1]Table!$A$2:$N1329,B$1,FALSE)</f>
        <v>N02BE01</v>
      </c>
      <c r="C1189" t="str">
        <f>VLOOKUP($A1189,[1]Table!$A$2:$N1329,C$1,FALSE)</f>
        <v>ANALGETICA</v>
      </c>
      <c r="D1189" t="str">
        <f>VLOOKUP($A1189,[1]Table!$A$2:$N1329,D$1,FALSE)</f>
        <v>OVERIGE ANALGETICA EN ANTIPYRETICA</v>
      </c>
      <c r="E1189" t="str">
        <f>VLOOKUP($A1189,[1]Table!$A$2:$N1329,E$1,FALSE)</f>
        <v>PARACETAMOL</v>
      </c>
      <c r="F1189" t="str">
        <f>VLOOKUP($A1189,[1]Table!$A$2:$N1329,F$1,FALSE)</f>
        <v>PARACETAMOL 1000 MG ZETPIL</v>
      </c>
      <c r="G1189" t="str">
        <f>VLOOKUP($A1189,[1]Table!$A$2:$N1329,G$1,FALSE)</f>
        <v>PARACETAMOL 1000MG ZETPIL</v>
      </c>
      <c r="H1189" t="str">
        <f>VLOOKUP($A1189,[1]Table!$A$2:$N1329,H$1,FALSE)</f>
        <v>zetpil</v>
      </c>
      <c r="I1189" t="str">
        <f>VLOOKUP($A1189,[1]Table!$A$2:$N1329,I$1,FALSE)</f>
        <v>rect</v>
      </c>
      <c r="J1189">
        <f>VLOOKUP($A1189,[1]Table!$A$2:$N1329,J$1,FALSE)</f>
        <v>1000</v>
      </c>
      <c r="K1189" t="str">
        <f>VLOOKUP($A1189,[1]Table!$A$2:$N1329,K$1,FALSE)</f>
        <v>mg/stuk</v>
      </c>
      <c r="L1189">
        <f>VLOOKUP($A1189,[1]Table!$A$2:$N1329,L$1,FALSE)</f>
        <v>1000</v>
      </c>
      <c r="M1189" t="str">
        <f>VLOOKUP($A1189,[1]Table!$A$2:$N1329,M$1,FALSE)</f>
        <v>mg</v>
      </c>
      <c r="N1189" t="str">
        <f>VLOOKUP($A1189,[1]Table!$A$2:$N1329,N$1,FALSE)</f>
        <v>Pijn, acuut/post-operatief (kortdurend gebruik maximaal 2-3 dagen)||Milde pijn en koorts||Chronische pijn</v>
      </c>
      <c r="O1189" t="s">
        <v>52</v>
      </c>
      <c r="P1189" s="3">
        <v>60</v>
      </c>
      <c r="Q1189" s="3">
        <v>20</v>
      </c>
      <c r="R1189" s="3">
        <v>90</v>
      </c>
      <c r="S1189" s="3">
        <v>40</v>
      </c>
      <c r="T1189" s="3">
        <v>10</v>
      </c>
      <c r="U1189" s="3">
        <v>60</v>
      </c>
      <c r="V1189" s="3">
        <v>4000</v>
      </c>
      <c r="AZ1189" t="str">
        <f t="shared" si="440"/>
        <v/>
      </c>
      <c r="BA1189" t="str">
        <f t="shared" si="441"/>
        <v/>
      </c>
      <c r="BB1189" t="str">
        <f t="shared" si="442"/>
        <v/>
      </c>
      <c r="BC1189" t="str">
        <f t="shared" si="443"/>
        <v/>
      </c>
      <c r="BD1189" t="str">
        <f t="shared" si="444"/>
        <v/>
      </c>
      <c r="BE1189" t="str">
        <f t="shared" si="445"/>
        <v/>
      </c>
      <c r="BF1189" t="str">
        <f t="shared" si="446"/>
        <v/>
      </c>
      <c r="BG1189" t="str">
        <f t="shared" si="447"/>
        <v/>
      </c>
      <c r="BH1189" t="str">
        <f t="shared" si="448"/>
        <v/>
      </c>
      <c r="BI1189" t="str">
        <f t="shared" si="449"/>
        <v/>
      </c>
      <c r="BJ1189" t="str">
        <f t="shared" si="450"/>
        <v/>
      </c>
      <c r="BK1189" t="str">
        <f t="shared" si="451"/>
        <v/>
      </c>
      <c r="BL1189" t="str">
        <f t="shared" si="452"/>
        <v/>
      </c>
      <c r="BM1189" t="str">
        <f t="shared" si="453"/>
        <v/>
      </c>
      <c r="BN1189" t="str">
        <f t="shared" si="454"/>
        <v/>
      </c>
      <c r="BO1189" t="str">
        <f t="shared" si="455"/>
        <v/>
      </c>
      <c r="BP1189" t="str">
        <f t="shared" si="456"/>
        <v/>
      </c>
      <c r="BQ1189" t="str">
        <f t="shared" si="457"/>
        <v/>
      </c>
      <c r="BR1189" t="str">
        <f t="shared" si="458"/>
        <v/>
      </c>
      <c r="BS1189" t="str">
        <f t="shared" si="459"/>
        <v/>
      </c>
      <c r="BT1189" t="str">
        <f t="shared" si="460"/>
        <v/>
      </c>
      <c r="BU1189" t="str">
        <f t="shared" si="461"/>
        <v/>
      </c>
    </row>
    <row r="1190" spans="1:73">
      <c r="A1190" s="1">
        <v>52957</v>
      </c>
      <c r="B1190" t="str">
        <f>VLOOKUP($A1190,[1]Table!$A$2:$N1330,B$1,FALSE)</f>
        <v>N02BE51</v>
      </c>
      <c r="C1190" t="str">
        <f>VLOOKUP($A1190,[1]Table!$A$2:$N1330,C$1,FALSE)</f>
        <v>ANALGETICA</v>
      </c>
      <c r="D1190" t="str">
        <f>VLOOKUP($A1190,[1]Table!$A$2:$N1330,D$1,FALSE)</f>
        <v>OVERIGE ANALGETICA EN ANTIPYRETICA</v>
      </c>
      <c r="E1190" t="str">
        <f>VLOOKUP($A1190,[1]Table!$A$2:$N1330,E$1,FALSE)</f>
        <v>PARACETAMOL/CODEINE</v>
      </c>
      <c r="F1190" t="str">
        <f>VLOOKUP($A1190,[1]Table!$A$2:$N1330,F$1,FALSE)</f>
        <v>PARACETAMOL+CODEINE 500/10 MG TABLET</v>
      </c>
      <c r="G1190" t="str">
        <f>VLOOKUP($A1190,[1]Table!$A$2:$N1330,G$1,FALSE)</f>
        <v>PARACET/CODEIN 500/10MG TAB</v>
      </c>
      <c r="H1190" t="str">
        <f>VLOOKUP($A1190,[1]Table!$A$2:$N1330,H$1,FALSE)</f>
        <v>tablet</v>
      </c>
      <c r="I1190" t="str">
        <f>VLOOKUP($A1190,[1]Table!$A$2:$N1330,I$1,FALSE)</f>
        <v>or</v>
      </c>
      <c r="J1190">
        <f>VLOOKUP($A1190,[1]Table!$A$2:$N1330,J$1,FALSE)</f>
        <v>500</v>
      </c>
      <c r="K1190" t="str">
        <f>VLOOKUP($A1190,[1]Table!$A$2:$N1330,K$1,FALSE)</f>
        <v>mg/stuk</v>
      </c>
      <c r="L1190">
        <f>VLOOKUP($A1190,[1]Table!$A$2:$N1330,L$1,FALSE)</f>
        <v>250</v>
      </c>
      <c r="M1190" t="str">
        <f>VLOOKUP($A1190,[1]Table!$A$2:$N1330,M$1,FALSE)</f>
        <v>mg</v>
      </c>
      <c r="N1190" t="str">
        <f>VLOOKUP($A1190,[1]Table!$A$2:$N1330,N$1,FALSE)</f>
        <v>Milde pijn en koorts</v>
      </c>
      <c r="O1190" t="str">
        <f>ConcatenateRange(AZ1190:BU1190,"||")</f>
        <v/>
      </c>
      <c r="AZ1190" t="str">
        <f t="shared" si="440"/>
        <v/>
      </c>
      <c r="BA1190" t="str">
        <f t="shared" si="441"/>
        <v/>
      </c>
      <c r="BB1190" t="str">
        <f t="shared" si="442"/>
        <v/>
      </c>
      <c r="BC1190" t="str">
        <f t="shared" si="443"/>
        <v/>
      </c>
      <c r="BD1190" t="str">
        <f t="shared" si="444"/>
        <v/>
      </c>
      <c r="BE1190" t="str">
        <f t="shared" si="445"/>
        <v/>
      </c>
      <c r="BF1190" t="str">
        <f t="shared" si="446"/>
        <v/>
      </c>
      <c r="BG1190" t="str">
        <f t="shared" si="447"/>
        <v/>
      </c>
      <c r="BH1190" t="str">
        <f t="shared" si="448"/>
        <v/>
      </c>
      <c r="BI1190" t="str">
        <f t="shared" si="449"/>
        <v/>
      </c>
      <c r="BJ1190" t="str">
        <f t="shared" si="450"/>
        <v/>
      </c>
      <c r="BK1190" t="str">
        <f t="shared" si="451"/>
        <v/>
      </c>
      <c r="BL1190" t="str">
        <f t="shared" si="452"/>
        <v/>
      </c>
      <c r="BM1190" t="str">
        <f t="shared" si="453"/>
        <v/>
      </c>
      <c r="BN1190" t="str">
        <f t="shared" si="454"/>
        <v/>
      </c>
      <c r="BO1190" t="str">
        <f t="shared" si="455"/>
        <v/>
      </c>
      <c r="BP1190" t="str">
        <f t="shared" si="456"/>
        <v/>
      </c>
      <c r="BQ1190" t="str">
        <f t="shared" si="457"/>
        <v/>
      </c>
      <c r="BR1190" t="str">
        <f t="shared" si="458"/>
        <v/>
      </c>
      <c r="BS1190" t="str">
        <f t="shared" si="459"/>
        <v/>
      </c>
      <c r="BT1190" t="str">
        <f t="shared" si="460"/>
        <v/>
      </c>
      <c r="BU1190" t="str">
        <f t="shared" si="461"/>
        <v/>
      </c>
    </row>
    <row r="1191" spans="1:73">
      <c r="A1191" s="1">
        <v>43990</v>
      </c>
      <c r="B1191" t="str">
        <f>VLOOKUP($A1191,[1]Table!$A$2:$N1331,B$1,FALSE)</f>
        <v>N02BE51</v>
      </c>
      <c r="C1191" t="str">
        <f>VLOOKUP($A1191,[1]Table!$A$2:$N1331,C$1,FALSE)</f>
        <v>ANALGETICA</v>
      </c>
      <c r="D1191" t="str">
        <f>VLOOKUP($A1191,[1]Table!$A$2:$N1331,D$1,FALSE)</f>
        <v>OVERIGE ANALGETICA EN ANTIPYRETICA</v>
      </c>
      <c r="E1191" t="str">
        <f>VLOOKUP($A1191,[1]Table!$A$2:$N1331,E$1,FALSE)</f>
        <v>PARACETAMOL/CODEINE</v>
      </c>
      <c r="F1191" t="str">
        <f>VLOOKUP($A1191,[1]Table!$A$2:$N1331,F$1,FALSE)</f>
        <v>PARACETAMOL/CODEINE 500/10 MG ZETPIL</v>
      </c>
      <c r="G1191" t="str">
        <f>VLOOKUP($A1191,[1]Table!$A$2:$N1331,G$1,FALSE)</f>
        <v>PARACET/CODEIN 500/10MGZETP</v>
      </c>
      <c r="H1191" t="str">
        <f>VLOOKUP($A1191,[1]Table!$A$2:$N1331,H$1,FALSE)</f>
        <v>zetpil</v>
      </c>
      <c r="I1191" t="str">
        <f>VLOOKUP($A1191,[1]Table!$A$2:$N1331,I$1,FALSE)</f>
        <v>rect</v>
      </c>
      <c r="J1191">
        <f>VLOOKUP($A1191,[1]Table!$A$2:$N1331,J$1,FALSE)</f>
        <v>500</v>
      </c>
      <c r="K1191" t="str">
        <f>VLOOKUP($A1191,[1]Table!$A$2:$N1331,K$1,FALSE)</f>
        <v>mg/stuk</v>
      </c>
      <c r="L1191">
        <f>VLOOKUP($A1191,[1]Table!$A$2:$N1331,L$1,FALSE)</f>
        <v>500</v>
      </c>
      <c r="M1191" t="str">
        <f>VLOOKUP($A1191,[1]Table!$A$2:$N1331,M$1,FALSE)</f>
        <v>mg</v>
      </c>
      <c r="N1191" t="str">
        <f>VLOOKUP($A1191,[1]Table!$A$2:$N1331,N$1,FALSE)</f>
        <v>Milde pijn en koorts</v>
      </c>
      <c r="O1191" t="str">
        <f>ConcatenateRange(AZ1191:BU1191,"||")</f>
        <v/>
      </c>
      <c r="AZ1191" t="str">
        <f t="shared" si="440"/>
        <v/>
      </c>
      <c r="BA1191" t="str">
        <f t="shared" si="441"/>
        <v/>
      </c>
      <c r="BB1191" t="str">
        <f t="shared" si="442"/>
        <v/>
      </c>
      <c r="BC1191" t="str">
        <f t="shared" si="443"/>
        <v/>
      </c>
      <c r="BD1191" t="str">
        <f t="shared" si="444"/>
        <v/>
      </c>
      <c r="BE1191" t="str">
        <f t="shared" si="445"/>
        <v/>
      </c>
      <c r="BF1191" t="str">
        <f t="shared" si="446"/>
        <v/>
      </c>
      <c r="BG1191" t="str">
        <f t="shared" si="447"/>
        <v/>
      </c>
      <c r="BH1191" t="str">
        <f t="shared" si="448"/>
        <v/>
      </c>
      <c r="BI1191" t="str">
        <f t="shared" si="449"/>
        <v/>
      </c>
      <c r="BJ1191" t="str">
        <f t="shared" si="450"/>
        <v/>
      </c>
      <c r="BK1191" t="str">
        <f t="shared" si="451"/>
        <v/>
      </c>
      <c r="BL1191" t="str">
        <f t="shared" si="452"/>
        <v/>
      </c>
      <c r="BM1191" t="str">
        <f t="shared" si="453"/>
        <v/>
      </c>
      <c r="BN1191" t="str">
        <f t="shared" si="454"/>
        <v/>
      </c>
      <c r="BO1191" t="str">
        <f t="shared" si="455"/>
        <v/>
      </c>
      <c r="BP1191" t="str">
        <f t="shared" si="456"/>
        <v/>
      </c>
      <c r="BQ1191" t="str">
        <f t="shared" si="457"/>
        <v/>
      </c>
      <c r="BR1191" t="str">
        <f t="shared" si="458"/>
        <v/>
      </c>
      <c r="BS1191" t="str">
        <f t="shared" si="459"/>
        <v/>
      </c>
      <c r="BT1191" t="str">
        <f t="shared" si="460"/>
        <v/>
      </c>
      <c r="BU1191" t="str">
        <f t="shared" si="461"/>
        <v/>
      </c>
    </row>
    <row r="1192" spans="1:73">
      <c r="A1192" s="1">
        <v>144878</v>
      </c>
      <c r="B1192" t="str">
        <f>VLOOKUP($A1192,[1]Table!$A$2:$N1332,B$1,FALSE)</f>
        <v>N02AA59</v>
      </c>
      <c r="C1192" t="str">
        <f>VLOOKUP($A1192,[1]Table!$A$2:$N1332,C$1,FALSE)</f>
        <v>ANALGETICA</v>
      </c>
      <c r="D1192" t="str">
        <f>VLOOKUP($A1192,[1]Table!$A$2:$N1332,D$1,FALSE)</f>
        <v>OPIOIDEN</v>
      </c>
      <c r="E1192" t="str">
        <f>VLOOKUP($A1192,[1]Table!$A$2:$N1332,E$1,FALSE)</f>
        <v>PARACETAMOL/CODEINE</v>
      </c>
      <c r="F1192" t="str">
        <f>VLOOKUP($A1192,[1]Table!$A$2:$N1332,F$1,FALSE)</f>
        <v>PARACETAMOL/CODEINE 500/20 MG ZETPIL</v>
      </c>
      <c r="G1192" t="str">
        <f>VLOOKUP($A1192,[1]Table!$A$2:$N1332,G$1,FALSE)</f>
        <v>PARACET/CODEIN 500/20MG ZET</v>
      </c>
      <c r="H1192" t="str">
        <f>VLOOKUP($A1192,[1]Table!$A$2:$N1332,H$1,FALSE)</f>
        <v>zetpil</v>
      </c>
      <c r="I1192" t="str">
        <f>VLOOKUP($A1192,[1]Table!$A$2:$N1332,I$1,FALSE)</f>
        <v>rect</v>
      </c>
      <c r="J1192">
        <f>VLOOKUP($A1192,[1]Table!$A$2:$N1332,J$1,FALSE)</f>
        <v>500</v>
      </c>
      <c r="K1192" t="str">
        <f>VLOOKUP($A1192,[1]Table!$A$2:$N1332,K$1,FALSE)</f>
        <v>mg/stuk</v>
      </c>
      <c r="L1192">
        <f>VLOOKUP($A1192,[1]Table!$A$2:$N1332,L$1,FALSE)</f>
        <v>500</v>
      </c>
      <c r="M1192" t="str">
        <f>VLOOKUP($A1192,[1]Table!$A$2:$N1332,M$1,FALSE)</f>
        <v>mg</v>
      </c>
      <c r="N1192" t="str">
        <f>VLOOKUP($A1192,[1]Table!$A$2:$N1332,N$1,FALSE)</f>
        <v>Acute, matige pijn</v>
      </c>
      <c r="O1192" t="str">
        <f>ConcatenateRange(AZ1192:BU1192,"||")</f>
        <v/>
      </c>
      <c r="AZ1192" t="str">
        <f t="shared" si="440"/>
        <v/>
      </c>
      <c r="BA1192" t="str">
        <f t="shared" si="441"/>
        <v/>
      </c>
      <c r="BB1192" t="str">
        <f t="shared" si="442"/>
        <v/>
      </c>
      <c r="BC1192" t="str">
        <f t="shared" si="443"/>
        <v/>
      </c>
      <c r="BD1192" t="str">
        <f t="shared" si="444"/>
        <v/>
      </c>
      <c r="BE1192" t="str">
        <f t="shared" si="445"/>
        <v/>
      </c>
      <c r="BF1192" t="str">
        <f t="shared" si="446"/>
        <v/>
      </c>
      <c r="BG1192" t="str">
        <f t="shared" si="447"/>
        <v/>
      </c>
      <c r="BH1192" t="str">
        <f t="shared" si="448"/>
        <v/>
      </c>
      <c r="BI1192" t="str">
        <f t="shared" si="449"/>
        <v/>
      </c>
      <c r="BJ1192" t="str">
        <f t="shared" si="450"/>
        <v/>
      </c>
      <c r="BK1192" t="str">
        <f t="shared" si="451"/>
        <v/>
      </c>
      <c r="BL1192" t="str">
        <f t="shared" si="452"/>
        <v/>
      </c>
      <c r="BM1192" t="str">
        <f t="shared" si="453"/>
        <v/>
      </c>
      <c r="BN1192" t="str">
        <f t="shared" si="454"/>
        <v/>
      </c>
      <c r="BO1192" t="str">
        <f t="shared" si="455"/>
        <v/>
      </c>
      <c r="BP1192" t="str">
        <f t="shared" si="456"/>
        <v/>
      </c>
      <c r="BQ1192" t="str">
        <f t="shared" si="457"/>
        <v/>
      </c>
      <c r="BR1192" t="str">
        <f t="shared" si="458"/>
        <v/>
      </c>
      <c r="BS1192" t="str">
        <f t="shared" si="459"/>
        <v/>
      </c>
      <c r="BT1192" t="str">
        <f t="shared" si="460"/>
        <v/>
      </c>
      <c r="BU1192" t="str">
        <f t="shared" si="461"/>
        <v/>
      </c>
    </row>
    <row r="1193" spans="1:73">
      <c r="A1193" s="1">
        <v>61476</v>
      </c>
      <c r="B1193" t="str">
        <f>VLOOKUP($A1193,[1]Table!$A$2:$N1333,B$1,FALSE)</f>
        <v>N02BE51</v>
      </c>
      <c r="C1193" t="str">
        <f>VLOOKUP($A1193,[1]Table!$A$2:$N1333,C$1,FALSE)</f>
        <v>ANALGETICA</v>
      </c>
      <c r="D1193" t="str">
        <f>VLOOKUP($A1193,[1]Table!$A$2:$N1333,D$1,FALSE)</f>
        <v>OVERIGE ANALGETICA EN ANTIPYRETICA</v>
      </c>
      <c r="E1193" t="str">
        <f>VLOOKUP($A1193,[1]Table!$A$2:$N1333,E$1,FALSE)</f>
        <v>PARACETAMOL/COFFEINE</v>
      </c>
      <c r="F1193" t="str">
        <f>VLOOKUP($A1193,[1]Table!$A$2:$N1333,F$1,FALSE)</f>
        <v>PARACETAMOL+COFFEINE 500/50 MG TABLET</v>
      </c>
      <c r="G1193" t="str">
        <f>VLOOKUP($A1193,[1]Table!$A$2:$N1333,G$1,FALSE)</f>
        <v>PARACETAMOL/COFF 500/50TAB</v>
      </c>
      <c r="H1193" t="str">
        <f>VLOOKUP($A1193,[1]Table!$A$2:$N1333,H$1,FALSE)</f>
        <v>tablet</v>
      </c>
      <c r="I1193" t="str">
        <f>VLOOKUP($A1193,[1]Table!$A$2:$N1333,I$1,FALSE)</f>
        <v>or</v>
      </c>
      <c r="J1193">
        <f>VLOOKUP($A1193,[1]Table!$A$2:$N1333,J$1,FALSE)</f>
        <v>500</v>
      </c>
      <c r="K1193" t="str">
        <f>VLOOKUP($A1193,[1]Table!$A$2:$N1333,K$1,FALSE)</f>
        <v>mg/stuk</v>
      </c>
      <c r="L1193">
        <f>VLOOKUP($A1193,[1]Table!$A$2:$N1333,L$1,FALSE)</f>
        <v>250</v>
      </c>
      <c r="M1193" t="str">
        <f>VLOOKUP($A1193,[1]Table!$A$2:$N1333,M$1,FALSE)</f>
        <v>mg</v>
      </c>
      <c r="N1193" t="str">
        <f>VLOOKUP($A1193,[1]Table!$A$2:$N1333,N$1,FALSE)</f>
        <v>Milde pijn en koorts</v>
      </c>
      <c r="O1193" t="str">
        <f>ConcatenateRange(AZ1193:BU1193,"||")</f>
        <v/>
      </c>
      <c r="AZ1193" t="str">
        <f t="shared" si="440"/>
        <v/>
      </c>
      <c r="BA1193" t="str">
        <f t="shared" si="441"/>
        <v/>
      </c>
      <c r="BB1193" t="str">
        <f t="shared" si="442"/>
        <v/>
      </c>
      <c r="BC1193" t="str">
        <f t="shared" si="443"/>
        <v/>
      </c>
      <c r="BD1193" t="str">
        <f t="shared" si="444"/>
        <v/>
      </c>
      <c r="BE1193" t="str">
        <f t="shared" si="445"/>
        <v/>
      </c>
      <c r="BF1193" t="str">
        <f t="shared" si="446"/>
        <v/>
      </c>
      <c r="BG1193" t="str">
        <f t="shared" si="447"/>
        <v/>
      </c>
      <c r="BH1193" t="str">
        <f t="shared" si="448"/>
        <v/>
      </c>
      <c r="BI1193" t="str">
        <f t="shared" si="449"/>
        <v/>
      </c>
      <c r="BJ1193" t="str">
        <f t="shared" si="450"/>
        <v/>
      </c>
      <c r="BK1193" t="str">
        <f t="shared" si="451"/>
        <v/>
      </c>
      <c r="BL1193" t="str">
        <f t="shared" si="452"/>
        <v/>
      </c>
      <c r="BM1193" t="str">
        <f t="shared" si="453"/>
        <v/>
      </c>
      <c r="BN1193" t="str">
        <f t="shared" si="454"/>
        <v/>
      </c>
      <c r="BO1193" t="str">
        <f t="shared" si="455"/>
        <v/>
      </c>
      <c r="BP1193" t="str">
        <f t="shared" si="456"/>
        <v/>
      </c>
      <c r="BQ1193" t="str">
        <f t="shared" si="457"/>
        <v/>
      </c>
      <c r="BR1193" t="str">
        <f t="shared" si="458"/>
        <v/>
      </c>
      <c r="BS1193" t="str">
        <f t="shared" si="459"/>
        <v/>
      </c>
      <c r="BT1193" t="str">
        <f t="shared" si="460"/>
        <v/>
      </c>
      <c r="BU1193" t="str">
        <f t="shared" si="461"/>
        <v/>
      </c>
    </row>
    <row r="1194" spans="1:73">
      <c r="A1194" s="1">
        <v>90964</v>
      </c>
      <c r="B1194" t="str">
        <f>VLOOKUP($A1194,[1]Table!$A$2:$N1336,B$1,FALSE)</f>
        <v>A07AA06</v>
      </c>
      <c r="C1194" t="str">
        <f>VLOOKUP($A1194,[1]Table!$A$2:$N1336,C$1,FALSE)</f>
        <v>ANTIDIARRHOICA, ANTI-INFLAMM./ANTIMICROBIELE DARMMIDDELEN</v>
      </c>
      <c r="D1194" t="str">
        <f>VLOOKUP($A1194,[1]Table!$A$2:$N1336,D$1,FALSE)</f>
        <v>ANTIMICROBIELE DARMMIDDELEN</v>
      </c>
      <c r="E1194" t="str">
        <f>VLOOKUP($A1194,[1]Table!$A$2:$N1336,E$1,FALSE)</f>
        <v>PAROMOMYCINE</v>
      </c>
      <c r="F1194" t="str">
        <f>VLOOKUP($A1194,[1]Table!$A$2:$N1336,F$1,FALSE)</f>
        <v>HUMATIN 250 MG CAPSULE</v>
      </c>
      <c r="G1194" t="str">
        <f>VLOOKUP($A1194,[1]Table!$A$2:$N1336,G$1,FALSE)</f>
        <v>PAROMOMYCINE 250MG CAPSULE</v>
      </c>
      <c r="H1194" t="str">
        <f>VLOOKUP($A1194,[1]Table!$A$2:$N1336,H$1,FALSE)</f>
        <v>capsule</v>
      </c>
      <c r="I1194" t="str">
        <f>VLOOKUP($A1194,[1]Table!$A$2:$N1336,I$1,FALSE)</f>
        <v>or</v>
      </c>
      <c r="J1194">
        <f>VLOOKUP($A1194,[1]Table!$A$2:$N1336,J$1,FALSE)</f>
        <v>250</v>
      </c>
      <c r="K1194" t="str">
        <f>VLOOKUP($A1194,[1]Table!$A$2:$N1336,K$1,FALSE)</f>
        <v>mg/stuk</v>
      </c>
      <c r="L1194">
        <f>VLOOKUP($A1194,[1]Table!$A$2:$N1336,L$1,FALSE)</f>
        <v>250</v>
      </c>
      <c r="M1194" t="str">
        <f>VLOOKUP($A1194,[1]Table!$A$2:$N1336,M$1,FALSE)</f>
        <v>mg</v>
      </c>
      <c r="N1194" t="str">
        <f>VLOOKUP($A1194,[1]Table!$A$2:$N1336,N$1,FALSE)</f>
        <v>Amoebiasis, diëntamoeba fragilis</v>
      </c>
      <c r="O1194" t="str">
        <f>ConcatenateRange(AZ1194:BU1194,"||")</f>
        <v/>
      </c>
      <c r="AZ1194" t="str">
        <f t="shared" si="440"/>
        <v/>
      </c>
      <c r="BA1194" t="str">
        <f t="shared" si="441"/>
        <v/>
      </c>
      <c r="BB1194" t="str">
        <f t="shared" si="442"/>
        <v/>
      </c>
      <c r="BC1194" t="str">
        <f t="shared" si="443"/>
        <v/>
      </c>
      <c r="BD1194" t="str">
        <f t="shared" si="444"/>
        <v/>
      </c>
      <c r="BE1194" t="str">
        <f t="shared" si="445"/>
        <v/>
      </c>
      <c r="BF1194" t="str">
        <f t="shared" si="446"/>
        <v/>
      </c>
      <c r="BG1194" t="str">
        <f t="shared" si="447"/>
        <v/>
      </c>
      <c r="BH1194" t="str">
        <f t="shared" si="448"/>
        <v/>
      </c>
      <c r="BI1194" t="str">
        <f t="shared" si="449"/>
        <v/>
      </c>
      <c r="BJ1194" t="str">
        <f t="shared" si="450"/>
        <v/>
      </c>
      <c r="BK1194" t="str">
        <f t="shared" si="451"/>
        <v/>
      </c>
      <c r="BL1194" t="str">
        <f t="shared" si="452"/>
        <v/>
      </c>
      <c r="BM1194" t="str">
        <f t="shared" si="453"/>
        <v/>
      </c>
      <c r="BN1194" t="str">
        <f t="shared" si="454"/>
        <v/>
      </c>
      <c r="BO1194" t="str">
        <f t="shared" si="455"/>
        <v/>
      </c>
      <c r="BP1194" t="str">
        <f t="shared" si="456"/>
        <v/>
      </c>
      <c r="BQ1194" t="str">
        <f t="shared" si="457"/>
        <v/>
      </c>
      <c r="BR1194" t="str">
        <f t="shared" si="458"/>
        <v/>
      </c>
      <c r="BS1194" t="str">
        <f t="shared" si="459"/>
        <v/>
      </c>
      <c r="BT1194" t="str">
        <f t="shared" si="460"/>
        <v/>
      </c>
      <c r="BU1194" t="str">
        <f t="shared" si="461"/>
        <v/>
      </c>
    </row>
    <row r="1195" spans="1:73">
      <c r="A1195" s="1">
        <v>163368</v>
      </c>
      <c r="B1195" t="str">
        <f>VLOOKUP($A1195,[1]Table!$A$2:$N1337,B$1,FALSE)</f>
        <v>L01XX24</v>
      </c>
      <c r="C1195" t="str">
        <f>VLOOKUP($A1195,[1]Table!$A$2:$N1337,C$1,FALSE)</f>
        <v>ONCOLYTICA</v>
      </c>
      <c r="D1195" t="str">
        <f>VLOOKUP($A1195,[1]Table!$A$2:$N1337,D$1,FALSE)</f>
        <v>OVERIGE ONCOLYTICA</v>
      </c>
      <c r="E1195" t="str">
        <f>VLOOKUP($A1195,[1]Table!$A$2:$N1337,E$1,FALSE)</f>
        <v>PEGASPARGASE</v>
      </c>
      <c r="F1195" t="str">
        <f>VLOOKUP($A1195,[1]Table!$A$2:$N1337,F$1,FALSE)</f>
        <v>ONCASPAR (PEGASPARGASE) 3750 IE=5ML</v>
      </c>
      <c r="G1195" t="str">
        <f>VLOOKUP($A1195,[1]Table!$A$2:$N1337,G$1,FALSE)</f>
        <v>PEGASPARGASE 750E/ML INJ/IN</v>
      </c>
      <c r="H1195" t="str">
        <f>VLOOKUP($A1195,[1]Table!$A$2:$N1337,H$1,FALSE)</f>
        <v>injectie/infusieoplossing</v>
      </c>
      <c r="I1195" t="str">
        <f>VLOOKUP($A1195,[1]Table!$A$2:$N1337,I$1,FALSE)</f>
        <v>im||iv</v>
      </c>
      <c r="J1195">
        <f>VLOOKUP($A1195,[1]Table!$A$2:$N1337,J$1,FALSE)</f>
        <v>750</v>
      </c>
      <c r="K1195" t="str">
        <f>VLOOKUP($A1195,[1]Table!$A$2:$N1337,K$1,FALSE)</f>
        <v>E/ml</v>
      </c>
      <c r="L1195">
        <f>VLOOKUP($A1195,[1]Table!$A$2:$N1337,L$1,FALSE)</f>
        <v>750</v>
      </c>
      <c r="M1195" t="str">
        <f>VLOOKUP($A1195,[1]Table!$A$2:$N1337,M$1,FALSE)</f>
        <v>E</v>
      </c>
      <c r="N1195" t="str">
        <f>VLOOKUP($A1195,[1]Table!$A$2:$N1337,N$1,FALSE)</f>
        <v>Acute lymfatische leukemie</v>
      </c>
      <c r="O1195" t="str">
        <f>ConcatenateRange(AZ1195:BU1195,"||")</f>
        <v/>
      </c>
      <c r="AZ1195" t="str">
        <f t="shared" si="440"/>
        <v/>
      </c>
      <c r="BA1195" t="str">
        <f t="shared" si="441"/>
        <v/>
      </c>
      <c r="BB1195" t="str">
        <f t="shared" si="442"/>
        <v/>
      </c>
      <c r="BC1195" t="str">
        <f t="shared" si="443"/>
        <v/>
      </c>
      <c r="BD1195" t="str">
        <f t="shared" si="444"/>
        <v/>
      </c>
      <c r="BE1195" t="str">
        <f t="shared" si="445"/>
        <v/>
      </c>
      <c r="BF1195" t="str">
        <f t="shared" si="446"/>
        <v/>
      </c>
      <c r="BG1195" t="str">
        <f t="shared" si="447"/>
        <v/>
      </c>
      <c r="BH1195" t="str">
        <f t="shared" si="448"/>
        <v/>
      </c>
      <c r="BI1195" t="str">
        <f t="shared" si="449"/>
        <v/>
      </c>
      <c r="BJ1195" t="str">
        <f t="shared" si="450"/>
        <v/>
      </c>
      <c r="BK1195" t="str">
        <f t="shared" si="451"/>
        <v/>
      </c>
      <c r="BL1195" t="str">
        <f t="shared" si="452"/>
        <v/>
      </c>
      <c r="BM1195" t="str">
        <f t="shared" si="453"/>
        <v/>
      </c>
      <c r="BN1195" t="str">
        <f t="shared" si="454"/>
        <v/>
      </c>
      <c r="BO1195" t="str">
        <f t="shared" si="455"/>
        <v/>
      </c>
      <c r="BP1195" t="str">
        <f t="shared" si="456"/>
        <v/>
      </c>
      <c r="BQ1195" t="str">
        <f t="shared" si="457"/>
        <v/>
      </c>
      <c r="BR1195" t="str">
        <f t="shared" si="458"/>
        <v/>
      </c>
      <c r="BS1195" t="str">
        <f t="shared" si="459"/>
        <v/>
      </c>
      <c r="BT1195" t="str">
        <f t="shared" si="460"/>
        <v/>
      </c>
      <c r="BU1195" t="str">
        <f t="shared" si="461"/>
        <v/>
      </c>
    </row>
    <row r="1196" spans="1:73">
      <c r="A1196" s="1">
        <v>5940</v>
      </c>
      <c r="B1196" t="str">
        <f>VLOOKUP($A1196,[1]Table!$A$2:$N1338,B$1,FALSE)</f>
        <v>M01CC01</v>
      </c>
      <c r="C1196" t="str">
        <f>VLOOKUP($A1196,[1]Table!$A$2:$N1338,C$1,FALSE)</f>
        <v>ANTI-INFLAMMATOIRE EN ANTIREUMATISCHE MIDDELEN</v>
      </c>
      <c r="D1196" t="str">
        <f>VLOOKUP($A1196,[1]Table!$A$2:$N1338,D$1,FALSE)</f>
        <v>ANTIRHEUMATICA IN ENGERE ZIN</v>
      </c>
      <c r="E1196" t="str">
        <f>VLOOKUP($A1196,[1]Table!$A$2:$N1338,E$1,FALSE)</f>
        <v>PENICILLAMINE</v>
      </c>
      <c r="F1196" t="str">
        <f>VLOOKUP($A1196,[1]Table!$A$2:$N1338,F$1,FALSE)</f>
        <v>PENICILLAMINE 250 MG CAPSULE</v>
      </c>
      <c r="G1196" t="str">
        <f>VLOOKUP($A1196,[1]Table!$A$2:$N1338,G$1,FALSE)</f>
        <v>PENICILLAMINE 250MG CAPSULE</v>
      </c>
      <c r="H1196" t="str">
        <f>VLOOKUP($A1196,[1]Table!$A$2:$N1338,H$1,FALSE)</f>
        <v>capsule</v>
      </c>
      <c r="I1196" t="str">
        <f>VLOOKUP($A1196,[1]Table!$A$2:$N1338,I$1,FALSE)</f>
        <v>or</v>
      </c>
      <c r="J1196">
        <f>VLOOKUP($A1196,[1]Table!$A$2:$N1338,J$1,FALSE)</f>
        <v>250</v>
      </c>
      <c r="K1196" t="str">
        <f>VLOOKUP($A1196,[1]Table!$A$2:$N1338,K$1,FALSE)</f>
        <v>mg/stuk</v>
      </c>
      <c r="L1196">
        <f>VLOOKUP($A1196,[1]Table!$A$2:$N1338,L$1,FALSE)</f>
        <v>250</v>
      </c>
      <c r="M1196" t="str">
        <f>VLOOKUP($A1196,[1]Table!$A$2:$N1338,M$1,FALSE)</f>
        <v>mg</v>
      </c>
      <c r="N1196" t="str">
        <f>VLOOKUP($A1196,[1]Table!$A$2:$N1338,N$1,FALSE)</f>
        <v>M. Wilson||Cystinurie</v>
      </c>
      <c r="O1196" t="str">
        <f>ConcatenateRange(AZ1196:BU1196,"||")</f>
        <v/>
      </c>
      <c r="AZ1196" t="str">
        <f t="shared" si="440"/>
        <v/>
      </c>
      <c r="BA1196" t="str">
        <f t="shared" si="441"/>
        <v/>
      </c>
      <c r="BB1196" t="str">
        <f t="shared" si="442"/>
        <v/>
      </c>
      <c r="BC1196" t="str">
        <f t="shared" si="443"/>
        <v/>
      </c>
      <c r="BD1196" t="str">
        <f t="shared" si="444"/>
        <v/>
      </c>
      <c r="BE1196" t="str">
        <f t="shared" si="445"/>
        <v/>
      </c>
      <c r="BF1196" t="str">
        <f t="shared" si="446"/>
        <v/>
      </c>
      <c r="BG1196" t="str">
        <f t="shared" si="447"/>
        <v/>
      </c>
      <c r="BH1196" t="str">
        <f t="shared" si="448"/>
        <v/>
      </c>
      <c r="BI1196" t="str">
        <f t="shared" si="449"/>
        <v/>
      </c>
      <c r="BJ1196" t="str">
        <f t="shared" si="450"/>
        <v/>
      </c>
      <c r="BK1196" t="str">
        <f t="shared" si="451"/>
        <v/>
      </c>
      <c r="BL1196" t="str">
        <f t="shared" si="452"/>
        <v/>
      </c>
      <c r="BM1196" t="str">
        <f t="shared" si="453"/>
        <v/>
      </c>
      <c r="BN1196" t="str">
        <f t="shared" si="454"/>
        <v/>
      </c>
      <c r="BO1196" t="str">
        <f t="shared" si="455"/>
        <v/>
      </c>
      <c r="BP1196" t="str">
        <f t="shared" si="456"/>
        <v/>
      </c>
      <c r="BQ1196" t="str">
        <f t="shared" si="457"/>
        <v/>
      </c>
      <c r="BR1196" t="str">
        <f t="shared" si="458"/>
        <v/>
      </c>
      <c r="BS1196" t="str">
        <f t="shared" si="459"/>
        <v/>
      </c>
      <c r="BT1196" t="str">
        <f t="shared" si="460"/>
        <v/>
      </c>
      <c r="BU1196" t="str">
        <f t="shared" si="461"/>
        <v/>
      </c>
    </row>
    <row r="1197" spans="1:73">
      <c r="A1197" s="1">
        <v>75450</v>
      </c>
      <c r="B1197" t="str">
        <f>VLOOKUP($A1197,[1]Table!$A$2:$N1339,B$1,FALSE)</f>
        <v>P01CX01</v>
      </c>
      <c r="C1197" t="str">
        <f>VLOOKUP($A1197,[1]Table!$A$2:$N1339,C$1,FALSE)</f>
        <v>ANTIPROTOZOICA</v>
      </c>
      <c r="D1197" t="str">
        <f>VLOOKUP($A1197,[1]Table!$A$2:$N1339,D$1,FALSE)</f>
        <v>LEISHMANIASIS- EN TRYPANOSOMIASISMIDDELEN</v>
      </c>
      <c r="E1197" t="str">
        <f>VLOOKUP($A1197,[1]Table!$A$2:$N1339,E$1,FALSE)</f>
        <v>PENTAMIDINE</v>
      </c>
      <c r="F1197" t="str">
        <f>VLOOKUP($A1197,[1]Table!$A$2:$N1339,F$1,FALSE)</f>
        <v>PENTACARINAT 300 MG/ST POEDER VOOR INJE</v>
      </c>
      <c r="G1197" t="str">
        <f>VLOOKUP($A1197,[1]Table!$A$2:$N1339,G$1,FALSE)</f>
        <v>PENTAMIDINE 300MG INJPDR</v>
      </c>
      <c r="H1197" t="str">
        <f>VLOOKUP($A1197,[1]Table!$A$2:$N1339,H$1,FALSE)</f>
        <v>poeder voor injectievloeistof</v>
      </c>
      <c r="I1197" t="str">
        <f>VLOOKUP($A1197,[1]Table!$A$2:$N1339,I$1,FALSE)</f>
        <v>im||iv</v>
      </c>
      <c r="J1197">
        <f>VLOOKUP($A1197,[1]Table!$A$2:$N1339,J$1,FALSE)</f>
        <v>300</v>
      </c>
      <c r="K1197" t="str">
        <f>VLOOKUP($A1197,[1]Table!$A$2:$N1339,K$1,FALSE)</f>
        <v>mg/stuk</v>
      </c>
      <c r="L1197">
        <f>VLOOKUP($A1197,[1]Table!$A$2:$N1339,L$1,FALSE)</f>
        <v>300</v>
      </c>
      <c r="M1197" t="str">
        <f>VLOOKUP($A1197,[1]Table!$A$2:$N1339,M$1,FALSE)</f>
        <v>mg</v>
      </c>
      <c r="N1197" t="str">
        <f>VLOOKUP($A1197,[1]Table!$A$2:$N1339,N$1,FALSE)</f>
        <v>Profylaxe Pneumocystis Jiroveci Pneumonie (PCP)||Behandeling Pneumocystis Jiroveci Pneumonie (PCP) ||Profylaxe PCP bij oncologie patiënten</v>
      </c>
      <c r="O1197" t="str">
        <f>ConcatenateRange(AZ1197:BU1197,"||")</f>
        <v/>
      </c>
      <c r="AZ1197" t="str">
        <f t="shared" si="440"/>
        <v/>
      </c>
      <c r="BA1197" t="str">
        <f t="shared" si="441"/>
        <v/>
      </c>
      <c r="BB1197" t="str">
        <f t="shared" si="442"/>
        <v/>
      </c>
      <c r="BC1197" t="str">
        <f t="shared" si="443"/>
        <v/>
      </c>
      <c r="BD1197" t="str">
        <f t="shared" si="444"/>
        <v/>
      </c>
      <c r="BE1197" t="str">
        <f t="shared" si="445"/>
        <v/>
      </c>
      <c r="BF1197" t="str">
        <f t="shared" si="446"/>
        <v/>
      </c>
      <c r="BG1197" t="str">
        <f t="shared" si="447"/>
        <v/>
      </c>
      <c r="BH1197" t="str">
        <f t="shared" si="448"/>
        <v/>
      </c>
      <c r="BI1197" t="str">
        <f t="shared" si="449"/>
        <v/>
      </c>
      <c r="BJ1197" t="str">
        <f t="shared" si="450"/>
        <v/>
      </c>
      <c r="BK1197" t="str">
        <f t="shared" si="451"/>
        <v/>
      </c>
      <c r="BL1197" t="str">
        <f t="shared" si="452"/>
        <v/>
      </c>
      <c r="BM1197" t="str">
        <f t="shared" si="453"/>
        <v/>
      </c>
      <c r="BN1197" t="str">
        <f t="shared" si="454"/>
        <v/>
      </c>
      <c r="BO1197" t="str">
        <f t="shared" si="455"/>
        <v/>
      </c>
      <c r="BP1197" t="str">
        <f t="shared" si="456"/>
        <v/>
      </c>
      <c r="BQ1197" t="str">
        <f t="shared" si="457"/>
        <v/>
      </c>
      <c r="BR1197" t="str">
        <f t="shared" si="458"/>
        <v/>
      </c>
      <c r="BS1197" t="str">
        <f t="shared" si="459"/>
        <v/>
      </c>
      <c r="BT1197" t="str">
        <f t="shared" si="460"/>
        <v/>
      </c>
      <c r="BU1197" t="str">
        <f t="shared" si="461"/>
        <v/>
      </c>
    </row>
    <row r="1198" spans="1:73">
      <c r="A1198" s="1">
        <v>88811</v>
      </c>
      <c r="B1198" t="str">
        <f>VLOOKUP($A1198,[1]Table!$A$2:$N1340,B$1,FALSE)</f>
        <v>P01CX01</v>
      </c>
      <c r="C1198" t="str">
        <f>VLOOKUP($A1198,[1]Table!$A$2:$N1340,C$1,FALSE)</f>
        <v>ANTIPROTOZOICA</v>
      </c>
      <c r="D1198" t="str">
        <f>VLOOKUP($A1198,[1]Table!$A$2:$N1340,D$1,FALSE)</f>
        <v>LEISHMANIASIS- EN TRYPANOSOMIASISMIDDELEN</v>
      </c>
      <c r="E1198" t="str">
        <f>VLOOKUP($A1198,[1]Table!$A$2:$N1340,E$1,FALSE)</f>
        <v>PENTAMIDINE</v>
      </c>
      <c r="F1198" t="str">
        <f>VLOOKUP($A1198,[1]Table!$A$2:$N1340,F$1,FALSE)</f>
        <v>PENTACARINAT 300 MG PDR VOOR INHALATIE</v>
      </c>
      <c r="G1198" t="str">
        <f>VLOOKUP($A1198,[1]Table!$A$2:$N1340,G$1,FALSE)</f>
        <v>PENTAMIDINE 300MG PDRVERNEV</v>
      </c>
      <c r="H1198" t="str">
        <f>VLOOKUP($A1198,[1]Table!$A$2:$N1340,H$1,FALSE)</f>
        <v>poeder voor vernevelvloeistof</v>
      </c>
      <c r="I1198" t="str">
        <f>VLOOKUP($A1198,[1]Table!$A$2:$N1340,I$1,FALSE)</f>
        <v>inh</v>
      </c>
      <c r="J1198">
        <f>VLOOKUP($A1198,[1]Table!$A$2:$N1340,J$1,FALSE)</f>
        <v>300</v>
      </c>
      <c r="K1198" t="str">
        <f>VLOOKUP($A1198,[1]Table!$A$2:$N1340,K$1,FALSE)</f>
        <v>mg/stuk</v>
      </c>
      <c r="L1198">
        <f>VLOOKUP($A1198,[1]Table!$A$2:$N1340,L$1,FALSE)</f>
        <v>300</v>
      </c>
      <c r="M1198" t="str">
        <f>VLOOKUP($A1198,[1]Table!$A$2:$N1340,M$1,FALSE)</f>
        <v>mg</v>
      </c>
      <c r="N1198" t="str">
        <f>VLOOKUP($A1198,[1]Table!$A$2:$N1340,N$1,FALSE)</f>
        <v>Profylaxe Pneumocystis Jiroveci Pneumonie (PCP)||Behandeling Pneumocystis Jiroveci Pneumonie (PCP) ||Profylaxe PCP bij oncologie patiënten</v>
      </c>
      <c r="O1198" t="str">
        <f>ConcatenateRange(AZ1198:BU1198,"||")</f>
        <v/>
      </c>
      <c r="AZ1198" t="str">
        <f t="shared" si="440"/>
        <v/>
      </c>
      <c r="BA1198" t="str">
        <f t="shared" si="441"/>
        <v/>
      </c>
      <c r="BB1198" t="str">
        <f t="shared" si="442"/>
        <v/>
      </c>
      <c r="BC1198" t="str">
        <f t="shared" si="443"/>
        <v/>
      </c>
      <c r="BD1198" t="str">
        <f t="shared" si="444"/>
        <v/>
      </c>
      <c r="BE1198" t="str">
        <f t="shared" si="445"/>
        <v/>
      </c>
      <c r="BF1198" t="str">
        <f t="shared" si="446"/>
        <v/>
      </c>
      <c r="BG1198" t="str">
        <f t="shared" si="447"/>
        <v/>
      </c>
      <c r="BH1198" t="str">
        <f t="shared" si="448"/>
        <v/>
      </c>
      <c r="BI1198" t="str">
        <f t="shared" si="449"/>
        <v/>
      </c>
      <c r="BJ1198" t="str">
        <f t="shared" si="450"/>
        <v/>
      </c>
      <c r="BK1198" t="str">
        <f t="shared" si="451"/>
        <v/>
      </c>
      <c r="BL1198" t="str">
        <f t="shared" si="452"/>
        <v/>
      </c>
      <c r="BM1198" t="str">
        <f t="shared" si="453"/>
        <v/>
      </c>
      <c r="BN1198" t="str">
        <f t="shared" si="454"/>
        <v/>
      </c>
      <c r="BO1198" t="str">
        <f t="shared" si="455"/>
        <v/>
      </c>
      <c r="BP1198" t="str">
        <f t="shared" si="456"/>
        <v/>
      </c>
      <c r="BQ1198" t="str">
        <f t="shared" si="457"/>
        <v/>
      </c>
      <c r="BR1198" t="str">
        <f t="shared" si="458"/>
        <v/>
      </c>
      <c r="BS1198" t="str">
        <f t="shared" si="459"/>
        <v/>
      </c>
      <c r="BT1198" t="str">
        <f t="shared" si="460"/>
        <v/>
      </c>
      <c r="BU1198" t="str">
        <f t="shared" si="461"/>
        <v/>
      </c>
    </row>
    <row r="1199" spans="1:73">
      <c r="A1199" s="1">
        <v>149594</v>
      </c>
      <c r="B1199" t="str">
        <f>VLOOKUP($A1199,[1]Table!$A$2:$N1341,B$1,FALSE)</f>
        <v>N03AX22</v>
      </c>
      <c r="C1199" t="str">
        <f>VLOOKUP($A1199,[1]Table!$A$2:$N1341,C$1,FALSE)</f>
        <v>ANTI-EPILEPTICA</v>
      </c>
      <c r="D1199" t="str">
        <f>VLOOKUP($A1199,[1]Table!$A$2:$N1341,D$1,FALSE)</f>
        <v>ANTI-EPILEPTICA</v>
      </c>
      <c r="E1199" t="str">
        <f>VLOOKUP($A1199,[1]Table!$A$2:$N1341,E$1,FALSE)</f>
        <v>PERAMPANEL</v>
      </c>
      <c r="F1199" t="str">
        <f>VLOOKUP($A1199,[1]Table!$A$2:$N1341,F$1,FALSE)</f>
        <v>FYCOMPA 2 MG TABLET</v>
      </c>
      <c r="G1199" t="str">
        <f>VLOOKUP($A1199,[1]Table!$A$2:$N1341,G$1,FALSE)</f>
        <v>PERAMPANEL 2MG TABLET</v>
      </c>
      <c r="H1199" t="str">
        <f>VLOOKUP($A1199,[1]Table!$A$2:$N1341,H$1,FALSE)</f>
        <v>tablet</v>
      </c>
      <c r="I1199" t="str">
        <f>VLOOKUP($A1199,[1]Table!$A$2:$N1341,I$1,FALSE)</f>
        <v>or</v>
      </c>
      <c r="J1199">
        <f>VLOOKUP($A1199,[1]Table!$A$2:$N1341,J$1,FALSE)</f>
        <v>2</v>
      </c>
      <c r="K1199" t="str">
        <f>VLOOKUP($A1199,[1]Table!$A$2:$N1341,K$1,FALSE)</f>
        <v>mg/stuk</v>
      </c>
      <c r="L1199">
        <f>VLOOKUP($A1199,[1]Table!$A$2:$N1341,L$1,FALSE)</f>
        <v>2</v>
      </c>
      <c r="M1199" t="str">
        <f>VLOOKUP($A1199,[1]Table!$A$2:$N1341,M$1,FALSE)</f>
        <v>mg</v>
      </c>
      <c r="N1199" t="str">
        <f>VLOOKUP($A1199,[1]Table!$A$2:$N1341,N$1,FALSE)</f>
        <v>(Adjuvans bij) Epilepsie</v>
      </c>
      <c r="O1199" t="str">
        <f>ConcatenateRange(AZ1199:BU1199,"||")</f>
        <v/>
      </c>
      <c r="AZ1199" t="str">
        <f t="shared" si="440"/>
        <v/>
      </c>
      <c r="BA1199" t="str">
        <f t="shared" si="441"/>
        <v/>
      </c>
      <c r="BB1199" t="str">
        <f t="shared" si="442"/>
        <v/>
      </c>
      <c r="BC1199" t="str">
        <f t="shared" si="443"/>
        <v/>
      </c>
      <c r="BD1199" t="str">
        <f t="shared" si="444"/>
        <v/>
      </c>
      <c r="BE1199" t="str">
        <f t="shared" si="445"/>
        <v/>
      </c>
      <c r="BF1199" t="str">
        <f t="shared" si="446"/>
        <v/>
      </c>
      <c r="BG1199" t="str">
        <f t="shared" si="447"/>
        <v/>
      </c>
      <c r="BH1199" t="str">
        <f t="shared" si="448"/>
        <v/>
      </c>
      <c r="BI1199" t="str">
        <f t="shared" si="449"/>
        <v/>
      </c>
      <c r="BJ1199" t="str">
        <f t="shared" si="450"/>
        <v/>
      </c>
      <c r="BK1199" t="str">
        <f t="shared" si="451"/>
        <v/>
      </c>
      <c r="BL1199" t="str">
        <f t="shared" si="452"/>
        <v/>
      </c>
      <c r="BM1199" t="str">
        <f t="shared" si="453"/>
        <v/>
      </c>
      <c r="BN1199" t="str">
        <f t="shared" si="454"/>
        <v/>
      </c>
      <c r="BO1199" t="str">
        <f t="shared" si="455"/>
        <v/>
      </c>
      <c r="BP1199" t="str">
        <f t="shared" si="456"/>
        <v/>
      </c>
      <c r="BQ1199" t="str">
        <f t="shared" si="457"/>
        <v/>
      </c>
      <c r="BR1199" t="str">
        <f t="shared" si="458"/>
        <v/>
      </c>
      <c r="BS1199" t="str">
        <f t="shared" si="459"/>
        <v/>
      </c>
      <c r="BT1199" t="str">
        <f t="shared" si="460"/>
        <v/>
      </c>
      <c r="BU1199" t="str">
        <f t="shared" si="461"/>
        <v/>
      </c>
    </row>
    <row r="1200" spans="1:73">
      <c r="A1200" s="1">
        <v>149624</v>
      </c>
      <c r="B1200" t="str">
        <f>VLOOKUP($A1200,[1]Table!$A$2:$N1342,B$1,FALSE)</f>
        <v>N03AX22</v>
      </c>
      <c r="C1200" t="str">
        <f>VLOOKUP($A1200,[1]Table!$A$2:$N1342,C$1,FALSE)</f>
        <v>ANTI-EPILEPTICA</v>
      </c>
      <c r="D1200" t="str">
        <f>VLOOKUP($A1200,[1]Table!$A$2:$N1342,D$1,FALSE)</f>
        <v>ANTI-EPILEPTICA</v>
      </c>
      <c r="E1200" t="str">
        <f>VLOOKUP($A1200,[1]Table!$A$2:$N1342,E$1,FALSE)</f>
        <v>PERAMPANEL</v>
      </c>
      <c r="F1200" t="str">
        <f>VLOOKUP($A1200,[1]Table!$A$2:$N1342,F$1,FALSE)</f>
        <v>FYCOMPA  8 MG TABLET</v>
      </c>
      <c r="G1200" t="str">
        <f>VLOOKUP($A1200,[1]Table!$A$2:$N1342,G$1,FALSE)</f>
        <v>PERAMPANEL 8MG TABLET</v>
      </c>
      <c r="H1200" t="str">
        <f>VLOOKUP($A1200,[1]Table!$A$2:$N1342,H$1,FALSE)</f>
        <v>tablet</v>
      </c>
      <c r="I1200" t="str">
        <f>VLOOKUP($A1200,[1]Table!$A$2:$N1342,I$1,FALSE)</f>
        <v>or</v>
      </c>
      <c r="J1200">
        <f>VLOOKUP($A1200,[1]Table!$A$2:$N1342,J$1,FALSE)</f>
        <v>8</v>
      </c>
      <c r="K1200" t="str">
        <f>VLOOKUP($A1200,[1]Table!$A$2:$N1342,K$1,FALSE)</f>
        <v>mg/stuk</v>
      </c>
      <c r="L1200">
        <f>VLOOKUP($A1200,[1]Table!$A$2:$N1342,L$1,FALSE)</f>
        <v>8</v>
      </c>
      <c r="M1200" t="str">
        <f>VLOOKUP($A1200,[1]Table!$A$2:$N1342,M$1,FALSE)</f>
        <v>mg</v>
      </c>
      <c r="N1200" t="str">
        <f>VLOOKUP($A1200,[1]Table!$A$2:$N1342,N$1,FALSE)</f>
        <v>(Adjuvans bij) Epilepsie</v>
      </c>
      <c r="O1200" t="str">
        <f>ConcatenateRange(AZ1200:BU1200,"||")</f>
        <v/>
      </c>
      <c r="AZ1200" t="str">
        <f t="shared" si="440"/>
        <v/>
      </c>
      <c r="BA1200" t="str">
        <f t="shared" si="441"/>
        <v/>
      </c>
      <c r="BB1200" t="str">
        <f t="shared" si="442"/>
        <v/>
      </c>
      <c r="BC1200" t="str">
        <f t="shared" si="443"/>
        <v/>
      </c>
      <c r="BD1200" t="str">
        <f t="shared" si="444"/>
        <v/>
      </c>
      <c r="BE1200" t="str">
        <f t="shared" si="445"/>
        <v/>
      </c>
      <c r="BF1200" t="str">
        <f t="shared" si="446"/>
        <v/>
      </c>
      <c r="BG1200" t="str">
        <f t="shared" si="447"/>
        <v/>
      </c>
      <c r="BH1200" t="str">
        <f t="shared" si="448"/>
        <v/>
      </c>
      <c r="BI1200" t="str">
        <f t="shared" si="449"/>
        <v/>
      </c>
      <c r="BJ1200" t="str">
        <f t="shared" si="450"/>
        <v/>
      </c>
      <c r="BK1200" t="str">
        <f t="shared" si="451"/>
        <v/>
      </c>
      <c r="BL1200" t="str">
        <f t="shared" si="452"/>
        <v/>
      </c>
      <c r="BM1200" t="str">
        <f t="shared" si="453"/>
        <v/>
      </c>
      <c r="BN1200" t="str">
        <f t="shared" si="454"/>
        <v/>
      </c>
      <c r="BO1200" t="str">
        <f t="shared" si="455"/>
        <v/>
      </c>
      <c r="BP1200" t="str">
        <f t="shared" si="456"/>
        <v/>
      </c>
      <c r="BQ1200" t="str">
        <f t="shared" si="457"/>
        <v/>
      </c>
      <c r="BR1200" t="str">
        <f t="shared" si="458"/>
        <v/>
      </c>
      <c r="BS1200" t="str">
        <f t="shared" si="459"/>
        <v/>
      </c>
      <c r="BT1200" t="str">
        <f t="shared" si="460"/>
        <v/>
      </c>
      <c r="BU1200" t="str">
        <f t="shared" si="461"/>
        <v/>
      </c>
    </row>
    <row r="1201" spans="1:73">
      <c r="A1201" s="1">
        <v>86398</v>
      </c>
      <c r="B1201" t="str">
        <f>VLOOKUP($A1201,[1]Table!$A$2:$N1343,B$1,FALSE)</f>
        <v>P03AC04</v>
      </c>
      <c r="C1201" t="str">
        <f>VLOOKUP($A1201,[1]Table!$A$2:$N1343,C$1,FALSE)</f>
        <v>SCABIES- PEDICULOSE- INSECTICIDEN INSECTENWERENDE MIDDELEN</v>
      </c>
      <c r="D1201" t="str">
        <f>VLOOKUP($A1201,[1]Table!$A$2:$N1343,D$1,FALSE)</f>
        <v>SCABIES- EN PEDICULOSEMIDDELEN</v>
      </c>
      <c r="E1201" t="str">
        <f>VLOOKUP($A1201,[1]Table!$A$2:$N1343,E$1,FALSE)</f>
        <v>PERMETRINE</v>
      </c>
      <c r="F1201" t="str">
        <f>VLOOKUP($A1201,[1]Table!$A$2:$N1343,F$1,FALSE)</f>
        <v>LOXAZOL 50 MG/G HYDROFIELE CREME 30G</v>
      </c>
      <c r="G1201" t="str">
        <f>VLOOKUP($A1201,[1]Table!$A$2:$N1343,G$1,FALSE)</f>
        <v>PERMETRINE 50MG/G CREME</v>
      </c>
      <c r="H1201" t="str">
        <f>VLOOKUP($A1201,[1]Table!$A$2:$N1343,H$1,FALSE)</f>
        <v>creme</v>
      </c>
      <c r="I1201" t="str">
        <f>VLOOKUP($A1201,[1]Table!$A$2:$N1343,I$1,FALSE)</f>
        <v>cutaan</v>
      </c>
      <c r="J1201">
        <f>VLOOKUP($A1201,[1]Table!$A$2:$N1343,J$1,FALSE)</f>
        <v>50</v>
      </c>
      <c r="K1201" t="str">
        <f>VLOOKUP($A1201,[1]Table!$A$2:$N1343,K$1,FALSE)</f>
        <v>mg/gr</v>
      </c>
      <c r="L1201">
        <f>VLOOKUP($A1201,[1]Table!$A$2:$N1343,L$1,FALSE)</f>
        <v>50</v>
      </c>
      <c r="M1201" t="str">
        <f>VLOOKUP($A1201,[1]Table!$A$2:$N1343,M$1,FALSE)</f>
        <v>mg</v>
      </c>
      <c r="N1201" t="str">
        <f>VLOOKUP($A1201,[1]Table!$A$2:$N1343,N$1,FALSE)</f>
        <v>Pediculosis capitis (luizen)||Scabiës</v>
      </c>
      <c r="O1201" t="str">
        <f>ConcatenateRange(AZ1201:BU1201,"||")</f>
        <v/>
      </c>
      <c r="AZ1201" t="str">
        <f t="shared" si="440"/>
        <v/>
      </c>
      <c r="BA1201" t="str">
        <f t="shared" si="441"/>
        <v/>
      </c>
      <c r="BB1201" t="str">
        <f t="shared" si="442"/>
        <v/>
      </c>
      <c r="BC1201" t="str">
        <f t="shared" si="443"/>
        <v/>
      </c>
      <c r="BD1201" t="str">
        <f t="shared" si="444"/>
        <v/>
      </c>
      <c r="BE1201" t="str">
        <f t="shared" si="445"/>
        <v/>
      </c>
      <c r="BF1201" t="str">
        <f t="shared" si="446"/>
        <v/>
      </c>
      <c r="BG1201" t="str">
        <f t="shared" si="447"/>
        <v/>
      </c>
      <c r="BH1201" t="str">
        <f t="shared" si="448"/>
        <v/>
      </c>
      <c r="BI1201" t="str">
        <f t="shared" si="449"/>
        <v/>
      </c>
      <c r="BJ1201" t="str">
        <f t="shared" si="450"/>
        <v/>
      </c>
      <c r="BK1201" t="str">
        <f t="shared" si="451"/>
        <v/>
      </c>
      <c r="BL1201" t="str">
        <f t="shared" si="452"/>
        <v/>
      </c>
      <c r="BM1201" t="str">
        <f t="shared" si="453"/>
        <v/>
      </c>
      <c r="BN1201" t="str">
        <f t="shared" si="454"/>
        <v/>
      </c>
      <c r="BO1201" t="str">
        <f t="shared" si="455"/>
        <v/>
      </c>
      <c r="BP1201" t="str">
        <f t="shared" si="456"/>
        <v/>
      </c>
      <c r="BQ1201" t="str">
        <f t="shared" si="457"/>
        <v/>
      </c>
      <c r="BR1201" t="str">
        <f t="shared" si="458"/>
        <v/>
      </c>
      <c r="BS1201" t="str">
        <f t="shared" si="459"/>
        <v/>
      </c>
      <c r="BT1201" t="str">
        <f t="shared" si="460"/>
        <v/>
      </c>
      <c r="BU1201" t="str">
        <f t="shared" si="461"/>
        <v/>
      </c>
    </row>
    <row r="1202" spans="1:73">
      <c r="A1202" s="1">
        <v>2879</v>
      </c>
      <c r="B1202" t="str">
        <f>VLOOKUP($A1202,[1]Table!$A$2:$N1344,B$1,FALSE)</f>
        <v>N02AB02</v>
      </c>
      <c r="C1202" t="str">
        <f>VLOOKUP($A1202,[1]Table!$A$2:$N1344,C$1,FALSE)</f>
        <v>ANALGETICA</v>
      </c>
      <c r="D1202" t="str">
        <f>VLOOKUP($A1202,[1]Table!$A$2:$N1344,D$1,FALSE)</f>
        <v>OPIOIDEN</v>
      </c>
      <c r="E1202" t="str">
        <f>VLOOKUP($A1202,[1]Table!$A$2:$N1344,E$1,FALSE)</f>
        <v>PETHIDINE</v>
      </c>
      <c r="F1202" t="str">
        <f>VLOOKUP($A1202,[1]Table!$A$2:$N1344,F$1,FALSE)</f>
        <v>PETHIDINI HCL 50 MG/ML AMPUL 1 ML</v>
      </c>
      <c r="G1202" t="str">
        <f>VLOOKUP($A1202,[1]Table!$A$2:$N1344,G$1,FALSE)</f>
        <v>PETHIDINE 50MG/ML INJVLST</v>
      </c>
      <c r="H1202" t="str">
        <f>VLOOKUP($A1202,[1]Table!$A$2:$N1344,H$1,FALSE)</f>
        <v>injectievloeistof</v>
      </c>
      <c r="I1202" t="str">
        <f>VLOOKUP($A1202,[1]Table!$A$2:$N1344,I$1,FALSE)</f>
        <v>im||iv||sc</v>
      </c>
      <c r="J1202">
        <f>VLOOKUP($A1202,[1]Table!$A$2:$N1344,J$1,FALSE)</f>
        <v>50</v>
      </c>
      <c r="K1202" t="str">
        <f>VLOOKUP($A1202,[1]Table!$A$2:$N1344,K$1,FALSE)</f>
        <v>mg/ml</v>
      </c>
      <c r="L1202">
        <f>VLOOKUP($A1202,[1]Table!$A$2:$N1344,L$1,FALSE)</f>
        <v>50</v>
      </c>
      <c r="M1202" t="str">
        <f>VLOOKUP($A1202,[1]Table!$A$2:$N1344,M$1,FALSE)</f>
        <v>mg</v>
      </c>
      <c r="N1202" t="str">
        <f>VLOOKUP($A1202,[1]Table!$A$2:$N1344,N$1,FALSE)</f>
        <v>Pijnbestrijding</v>
      </c>
      <c r="O1202" t="str">
        <f>ConcatenateRange(AZ1202:BU1202,"||")</f>
        <v/>
      </c>
      <c r="AZ1202" t="str">
        <f t="shared" si="440"/>
        <v/>
      </c>
      <c r="BA1202" t="str">
        <f t="shared" si="441"/>
        <v/>
      </c>
      <c r="BB1202" t="str">
        <f t="shared" si="442"/>
        <v/>
      </c>
      <c r="BC1202" t="str">
        <f t="shared" si="443"/>
        <v/>
      </c>
      <c r="BD1202" t="str">
        <f t="shared" si="444"/>
        <v/>
      </c>
      <c r="BE1202" t="str">
        <f t="shared" si="445"/>
        <v/>
      </c>
      <c r="BF1202" t="str">
        <f t="shared" si="446"/>
        <v/>
      </c>
      <c r="BG1202" t="str">
        <f t="shared" si="447"/>
        <v/>
      </c>
      <c r="BH1202" t="str">
        <f t="shared" si="448"/>
        <v/>
      </c>
      <c r="BI1202" t="str">
        <f t="shared" si="449"/>
        <v/>
      </c>
      <c r="BJ1202" t="str">
        <f t="shared" si="450"/>
        <v/>
      </c>
      <c r="BK1202" t="str">
        <f t="shared" si="451"/>
        <v/>
      </c>
      <c r="BL1202" t="str">
        <f t="shared" si="452"/>
        <v/>
      </c>
      <c r="BM1202" t="str">
        <f t="shared" si="453"/>
        <v/>
      </c>
      <c r="BN1202" t="str">
        <f t="shared" si="454"/>
        <v/>
      </c>
      <c r="BO1202" t="str">
        <f t="shared" si="455"/>
        <v/>
      </c>
      <c r="BP1202" t="str">
        <f t="shared" si="456"/>
        <v/>
      </c>
      <c r="BQ1202" t="str">
        <f t="shared" si="457"/>
        <v/>
      </c>
      <c r="BR1202" t="str">
        <f t="shared" si="458"/>
        <v/>
      </c>
      <c r="BS1202" t="str">
        <f t="shared" si="459"/>
        <v/>
      </c>
      <c r="BT1202" t="str">
        <f t="shared" si="460"/>
        <v/>
      </c>
      <c r="BU1202" t="str">
        <f t="shared" si="461"/>
        <v/>
      </c>
    </row>
    <row r="1203" spans="1:73">
      <c r="A1203" s="1">
        <v>60992</v>
      </c>
      <c r="B1203" t="str">
        <f>VLOOKUP($A1203,[1]Table!$A$2:$N1345,B$1,FALSE)</f>
        <v>A06AB08</v>
      </c>
      <c r="C1203" t="str">
        <f>VLOOKUP($A1203,[1]Table!$A$2:$N1345,C$1,FALSE)</f>
        <v>MIDDELEN BIJ OBSTIPATIE</v>
      </c>
      <c r="D1203" t="str">
        <f>VLOOKUP($A1203,[1]Table!$A$2:$N1345,D$1,FALSE)</f>
        <v>MIDDELEN BIJ OBSTIPATIE</v>
      </c>
      <c r="E1203" t="str">
        <f>VLOOKUP($A1203,[1]Table!$A$2:$N1345,E$1,FALSE)</f>
        <v>PICOZWAVELZUUR</v>
      </c>
      <c r="F1203" t="str">
        <f>VLOOKUP($A1203,[1]Table!$A$2:$N1345,F$1,FALSE)</f>
        <v>DULCODRUPPELS (LAXOBERON)</v>
      </c>
      <c r="G1203" t="str">
        <f>VLOOKUP($A1203,[1]Table!$A$2:$N1345,G$1,FALSE)</f>
        <v>PICOZWAVELZUUR 7,5MG/ML DRU</v>
      </c>
      <c r="H1203" t="str">
        <f>VLOOKUP($A1203,[1]Table!$A$2:$N1345,H$1,FALSE)</f>
        <v>druppels voor oraal gebruik</v>
      </c>
      <c r="I1203" t="str">
        <f>VLOOKUP($A1203,[1]Table!$A$2:$N1345,I$1,FALSE)</f>
        <v>or</v>
      </c>
      <c r="J1203">
        <f>VLOOKUP($A1203,[1]Table!$A$2:$N1345,J$1,FALSE)</f>
        <v>7.5</v>
      </c>
      <c r="K1203" t="str">
        <f>VLOOKUP($A1203,[1]Table!$A$2:$N1345,K$1,FALSE)</f>
        <v>mg/ml</v>
      </c>
      <c r="L1203">
        <f>VLOOKUP($A1203,[1]Table!$A$2:$N1345,L$1,FALSE)</f>
        <v>7.5</v>
      </c>
      <c r="M1203" t="str">
        <f>VLOOKUP($A1203,[1]Table!$A$2:$N1345,M$1,FALSE)</f>
        <v>mg</v>
      </c>
      <c r="N1203" t="str">
        <f>VLOOKUP($A1203,[1]Table!$A$2:$N1345,N$1,FALSE)</f>
        <v xml:space="preserve">Obstipatie: Dulcopearls||Obstipatie: Dulcodruppels||Laxans als voorbereiding op rontgen- of endoscopisch onderzoek van het colon </v>
      </c>
      <c r="O1203" t="str">
        <f>ConcatenateRange(AZ1203:BU1203,"||")</f>
        <v/>
      </c>
      <c r="AZ1203" t="str">
        <f t="shared" si="440"/>
        <v/>
      </c>
      <c r="BA1203" t="str">
        <f t="shared" si="441"/>
        <v/>
      </c>
      <c r="BB1203" t="str">
        <f t="shared" si="442"/>
        <v/>
      </c>
      <c r="BC1203" t="str">
        <f t="shared" si="443"/>
        <v/>
      </c>
      <c r="BD1203" t="str">
        <f t="shared" si="444"/>
        <v/>
      </c>
      <c r="BE1203" t="str">
        <f t="shared" si="445"/>
        <v/>
      </c>
      <c r="BF1203" t="str">
        <f t="shared" si="446"/>
        <v/>
      </c>
      <c r="BG1203" t="str">
        <f t="shared" si="447"/>
        <v/>
      </c>
      <c r="BH1203" t="str">
        <f t="shared" si="448"/>
        <v/>
      </c>
      <c r="BI1203" t="str">
        <f t="shared" si="449"/>
        <v/>
      </c>
      <c r="BJ1203" t="str">
        <f t="shared" si="450"/>
        <v/>
      </c>
      <c r="BK1203" t="str">
        <f t="shared" si="451"/>
        <v/>
      </c>
      <c r="BL1203" t="str">
        <f t="shared" si="452"/>
        <v/>
      </c>
      <c r="BM1203" t="str">
        <f t="shared" si="453"/>
        <v/>
      </c>
      <c r="BN1203" t="str">
        <f t="shared" si="454"/>
        <v/>
      </c>
      <c r="BO1203" t="str">
        <f t="shared" si="455"/>
        <v/>
      </c>
      <c r="BP1203" t="str">
        <f t="shared" si="456"/>
        <v/>
      </c>
      <c r="BQ1203" t="str">
        <f t="shared" si="457"/>
        <v/>
      </c>
      <c r="BR1203" t="str">
        <f t="shared" si="458"/>
        <v/>
      </c>
      <c r="BS1203" t="str">
        <f t="shared" si="459"/>
        <v/>
      </c>
      <c r="BT1203" t="str">
        <f t="shared" si="460"/>
        <v/>
      </c>
      <c r="BU1203" t="str">
        <f t="shared" si="461"/>
        <v/>
      </c>
    </row>
    <row r="1204" spans="1:73">
      <c r="A1204" s="1">
        <v>16500</v>
      </c>
      <c r="B1204" t="str">
        <f>VLOOKUP($A1204,[1]Table!$A$2:$N1346,B$1,FALSE)</f>
        <v>S01EB01</v>
      </c>
      <c r="C1204" t="str">
        <f>VLOOKUP($A1204,[1]Table!$A$2:$N1346,C$1,FALSE)</f>
        <v>MIDDELEN VOOR OOGHEELKUNDIG GEBRUIK</v>
      </c>
      <c r="D1204" t="str">
        <f>VLOOKUP($A1204,[1]Table!$A$2:$N1346,D$1,FALSE)</f>
        <v>GLAUCOOMMIDDELEN EN MIOTICA</v>
      </c>
      <c r="E1204" t="str">
        <f>VLOOKUP($A1204,[1]Table!$A$2:$N1346,E$1,FALSE)</f>
        <v>PILOCARPINE</v>
      </c>
      <c r="F1204" t="str">
        <f>VLOOKUP($A1204,[1]Table!$A$2:$N1346,F$1,FALSE)</f>
        <v>PILOCARPINE HCL 2% OOGDRUPPELS 10 ML</v>
      </c>
      <c r="G1204" t="str">
        <f>VLOOKUP($A1204,[1]Table!$A$2:$N1346,G$1,FALSE)</f>
        <v>PILOCARP 20MG/ML OOGDR HCL</v>
      </c>
      <c r="H1204" t="str">
        <f>VLOOKUP($A1204,[1]Table!$A$2:$N1346,H$1,FALSE)</f>
        <v>oogdruppels</v>
      </c>
      <c r="I1204" t="str">
        <f>VLOOKUP($A1204,[1]Table!$A$2:$N1346,I$1,FALSE)</f>
        <v>oog</v>
      </c>
      <c r="J1204">
        <f>VLOOKUP($A1204,[1]Table!$A$2:$N1346,J$1,FALSE)</f>
        <v>20</v>
      </c>
      <c r="K1204" t="str">
        <f>VLOOKUP($A1204,[1]Table!$A$2:$N1346,K$1,FALSE)</f>
        <v>mg/ml</v>
      </c>
      <c r="L1204">
        <f>VLOOKUP($A1204,[1]Table!$A$2:$N1346,L$1,FALSE)</f>
        <v>20</v>
      </c>
      <c r="M1204" t="str">
        <f>VLOOKUP($A1204,[1]Table!$A$2:$N1346,M$1,FALSE)</f>
        <v>mg</v>
      </c>
      <c r="N1204" t="str">
        <f>VLOOKUP($A1204,[1]Table!$A$2:$N1346,N$1,FALSE)</f>
        <v>Glaucoom</v>
      </c>
      <c r="O1204" t="str">
        <f>ConcatenateRange(AZ1204:BU1204,"||")</f>
        <v/>
      </c>
      <c r="AZ1204" t="str">
        <f t="shared" si="440"/>
        <v/>
      </c>
      <c r="BA1204" t="str">
        <f t="shared" si="441"/>
        <v/>
      </c>
      <c r="BB1204" t="str">
        <f t="shared" si="442"/>
        <v/>
      </c>
      <c r="BC1204" t="str">
        <f t="shared" si="443"/>
        <v/>
      </c>
      <c r="BD1204" t="str">
        <f t="shared" si="444"/>
        <v/>
      </c>
      <c r="BE1204" t="str">
        <f t="shared" si="445"/>
        <v/>
      </c>
      <c r="BF1204" t="str">
        <f t="shared" si="446"/>
        <v/>
      </c>
      <c r="BG1204" t="str">
        <f t="shared" si="447"/>
        <v/>
      </c>
      <c r="BH1204" t="str">
        <f t="shared" si="448"/>
        <v/>
      </c>
      <c r="BI1204" t="str">
        <f t="shared" si="449"/>
        <v/>
      </c>
      <c r="BJ1204" t="str">
        <f t="shared" si="450"/>
        <v/>
      </c>
      <c r="BK1204" t="str">
        <f t="shared" si="451"/>
        <v/>
      </c>
      <c r="BL1204" t="str">
        <f t="shared" si="452"/>
        <v/>
      </c>
      <c r="BM1204" t="str">
        <f t="shared" si="453"/>
        <v/>
      </c>
      <c r="BN1204" t="str">
        <f t="shared" si="454"/>
        <v/>
      </c>
      <c r="BO1204" t="str">
        <f t="shared" si="455"/>
        <v/>
      </c>
      <c r="BP1204" t="str">
        <f t="shared" si="456"/>
        <v/>
      </c>
      <c r="BQ1204" t="str">
        <f t="shared" si="457"/>
        <v/>
      </c>
      <c r="BR1204" t="str">
        <f t="shared" si="458"/>
        <v/>
      </c>
      <c r="BS1204" t="str">
        <f t="shared" si="459"/>
        <v/>
      </c>
      <c r="BT1204" t="str">
        <f t="shared" si="460"/>
        <v/>
      </c>
      <c r="BU1204" t="str">
        <f t="shared" si="461"/>
        <v/>
      </c>
    </row>
    <row r="1205" spans="1:73">
      <c r="A1205" s="1">
        <v>36544</v>
      </c>
      <c r="B1205" t="str">
        <f>VLOOKUP($A1205,[1]Table!$A$2:$N1347,B$1,FALSE)</f>
        <v>S01EB01</v>
      </c>
      <c r="C1205" t="str">
        <f>VLOOKUP($A1205,[1]Table!$A$2:$N1347,C$1,FALSE)</f>
        <v>MIDDELEN VOOR OOGHEELKUNDIG GEBRUIK</v>
      </c>
      <c r="D1205" t="str">
        <f>VLOOKUP($A1205,[1]Table!$A$2:$N1347,D$1,FALSE)</f>
        <v>GLAUCOOMMIDDELEN EN MIOTICA</v>
      </c>
      <c r="E1205" t="str">
        <f>VLOOKUP($A1205,[1]Table!$A$2:$N1347,E$1,FALSE)</f>
        <v>PILOCARPINE</v>
      </c>
      <c r="F1205" t="str">
        <f>VLOOKUP($A1205,[1]Table!$A$2:$N1347,F$1,FALSE)</f>
        <v>PILOCARPINE 2 % MINIMS 0.5ML</v>
      </c>
      <c r="G1205" t="str">
        <f>VLOOKUP($A1205,[1]Table!$A$2:$N1347,G$1,FALSE)</f>
        <v>PILOCARP 20MG/ML OOGDR NITR</v>
      </c>
      <c r="H1205" t="str">
        <f>VLOOKUP($A1205,[1]Table!$A$2:$N1347,H$1,FALSE)</f>
        <v>oogdruppels</v>
      </c>
      <c r="I1205" t="str">
        <f>VLOOKUP($A1205,[1]Table!$A$2:$N1347,I$1,FALSE)</f>
        <v>oog</v>
      </c>
      <c r="J1205">
        <f>VLOOKUP($A1205,[1]Table!$A$2:$N1347,J$1,FALSE)</f>
        <v>20</v>
      </c>
      <c r="K1205" t="str">
        <f>VLOOKUP($A1205,[1]Table!$A$2:$N1347,K$1,FALSE)</f>
        <v>mg/ml</v>
      </c>
      <c r="L1205">
        <f>VLOOKUP($A1205,[1]Table!$A$2:$N1347,L$1,FALSE)</f>
        <v>20</v>
      </c>
      <c r="M1205" t="str">
        <f>VLOOKUP($A1205,[1]Table!$A$2:$N1347,M$1,FALSE)</f>
        <v>mg</v>
      </c>
      <c r="N1205" t="str">
        <f>VLOOKUP($A1205,[1]Table!$A$2:$N1347,N$1,FALSE)</f>
        <v>Glaucoom</v>
      </c>
      <c r="O1205" t="str">
        <f>ConcatenateRange(AZ1205:BU1205,"||")</f>
        <v/>
      </c>
      <c r="AZ1205" t="str">
        <f t="shared" si="440"/>
        <v/>
      </c>
      <c r="BA1205" t="str">
        <f t="shared" si="441"/>
        <v/>
      </c>
      <c r="BB1205" t="str">
        <f t="shared" si="442"/>
        <v/>
      </c>
      <c r="BC1205" t="str">
        <f t="shared" si="443"/>
        <v/>
      </c>
      <c r="BD1205" t="str">
        <f t="shared" si="444"/>
        <v/>
      </c>
      <c r="BE1205" t="str">
        <f t="shared" si="445"/>
        <v/>
      </c>
      <c r="BF1205" t="str">
        <f t="shared" si="446"/>
        <v/>
      </c>
      <c r="BG1205" t="str">
        <f t="shared" si="447"/>
        <v/>
      </c>
      <c r="BH1205" t="str">
        <f t="shared" si="448"/>
        <v/>
      </c>
      <c r="BI1205" t="str">
        <f t="shared" si="449"/>
        <v/>
      </c>
      <c r="BJ1205" t="str">
        <f t="shared" si="450"/>
        <v/>
      </c>
      <c r="BK1205" t="str">
        <f t="shared" si="451"/>
        <v/>
      </c>
      <c r="BL1205" t="str">
        <f t="shared" si="452"/>
        <v/>
      </c>
      <c r="BM1205" t="str">
        <f t="shared" si="453"/>
        <v/>
      </c>
      <c r="BN1205" t="str">
        <f t="shared" si="454"/>
        <v/>
      </c>
      <c r="BO1205" t="str">
        <f t="shared" si="455"/>
        <v/>
      </c>
      <c r="BP1205" t="str">
        <f t="shared" si="456"/>
        <v/>
      </c>
      <c r="BQ1205" t="str">
        <f t="shared" si="457"/>
        <v/>
      </c>
      <c r="BR1205" t="str">
        <f t="shared" si="458"/>
        <v/>
      </c>
      <c r="BS1205" t="str">
        <f t="shared" si="459"/>
        <v/>
      </c>
      <c r="BT1205" t="str">
        <f t="shared" si="460"/>
        <v/>
      </c>
      <c r="BU1205" t="str">
        <f t="shared" si="461"/>
        <v/>
      </c>
    </row>
    <row r="1206" spans="1:73">
      <c r="A1206" s="1">
        <v>16519</v>
      </c>
      <c r="B1206" t="str">
        <f>VLOOKUP($A1206,[1]Table!$A$2:$N1348,B$1,FALSE)</f>
        <v>S01EB01</v>
      </c>
      <c r="C1206" t="str">
        <f>VLOOKUP($A1206,[1]Table!$A$2:$N1348,C$1,FALSE)</f>
        <v>MIDDELEN VOOR OOGHEELKUNDIG GEBRUIK</v>
      </c>
      <c r="D1206" t="str">
        <f>VLOOKUP($A1206,[1]Table!$A$2:$N1348,D$1,FALSE)</f>
        <v>GLAUCOOMMIDDELEN EN MIOTICA</v>
      </c>
      <c r="E1206" t="str">
        <f>VLOOKUP($A1206,[1]Table!$A$2:$N1348,E$1,FALSE)</f>
        <v>PILOCARPINE</v>
      </c>
      <c r="F1206" t="str">
        <f>VLOOKUP($A1206,[1]Table!$A$2:$N1348,F$1,FALSE)</f>
        <v>PILOCARPINE HCL 4% OOGDRUPPELS 10 ML</v>
      </c>
      <c r="G1206" t="str">
        <f>VLOOKUP($A1206,[1]Table!$A$2:$N1348,G$1,FALSE)</f>
        <v>PILOCARP 40MG/ML OOGDR HCL</v>
      </c>
      <c r="H1206" t="str">
        <f>VLOOKUP($A1206,[1]Table!$A$2:$N1348,H$1,FALSE)</f>
        <v>oogdruppels</v>
      </c>
      <c r="I1206" t="str">
        <f>VLOOKUP($A1206,[1]Table!$A$2:$N1348,I$1,FALSE)</f>
        <v>oog</v>
      </c>
      <c r="J1206">
        <f>VLOOKUP($A1206,[1]Table!$A$2:$N1348,J$1,FALSE)</f>
        <v>40</v>
      </c>
      <c r="K1206" t="str">
        <f>VLOOKUP($A1206,[1]Table!$A$2:$N1348,K$1,FALSE)</f>
        <v>mg/ml</v>
      </c>
      <c r="L1206">
        <f>VLOOKUP($A1206,[1]Table!$A$2:$N1348,L$1,FALSE)</f>
        <v>40</v>
      </c>
      <c r="M1206" t="str">
        <f>VLOOKUP($A1206,[1]Table!$A$2:$N1348,M$1,FALSE)</f>
        <v>mg</v>
      </c>
      <c r="N1206" t="str">
        <f>VLOOKUP($A1206,[1]Table!$A$2:$N1348,N$1,FALSE)</f>
        <v>Glaucoom</v>
      </c>
      <c r="O1206" t="str">
        <f>ConcatenateRange(AZ1206:BU1206,"||")</f>
        <v/>
      </c>
      <c r="AZ1206" t="str">
        <f t="shared" si="440"/>
        <v/>
      </c>
      <c r="BA1206" t="str">
        <f t="shared" si="441"/>
        <v/>
      </c>
      <c r="BB1206" t="str">
        <f t="shared" si="442"/>
        <v/>
      </c>
      <c r="BC1206" t="str">
        <f t="shared" si="443"/>
        <v/>
      </c>
      <c r="BD1206" t="str">
        <f t="shared" si="444"/>
        <v/>
      </c>
      <c r="BE1206" t="str">
        <f t="shared" si="445"/>
        <v/>
      </c>
      <c r="BF1206" t="str">
        <f t="shared" si="446"/>
        <v/>
      </c>
      <c r="BG1206" t="str">
        <f t="shared" si="447"/>
        <v/>
      </c>
      <c r="BH1206" t="str">
        <f t="shared" si="448"/>
        <v/>
      </c>
      <c r="BI1206" t="str">
        <f t="shared" si="449"/>
        <v/>
      </c>
      <c r="BJ1206" t="str">
        <f t="shared" si="450"/>
        <v/>
      </c>
      <c r="BK1206" t="str">
        <f t="shared" si="451"/>
        <v/>
      </c>
      <c r="BL1206" t="str">
        <f t="shared" si="452"/>
        <v/>
      </c>
      <c r="BM1206" t="str">
        <f t="shared" si="453"/>
        <v/>
      </c>
      <c r="BN1206" t="str">
        <f t="shared" si="454"/>
        <v/>
      </c>
      <c r="BO1206" t="str">
        <f t="shared" si="455"/>
        <v/>
      </c>
      <c r="BP1206" t="str">
        <f t="shared" si="456"/>
        <v/>
      </c>
      <c r="BQ1206" t="str">
        <f t="shared" si="457"/>
        <v/>
      </c>
      <c r="BR1206" t="str">
        <f t="shared" si="458"/>
        <v/>
      </c>
      <c r="BS1206" t="str">
        <f t="shared" si="459"/>
        <v/>
      </c>
      <c r="BT1206" t="str">
        <f t="shared" si="460"/>
        <v/>
      </c>
      <c r="BU1206" t="str">
        <f t="shared" si="461"/>
        <v/>
      </c>
    </row>
    <row r="1207" spans="1:73">
      <c r="A1207" s="1">
        <v>9180</v>
      </c>
      <c r="B1207" t="str">
        <f>VLOOKUP($A1207,[1]Table!$A$2:$N1349,B$1,FALSE)</f>
        <v>N05AG02</v>
      </c>
      <c r="C1207" t="str">
        <f>VLOOKUP($A1207,[1]Table!$A$2:$N1349,C$1,FALSE)</f>
        <v>PSYCHOLEPTICA</v>
      </c>
      <c r="D1207" t="str">
        <f>VLOOKUP($A1207,[1]Table!$A$2:$N1349,D$1,FALSE)</f>
        <v>ANTIPSYCHOTICA</v>
      </c>
      <c r="E1207" t="str">
        <f>VLOOKUP($A1207,[1]Table!$A$2:$N1349,E$1,FALSE)</f>
        <v>PIMOZIDE</v>
      </c>
      <c r="F1207" t="str">
        <f>VLOOKUP($A1207,[1]Table!$A$2:$N1349,F$1,FALSE)</f>
        <v>ORAP 1 MG TABLET</v>
      </c>
      <c r="G1207" t="str">
        <f>VLOOKUP($A1207,[1]Table!$A$2:$N1349,G$1,FALSE)</f>
        <v>PIMOZIDE 1MG TABLET</v>
      </c>
      <c r="H1207" t="str">
        <f>VLOOKUP($A1207,[1]Table!$A$2:$N1349,H$1,FALSE)</f>
        <v>tablet</v>
      </c>
      <c r="I1207" t="str">
        <f>VLOOKUP($A1207,[1]Table!$A$2:$N1349,I$1,FALSE)</f>
        <v>or</v>
      </c>
      <c r="J1207">
        <f>VLOOKUP($A1207,[1]Table!$A$2:$N1349,J$1,FALSE)</f>
        <v>1</v>
      </c>
      <c r="K1207" t="str">
        <f>VLOOKUP($A1207,[1]Table!$A$2:$N1349,K$1,FALSE)</f>
        <v>mg/stuk</v>
      </c>
      <c r="L1207">
        <f>VLOOKUP($A1207,[1]Table!$A$2:$N1349,L$1,FALSE)</f>
        <v>1</v>
      </c>
      <c r="M1207" t="str">
        <f>VLOOKUP($A1207,[1]Table!$A$2:$N1349,M$1,FALSE)</f>
        <v>mg</v>
      </c>
      <c r="N1207" t="str">
        <f>VLOOKUP($A1207,[1]Table!$A$2:$N1349,N$1,FALSE)</f>
        <v>Psychose, tics, autisme</v>
      </c>
      <c r="O1207" t="str">
        <f>ConcatenateRange(AZ1207:BU1207,"||")</f>
        <v/>
      </c>
      <c r="AZ1207" t="str">
        <f t="shared" si="440"/>
        <v/>
      </c>
      <c r="BA1207" t="str">
        <f t="shared" si="441"/>
        <v/>
      </c>
      <c r="BB1207" t="str">
        <f t="shared" si="442"/>
        <v/>
      </c>
      <c r="BC1207" t="str">
        <f t="shared" si="443"/>
        <v/>
      </c>
      <c r="BD1207" t="str">
        <f t="shared" si="444"/>
        <v/>
      </c>
      <c r="BE1207" t="str">
        <f t="shared" si="445"/>
        <v/>
      </c>
      <c r="BF1207" t="str">
        <f t="shared" si="446"/>
        <v/>
      </c>
      <c r="BG1207" t="str">
        <f t="shared" si="447"/>
        <v/>
      </c>
      <c r="BH1207" t="str">
        <f t="shared" si="448"/>
        <v/>
      </c>
      <c r="BI1207" t="str">
        <f t="shared" si="449"/>
        <v/>
      </c>
      <c r="BJ1207" t="str">
        <f t="shared" si="450"/>
        <v/>
      </c>
      <c r="BK1207" t="str">
        <f t="shared" si="451"/>
        <v/>
      </c>
      <c r="BL1207" t="str">
        <f t="shared" si="452"/>
        <v/>
      </c>
      <c r="BM1207" t="str">
        <f t="shared" si="453"/>
        <v/>
      </c>
      <c r="BN1207" t="str">
        <f t="shared" si="454"/>
        <v/>
      </c>
      <c r="BO1207" t="str">
        <f t="shared" si="455"/>
        <v/>
      </c>
      <c r="BP1207" t="str">
        <f t="shared" si="456"/>
        <v/>
      </c>
      <c r="BQ1207" t="str">
        <f t="shared" si="457"/>
        <v/>
      </c>
      <c r="BR1207" t="str">
        <f t="shared" si="458"/>
        <v/>
      </c>
      <c r="BS1207" t="str">
        <f t="shared" si="459"/>
        <v/>
      </c>
      <c r="BT1207" t="str">
        <f t="shared" si="460"/>
        <v/>
      </c>
      <c r="BU1207" t="str">
        <f t="shared" si="461"/>
        <v/>
      </c>
    </row>
    <row r="1208" spans="1:73">
      <c r="A1208" s="1">
        <v>18554</v>
      </c>
      <c r="B1208" t="str">
        <f>VLOOKUP($A1208,[1]Table!$A$2:$N1350,B$1,FALSE)</f>
        <v>N05AG02</v>
      </c>
      <c r="C1208" t="str">
        <f>VLOOKUP($A1208,[1]Table!$A$2:$N1350,C$1,FALSE)</f>
        <v>PSYCHOLEPTICA</v>
      </c>
      <c r="D1208" t="str">
        <f>VLOOKUP($A1208,[1]Table!$A$2:$N1350,D$1,FALSE)</f>
        <v>ANTIPSYCHOTICA</v>
      </c>
      <c r="E1208" t="str">
        <f>VLOOKUP($A1208,[1]Table!$A$2:$N1350,E$1,FALSE)</f>
        <v>PIMOZIDE</v>
      </c>
      <c r="F1208" t="str">
        <f>VLOOKUP($A1208,[1]Table!$A$2:$N1350,F$1,FALSE)</f>
        <v>ORAP 4 MG TABLET</v>
      </c>
      <c r="G1208" t="str">
        <f>VLOOKUP($A1208,[1]Table!$A$2:$N1350,G$1,FALSE)</f>
        <v>PIMOZIDE 4MG TABLET</v>
      </c>
      <c r="H1208" t="str">
        <f>VLOOKUP($A1208,[1]Table!$A$2:$N1350,H$1,FALSE)</f>
        <v>tablet</v>
      </c>
      <c r="I1208" t="str">
        <f>VLOOKUP($A1208,[1]Table!$A$2:$N1350,I$1,FALSE)</f>
        <v>or</v>
      </c>
      <c r="J1208">
        <f>VLOOKUP($A1208,[1]Table!$A$2:$N1350,J$1,FALSE)</f>
        <v>4</v>
      </c>
      <c r="K1208" t="str">
        <f>VLOOKUP($A1208,[1]Table!$A$2:$N1350,K$1,FALSE)</f>
        <v>mg/stuk</v>
      </c>
      <c r="L1208">
        <f>VLOOKUP($A1208,[1]Table!$A$2:$N1350,L$1,FALSE)</f>
        <v>2</v>
      </c>
      <c r="M1208" t="str">
        <f>VLOOKUP($A1208,[1]Table!$A$2:$N1350,M$1,FALSE)</f>
        <v>mg</v>
      </c>
      <c r="N1208" t="str">
        <f>VLOOKUP($A1208,[1]Table!$A$2:$N1350,N$1,FALSE)</f>
        <v>Psychose, tics, autisme</v>
      </c>
      <c r="O1208" t="str">
        <f>ConcatenateRange(AZ1208:BU1208,"||")</f>
        <v/>
      </c>
      <c r="AZ1208" t="str">
        <f t="shared" si="440"/>
        <v/>
      </c>
      <c r="BA1208" t="str">
        <f t="shared" si="441"/>
        <v/>
      </c>
      <c r="BB1208" t="str">
        <f t="shared" si="442"/>
        <v/>
      </c>
      <c r="BC1208" t="str">
        <f t="shared" si="443"/>
        <v/>
      </c>
      <c r="BD1208" t="str">
        <f t="shared" si="444"/>
        <v/>
      </c>
      <c r="BE1208" t="str">
        <f t="shared" si="445"/>
        <v/>
      </c>
      <c r="BF1208" t="str">
        <f t="shared" si="446"/>
        <v/>
      </c>
      <c r="BG1208" t="str">
        <f t="shared" si="447"/>
        <v/>
      </c>
      <c r="BH1208" t="str">
        <f t="shared" si="448"/>
        <v/>
      </c>
      <c r="BI1208" t="str">
        <f t="shared" si="449"/>
        <v/>
      </c>
      <c r="BJ1208" t="str">
        <f t="shared" si="450"/>
        <v/>
      </c>
      <c r="BK1208" t="str">
        <f t="shared" si="451"/>
        <v/>
      </c>
      <c r="BL1208" t="str">
        <f t="shared" si="452"/>
        <v/>
      </c>
      <c r="BM1208" t="str">
        <f t="shared" si="453"/>
        <v/>
      </c>
      <c r="BN1208" t="str">
        <f t="shared" si="454"/>
        <v/>
      </c>
      <c r="BO1208" t="str">
        <f t="shared" si="455"/>
        <v/>
      </c>
      <c r="BP1208" t="str">
        <f t="shared" si="456"/>
        <v/>
      </c>
      <c r="BQ1208" t="str">
        <f t="shared" si="457"/>
        <v/>
      </c>
      <c r="BR1208" t="str">
        <f t="shared" si="458"/>
        <v/>
      </c>
      <c r="BS1208" t="str">
        <f t="shared" si="459"/>
        <v/>
      </c>
      <c r="BT1208" t="str">
        <f t="shared" si="460"/>
        <v/>
      </c>
      <c r="BU1208" t="str">
        <f t="shared" si="461"/>
        <v/>
      </c>
    </row>
    <row r="1209" spans="1:73">
      <c r="A1209" s="1">
        <v>77089</v>
      </c>
      <c r="B1209" t="str">
        <f>VLOOKUP($A1209,[1]Table!$A$2:$N1351,B$1,FALSE)</f>
        <v>N05AD05</v>
      </c>
      <c r="C1209" t="str">
        <f>VLOOKUP($A1209,[1]Table!$A$2:$N1351,C$1,FALSE)</f>
        <v>PSYCHOLEPTICA</v>
      </c>
      <c r="D1209" t="str">
        <f>VLOOKUP($A1209,[1]Table!$A$2:$N1351,D$1,FALSE)</f>
        <v>ANTIPSYCHOTICA</v>
      </c>
      <c r="E1209" t="str">
        <f>VLOOKUP($A1209,[1]Table!$A$2:$N1351,E$1,FALSE)</f>
        <v>PIPAMPERON</v>
      </c>
      <c r="F1209" t="str">
        <f>VLOOKUP($A1209,[1]Table!$A$2:$N1351,F$1,FALSE)</f>
        <v>DIPIPERON 40 MG/ML DRUPPELS 60 ML</v>
      </c>
      <c r="G1209" t="str">
        <f>VLOOKUP($A1209,[1]Table!$A$2:$N1351,G$1,FALSE)</f>
        <v>PIPAMPERON 40MG/ML DRUPPELS</v>
      </c>
      <c r="H1209" t="str">
        <f>VLOOKUP($A1209,[1]Table!$A$2:$N1351,H$1,FALSE)</f>
        <v>druppels voor oraal gebruik</v>
      </c>
      <c r="I1209" t="str">
        <f>VLOOKUP($A1209,[1]Table!$A$2:$N1351,I$1,FALSE)</f>
        <v>or</v>
      </c>
      <c r="J1209">
        <f>VLOOKUP($A1209,[1]Table!$A$2:$N1351,J$1,FALSE)</f>
        <v>40</v>
      </c>
      <c r="K1209" t="str">
        <f>VLOOKUP($A1209,[1]Table!$A$2:$N1351,K$1,FALSE)</f>
        <v>mg/ml</v>
      </c>
      <c r="L1209">
        <f>VLOOKUP($A1209,[1]Table!$A$2:$N1351,L$1,FALSE)</f>
        <v>40</v>
      </c>
      <c r="M1209" t="str">
        <f>VLOOKUP($A1209,[1]Table!$A$2:$N1351,M$1,FALSE)</f>
        <v>mg</v>
      </c>
      <c r="N1209" t="str">
        <f>VLOOKUP($A1209,[1]Table!$A$2:$N1351,N$1,FALSE)</f>
        <v>Ernstige agressie</v>
      </c>
      <c r="O1209" t="str">
        <f>ConcatenateRange(AZ1209:BU1209,"||")</f>
        <v/>
      </c>
      <c r="AZ1209" t="str">
        <f t="shared" si="440"/>
        <v/>
      </c>
      <c r="BA1209" t="str">
        <f t="shared" si="441"/>
        <v/>
      </c>
      <c r="BB1209" t="str">
        <f t="shared" si="442"/>
        <v/>
      </c>
      <c r="BC1209" t="str">
        <f t="shared" si="443"/>
        <v/>
      </c>
      <c r="BD1209" t="str">
        <f t="shared" si="444"/>
        <v/>
      </c>
      <c r="BE1209" t="str">
        <f t="shared" si="445"/>
        <v/>
      </c>
      <c r="BF1209" t="str">
        <f t="shared" si="446"/>
        <v/>
      </c>
      <c r="BG1209" t="str">
        <f t="shared" si="447"/>
        <v/>
      </c>
      <c r="BH1209" t="str">
        <f t="shared" si="448"/>
        <v/>
      </c>
      <c r="BI1209" t="str">
        <f t="shared" si="449"/>
        <v/>
      </c>
      <c r="BJ1209" t="str">
        <f t="shared" si="450"/>
        <v/>
      </c>
      <c r="BK1209" t="str">
        <f t="shared" si="451"/>
        <v/>
      </c>
      <c r="BL1209" t="str">
        <f t="shared" si="452"/>
        <v/>
      </c>
      <c r="BM1209" t="str">
        <f t="shared" si="453"/>
        <v/>
      </c>
      <c r="BN1209" t="str">
        <f t="shared" si="454"/>
        <v/>
      </c>
      <c r="BO1209" t="str">
        <f t="shared" si="455"/>
        <v/>
      </c>
      <c r="BP1209" t="str">
        <f t="shared" si="456"/>
        <v/>
      </c>
      <c r="BQ1209" t="str">
        <f t="shared" si="457"/>
        <v/>
      </c>
      <c r="BR1209" t="str">
        <f t="shared" si="458"/>
        <v/>
      </c>
      <c r="BS1209" t="str">
        <f t="shared" si="459"/>
        <v/>
      </c>
      <c r="BT1209" t="str">
        <f t="shared" si="460"/>
        <v/>
      </c>
      <c r="BU1209" t="str">
        <f t="shared" si="461"/>
        <v/>
      </c>
    </row>
    <row r="1210" spans="1:73">
      <c r="A1210" s="1">
        <v>2798</v>
      </c>
      <c r="B1210" t="str">
        <f>VLOOKUP($A1210,[1]Table!$A$2:$N1352,B$1,FALSE)</f>
        <v>N05AD05</v>
      </c>
      <c r="C1210" t="str">
        <f>VLOOKUP($A1210,[1]Table!$A$2:$N1352,C$1,FALSE)</f>
        <v>PSYCHOLEPTICA</v>
      </c>
      <c r="D1210" t="str">
        <f>VLOOKUP($A1210,[1]Table!$A$2:$N1352,D$1,FALSE)</f>
        <v>ANTIPSYCHOTICA</v>
      </c>
      <c r="E1210" t="str">
        <f>VLOOKUP($A1210,[1]Table!$A$2:$N1352,E$1,FALSE)</f>
        <v>PIPAMPERON</v>
      </c>
      <c r="F1210" t="str">
        <f>VLOOKUP($A1210,[1]Table!$A$2:$N1352,F$1,FALSE)</f>
        <v>DIPIPERON  40MG TABLET</v>
      </c>
      <c r="G1210" t="str">
        <f>VLOOKUP($A1210,[1]Table!$A$2:$N1352,G$1,FALSE)</f>
        <v>PIPAMPERON 40MG TABLET</v>
      </c>
      <c r="H1210" t="str">
        <f>VLOOKUP($A1210,[1]Table!$A$2:$N1352,H$1,FALSE)</f>
        <v>tablet</v>
      </c>
      <c r="I1210" t="str">
        <f>VLOOKUP($A1210,[1]Table!$A$2:$N1352,I$1,FALSE)</f>
        <v>or</v>
      </c>
      <c r="J1210">
        <f>VLOOKUP($A1210,[1]Table!$A$2:$N1352,J$1,FALSE)</f>
        <v>40</v>
      </c>
      <c r="K1210" t="str">
        <f>VLOOKUP($A1210,[1]Table!$A$2:$N1352,K$1,FALSE)</f>
        <v>mg/stuk</v>
      </c>
      <c r="L1210">
        <f>VLOOKUP($A1210,[1]Table!$A$2:$N1352,L$1,FALSE)</f>
        <v>10</v>
      </c>
      <c r="M1210" t="str">
        <f>VLOOKUP($A1210,[1]Table!$A$2:$N1352,M$1,FALSE)</f>
        <v>mg</v>
      </c>
      <c r="N1210" t="str">
        <f>VLOOKUP($A1210,[1]Table!$A$2:$N1352,N$1,FALSE)</f>
        <v>Ernstige agressie</v>
      </c>
      <c r="O1210" t="str">
        <f>ConcatenateRange(AZ1210:BU1210,"||")</f>
        <v/>
      </c>
      <c r="AZ1210" t="str">
        <f t="shared" si="440"/>
        <v/>
      </c>
      <c r="BA1210" t="str">
        <f t="shared" si="441"/>
        <v/>
      </c>
      <c r="BB1210" t="str">
        <f t="shared" si="442"/>
        <v/>
      </c>
      <c r="BC1210" t="str">
        <f t="shared" si="443"/>
        <v/>
      </c>
      <c r="BD1210" t="str">
        <f t="shared" si="444"/>
        <v/>
      </c>
      <c r="BE1210" t="str">
        <f t="shared" si="445"/>
        <v/>
      </c>
      <c r="BF1210" t="str">
        <f t="shared" si="446"/>
        <v/>
      </c>
      <c r="BG1210" t="str">
        <f t="shared" si="447"/>
        <v/>
      </c>
      <c r="BH1210" t="str">
        <f t="shared" si="448"/>
        <v/>
      </c>
      <c r="BI1210" t="str">
        <f t="shared" si="449"/>
        <v/>
      </c>
      <c r="BJ1210" t="str">
        <f t="shared" si="450"/>
        <v/>
      </c>
      <c r="BK1210" t="str">
        <f t="shared" si="451"/>
        <v/>
      </c>
      <c r="BL1210" t="str">
        <f t="shared" si="452"/>
        <v/>
      </c>
      <c r="BM1210" t="str">
        <f t="shared" si="453"/>
        <v/>
      </c>
      <c r="BN1210" t="str">
        <f t="shared" si="454"/>
        <v/>
      </c>
      <c r="BO1210" t="str">
        <f t="shared" si="455"/>
        <v/>
      </c>
      <c r="BP1210" t="str">
        <f t="shared" si="456"/>
        <v/>
      </c>
      <c r="BQ1210" t="str">
        <f t="shared" si="457"/>
        <v/>
      </c>
      <c r="BR1210" t="str">
        <f t="shared" si="458"/>
        <v/>
      </c>
      <c r="BS1210" t="str">
        <f t="shared" si="459"/>
        <v/>
      </c>
      <c r="BT1210" t="str">
        <f t="shared" si="460"/>
        <v/>
      </c>
      <c r="BU1210" t="str">
        <f t="shared" si="461"/>
        <v/>
      </c>
    </row>
    <row r="1211" spans="1:73">
      <c r="A1211" s="1">
        <v>90123</v>
      </c>
      <c r="B1211" t="str">
        <f>VLOOKUP($A1211,[1]Table!$A$2:$N1353,B$1,FALSE)</f>
        <v>J01CR05</v>
      </c>
      <c r="C1211" t="str">
        <f>VLOOKUP($A1211,[1]Table!$A$2:$N1353,C$1,FALSE)</f>
        <v>ANTIBACTERIELE MIDDELEN VOOR SYSTEMISCH GEBRUIK</v>
      </c>
      <c r="D1211" t="str">
        <f>VLOOKUP($A1211,[1]Table!$A$2:$N1353,D$1,FALSE)</f>
        <v>BETALACTAM-ANTIBIOTICA, PENICILLINES</v>
      </c>
      <c r="E1211" t="str">
        <f>VLOOKUP($A1211,[1]Table!$A$2:$N1353,E$1,FALSE)</f>
        <v>PIPERACILLINE/TAZOBACTAM</v>
      </c>
      <c r="F1211" t="str">
        <f>VLOOKUP($A1211,[1]Table!$A$2:$N1353,F$1,FALSE)</f>
        <v>PIPERACILLINE 2000 MG + TAZOBACTAM 250MG</v>
      </c>
      <c r="G1211" t="str">
        <f>VLOOKUP($A1211,[1]Table!$A$2:$N1353,G$1,FALSE)</f>
        <v>PIPERACIL/TAZOBAC 2000/250</v>
      </c>
      <c r="H1211" t="str">
        <f>VLOOKUP($A1211,[1]Table!$A$2:$N1353,H$1,FALSE)</f>
        <v>poeder voor injectievloeistof</v>
      </c>
      <c r="I1211" t="str">
        <f>VLOOKUP($A1211,[1]Table!$A$2:$N1353,I$1,FALSE)</f>
        <v>iv</v>
      </c>
      <c r="J1211">
        <f>VLOOKUP($A1211,[1]Table!$A$2:$N1353,J$1,FALSE)</f>
        <v>2000</v>
      </c>
      <c r="K1211" t="str">
        <f>VLOOKUP($A1211,[1]Table!$A$2:$N1353,K$1,FALSE)</f>
        <v>mg/stuk</v>
      </c>
      <c r="L1211">
        <f>VLOOKUP($A1211,[1]Table!$A$2:$N1353,L$1,FALSE)</f>
        <v>2000</v>
      </c>
      <c r="M1211" t="str">
        <f>VLOOKUP($A1211,[1]Table!$A$2:$N1353,M$1,FALSE)</f>
        <v>mg</v>
      </c>
      <c r="N1211" t="str">
        <f>VLOOKUP($A1211,[1]Table!$A$2:$N1353,N$1,FALSE)</f>
        <v xml:space="preserve">Febriele neutropenie, infecties bij cystische fibrose, intra-abdominale infecties </v>
      </c>
      <c r="O1211" t="str">
        <f>ConcatenateRange(AZ1211:BU1211,"||")</f>
        <v>4 x / dag</v>
      </c>
      <c r="P1211">
        <v>320</v>
      </c>
      <c r="V1211">
        <v>18000</v>
      </c>
      <c r="W1211">
        <v>40</v>
      </c>
      <c r="Y1211">
        <v>20</v>
      </c>
      <c r="AD1211" t="s">
        <v>49</v>
      </c>
      <c r="AZ1211" t="str">
        <f t="shared" si="440"/>
        <v/>
      </c>
      <c r="BA1211" t="str">
        <f t="shared" si="441"/>
        <v/>
      </c>
      <c r="BB1211" t="str">
        <f t="shared" si="442"/>
        <v/>
      </c>
      <c r="BC1211" t="str">
        <f t="shared" si="443"/>
        <v>4 x / dag</v>
      </c>
      <c r="BD1211" t="str">
        <f t="shared" si="444"/>
        <v/>
      </c>
      <c r="BE1211" t="str">
        <f t="shared" si="445"/>
        <v/>
      </c>
      <c r="BF1211" t="str">
        <f t="shared" si="446"/>
        <v/>
      </c>
      <c r="BG1211" t="str">
        <f t="shared" si="447"/>
        <v/>
      </c>
      <c r="BH1211" t="str">
        <f t="shared" si="448"/>
        <v/>
      </c>
      <c r="BI1211" t="str">
        <f t="shared" si="449"/>
        <v/>
      </c>
      <c r="BJ1211" t="str">
        <f t="shared" si="450"/>
        <v/>
      </c>
      <c r="BK1211" t="str">
        <f t="shared" si="451"/>
        <v/>
      </c>
      <c r="BL1211" t="str">
        <f t="shared" si="452"/>
        <v/>
      </c>
      <c r="BM1211" t="str">
        <f t="shared" si="453"/>
        <v/>
      </c>
      <c r="BN1211" t="str">
        <f t="shared" si="454"/>
        <v/>
      </c>
      <c r="BO1211" t="str">
        <f t="shared" si="455"/>
        <v/>
      </c>
      <c r="BP1211" t="str">
        <f t="shared" si="456"/>
        <v/>
      </c>
      <c r="BQ1211" t="str">
        <f t="shared" si="457"/>
        <v/>
      </c>
      <c r="BR1211" t="str">
        <f t="shared" si="458"/>
        <v/>
      </c>
      <c r="BS1211" t="str">
        <f t="shared" si="459"/>
        <v/>
      </c>
      <c r="BT1211" t="str">
        <f t="shared" si="460"/>
        <v/>
      </c>
      <c r="BU1211" t="str">
        <f t="shared" si="461"/>
        <v/>
      </c>
    </row>
    <row r="1212" spans="1:73">
      <c r="A1212" s="1">
        <v>90131</v>
      </c>
      <c r="B1212" t="str">
        <f>VLOOKUP($A1212,[1]Table!$A$2:$N1354,B$1,FALSE)</f>
        <v>J01CR05</v>
      </c>
      <c r="C1212" t="str">
        <f>VLOOKUP($A1212,[1]Table!$A$2:$N1354,C$1,FALSE)</f>
        <v>ANTIBACTERIELE MIDDELEN VOOR SYSTEMISCH GEBRUIK</v>
      </c>
      <c r="D1212" t="str">
        <f>VLOOKUP($A1212,[1]Table!$A$2:$N1354,D$1,FALSE)</f>
        <v>BETALACTAM-ANTIBIOTICA, PENICILLINES</v>
      </c>
      <c r="E1212" t="str">
        <f>VLOOKUP($A1212,[1]Table!$A$2:$N1354,E$1,FALSE)</f>
        <v>PIPERACILLINE/TAZOBACTAM</v>
      </c>
      <c r="F1212" t="str">
        <f>VLOOKUP($A1212,[1]Table!$A$2:$N1354,F$1,FALSE)</f>
        <v>PIPERACILLINE 4000 MG + TAZOBACTAM 500MG</v>
      </c>
      <c r="G1212" t="str">
        <f>VLOOKUP($A1212,[1]Table!$A$2:$N1354,G$1,FALSE)</f>
        <v>PIPERACIL/TAZOBAC 4000/500</v>
      </c>
      <c r="H1212" t="str">
        <f>VLOOKUP($A1212,[1]Table!$A$2:$N1354,H$1,FALSE)</f>
        <v>poeder voor injectievloeistof</v>
      </c>
      <c r="I1212" t="str">
        <f>VLOOKUP($A1212,[1]Table!$A$2:$N1354,I$1,FALSE)</f>
        <v>iv</v>
      </c>
      <c r="J1212">
        <f>VLOOKUP($A1212,[1]Table!$A$2:$N1354,J$1,FALSE)</f>
        <v>4000</v>
      </c>
      <c r="K1212" t="str">
        <f>VLOOKUP($A1212,[1]Table!$A$2:$N1354,K$1,FALSE)</f>
        <v>mg/stuk</v>
      </c>
      <c r="L1212">
        <f>VLOOKUP($A1212,[1]Table!$A$2:$N1354,L$1,FALSE)</f>
        <v>4000</v>
      </c>
      <c r="M1212" t="str">
        <f>VLOOKUP($A1212,[1]Table!$A$2:$N1354,M$1,FALSE)</f>
        <v>mg</v>
      </c>
      <c r="N1212" t="str">
        <f>VLOOKUP($A1212,[1]Table!$A$2:$N1354,N$1,FALSE)</f>
        <v xml:space="preserve">Febriele neutropenie, infecties bij cystische fibrose, intra-abdominale infecties </v>
      </c>
      <c r="O1212" t="str">
        <f>ConcatenateRange(AZ1212:BU1212,"||")</f>
        <v>4 x / dag</v>
      </c>
      <c r="P1212">
        <v>320</v>
      </c>
      <c r="V1212">
        <v>18000</v>
      </c>
      <c r="W1212">
        <v>40</v>
      </c>
      <c r="Y1212">
        <v>20</v>
      </c>
      <c r="AD1212" t="s">
        <v>49</v>
      </c>
      <c r="AZ1212" t="str">
        <f t="shared" si="440"/>
        <v/>
      </c>
      <c r="BA1212" t="str">
        <f t="shared" si="441"/>
        <v/>
      </c>
      <c r="BB1212" t="str">
        <f t="shared" si="442"/>
        <v/>
      </c>
      <c r="BC1212" t="str">
        <f t="shared" si="443"/>
        <v>4 x / dag</v>
      </c>
      <c r="BD1212" t="str">
        <f t="shared" si="444"/>
        <v/>
      </c>
      <c r="BE1212" t="str">
        <f t="shared" si="445"/>
        <v/>
      </c>
      <c r="BF1212" t="str">
        <f t="shared" si="446"/>
        <v/>
      </c>
      <c r="BG1212" t="str">
        <f t="shared" si="447"/>
        <v/>
      </c>
      <c r="BH1212" t="str">
        <f t="shared" si="448"/>
        <v/>
      </c>
      <c r="BI1212" t="str">
        <f t="shared" si="449"/>
        <v/>
      </c>
      <c r="BJ1212" t="str">
        <f t="shared" si="450"/>
        <v/>
      </c>
      <c r="BK1212" t="str">
        <f t="shared" si="451"/>
        <v/>
      </c>
      <c r="BL1212" t="str">
        <f t="shared" si="452"/>
        <v/>
      </c>
      <c r="BM1212" t="str">
        <f t="shared" si="453"/>
        <v/>
      </c>
      <c r="BN1212" t="str">
        <f t="shared" si="454"/>
        <v/>
      </c>
      <c r="BO1212" t="str">
        <f t="shared" si="455"/>
        <v/>
      </c>
      <c r="BP1212" t="str">
        <f t="shared" si="456"/>
        <v/>
      </c>
      <c r="BQ1212" t="str">
        <f t="shared" si="457"/>
        <v/>
      </c>
      <c r="BR1212" t="str">
        <f t="shared" si="458"/>
        <v/>
      </c>
      <c r="BS1212" t="str">
        <f t="shared" si="459"/>
        <v/>
      </c>
      <c r="BT1212" t="str">
        <f t="shared" si="460"/>
        <v/>
      </c>
      <c r="BU1212" t="str">
        <f t="shared" si="461"/>
        <v/>
      </c>
    </row>
    <row r="1213" spans="1:73">
      <c r="A1213" s="1">
        <v>127418</v>
      </c>
      <c r="B1213" t="str">
        <f>VLOOKUP($A1213,[1]Table!$A$2:$N1355,B$1,FALSE)</f>
        <v>N02CX01</v>
      </c>
      <c r="C1213" t="str">
        <f>VLOOKUP($A1213,[1]Table!$A$2:$N1355,C$1,FALSE)</f>
        <v>ANALGETICA</v>
      </c>
      <c r="D1213" t="str">
        <f>VLOOKUP($A1213,[1]Table!$A$2:$N1355,D$1,FALSE)</f>
        <v>MIGRAINEMIDDELEN</v>
      </c>
      <c r="E1213" t="str">
        <f>VLOOKUP($A1213,[1]Table!$A$2:$N1355,E$1,FALSE)</f>
        <v>PIZOTIFEEN</v>
      </c>
      <c r="F1213" t="str">
        <f>VLOOKUP($A1213,[1]Table!$A$2:$N1355,F$1,FALSE)</f>
        <v>SANDOMIGRAN 0,5 MG TABLET</v>
      </c>
      <c r="G1213" t="str">
        <f>VLOOKUP($A1213,[1]Table!$A$2:$N1355,G$1,FALSE)</f>
        <v>PIZOTIFEEN 0,5MG TABLET</v>
      </c>
      <c r="H1213" t="str">
        <f>VLOOKUP($A1213,[1]Table!$A$2:$N1355,H$1,FALSE)</f>
        <v>tablet</v>
      </c>
      <c r="I1213" t="str">
        <f>VLOOKUP($A1213,[1]Table!$A$2:$N1355,I$1,FALSE)</f>
        <v>or</v>
      </c>
      <c r="J1213">
        <f>VLOOKUP($A1213,[1]Table!$A$2:$N1355,J$1,FALSE)</f>
        <v>0.5</v>
      </c>
      <c r="K1213" t="str">
        <f>VLOOKUP($A1213,[1]Table!$A$2:$N1355,K$1,FALSE)</f>
        <v>mg/stuk</v>
      </c>
      <c r="L1213">
        <f>VLOOKUP($A1213,[1]Table!$A$2:$N1355,L$1,FALSE)</f>
        <v>0.5</v>
      </c>
      <c r="M1213" t="str">
        <f>VLOOKUP($A1213,[1]Table!$A$2:$N1355,M$1,FALSE)</f>
        <v>mg</v>
      </c>
      <c r="N1213" t="str">
        <f>VLOOKUP($A1213,[1]Table!$A$2:$N1355,N$1,FALSE)</f>
        <v>Onderhoudsbehandeling van migraine en migraineuze hoofdpijnen</v>
      </c>
      <c r="O1213" t="str">
        <f>ConcatenateRange(AZ1213:BU1213,"||")</f>
        <v/>
      </c>
      <c r="AZ1213" t="str">
        <f t="shared" si="440"/>
        <v/>
      </c>
      <c r="BA1213" t="str">
        <f t="shared" si="441"/>
        <v/>
      </c>
      <c r="BB1213" t="str">
        <f t="shared" si="442"/>
        <v/>
      </c>
      <c r="BC1213" t="str">
        <f t="shared" si="443"/>
        <v/>
      </c>
      <c r="BD1213" t="str">
        <f t="shared" si="444"/>
        <v/>
      </c>
      <c r="BE1213" t="str">
        <f t="shared" si="445"/>
        <v/>
      </c>
      <c r="BF1213" t="str">
        <f t="shared" si="446"/>
        <v/>
      </c>
      <c r="BG1213" t="str">
        <f t="shared" si="447"/>
        <v/>
      </c>
      <c r="BH1213" t="str">
        <f t="shared" si="448"/>
        <v/>
      </c>
      <c r="BI1213" t="str">
        <f t="shared" si="449"/>
        <v/>
      </c>
      <c r="BJ1213" t="str">
        <f t="shared" si="450"/>
        <v/>
      </c>
      <c r="BK1213" t="str">
        <f t="shared" si="451"/>
        <v/>
      </c>
      <c r="BL1213" t="str">
        <f t="shared" si="452"/>
        <v/>
      </c>
      <c r="BM1213" t="str">
        <f t="shared" si="453"/>
        <v/>
      </c>
      <c r="BN1213" t="str">
        <f t="shared" si="454"/>
        <v/>
      </c>
      <c r="BO1213" t="str">
        <f t="shared" si="455"/>
        <v/>
      </c>
      <c r="BP1213" t="str">
        <f t="shared" si="456"/>
        <v/>
      </c>
      <c r="BQ1213" t="str">
        <f t="shared" si="457"/>
        <v/>
      </c>
      <c r="BR1213" t="str">
        <f t="shared" si="458"/>
        <v/>
      </c>
      <c r="BS1213" t="str">
        <f t="shared" si="459"/>
        <v/>
      </c>
      <c r="BT1213" t="str">
        <f t="shared" si="460"/>
        <v/>
      </c>
      <c r="BU1213" t="str">
        <f t="shared" si="461"/>
        <v/>
      </c>
    </row>
    <row r="1214" spans="1:73">
      <c r="A1214" s="20">
        <v>102288</v>
      </c>
      <c r="B1214" t="str">
        <f>VLOOKUP($A1214,[1]Table!$A$2:$N1718,B$1,FALSE)</f>
        <v>A06AC01</v>
      </c>
      <c r="C1214" t="str">
        <f>VLOOKUP($A1214,[1]Table!$A$2:$N1718,C$1,FALSE)</f>
        <v>MIDDELEN BIJ OBSTIPATIE</v>
      </c>
      <c r="D1214" t="str">
        <f>VLOOKUP($A1214,[1]Table!$A$2:$N1718,D$1,FALSE)</f>
        <v>MIDDELEN BIJ OBSTIPATIE</v>
      </c>
      <c r="E1214" t="str">
        <f>VLOOKUP($A1214,[1]Table!$A$2:$N1718,E$1,FALSE)</f>
        <v>PLANTAGO OVATA</v>
      </c>
      <c r="F1214" t="str">
        <f>VLOOKUP($A1214,[1]Table!$A$2:$N1718,F$1,FALSE)</f>
        <v>VOLCOLON GRANULAAT 4G SUIKERVRIJ SACHET</v>
      </c>
      <c r="G1214" t="str">
        <f>VLOOKUP($A1214,[1]Table!$A$2:$N1718,G$1,FALSE)</f>
        <v>PLANTAGO OVAT 3,6G GRAN</v>
      </c>
      <c r="H1214" t="str">
        <f>VLOOKUP($A1214,[1]Table!$A$2:$N1718,H$1,FALSE)</f>
        <v>granulaat</v>
      </c>
      <c r="I1214" t="str">
        <f>VLOOKUP($A1214,[1]Table!$A$2:$N1718,I$1,FALSE)</f>
        <v>or</v>
      </c>
      <c r="J1214">
        <f>VLOOKUP($A1214,[1]Table!$A$2:$N1718,J$1,FALSE)</f>
        <v>3.6</v>
      </c>
      <c r="K1214" t="str">
        <f>VLOOKUP($A1214,[1]Table!$A$2:$N1718,K$1,FALSE)</f>
        <v>gr/stuk</v>
      </c>
      <c r="L1214">
        <f>VLOOKUP($A1214,[1]Table!$A$2:$N1718,L$1,FALSE)</f>
        <v>3.6</v>
      </c>
      <c r="M1214" t="str">
        <f>VLOOKUP($A1214,[1]Table!$A$2:$N1718,M$1,FALSE)</f>
        <v>gr</v>
      </c>
      <c r="N1214" t="str">
        <f>VLOOKUP($A1214,[1]Table!$A$2:$N1718,N$1,FALSE)</f>
        <v>Obstipatie</v>
      </c>
      <c r="AZ1214" t="str">
        <f t="shared" si="440"/>
        <v/>
      </c>
      <c r="BA1214" t="str">
        <f t="shared" si="441"/>
        <v/>
      </c>
      <c r="BB1214" t="str">
        <f t="shared" si="442"/>
        <v/>
      </c>
      <c r="BC1214" t="str">
        <f t="shared" si="443"/>
        <v/>
      </c>
      <c r="BD1214" t="str">
        <f t="shared" si="444"/>
        <v/>
      </c>
      <c r="BE1214" t="str">
        <f t="shared" si="445"/>
        <v/>
      </c>
      <c r="BF1214" t="str">
        <f t="shared" si="446"/>
        <v/>
      </c>
      <c r="BG1214" t="str">
        <f t="shared" si="447"/>
        <v/>
      </c>
      <c r="BH1214" t="str">
        <f t="shared" si="448"/>
        <v/>
      </c>
      <c r="BI1214" t="str">
        <f t="shared" si="449"/>
        <v/>
      </c>
      <c r="BJ1214" t="str">
        <f t="shared" si="450"/>
        <v/>
      </c>
      <c r="BK1214" t="str">
        <f t="shared" si="451"/>
        <v/>
      </c>
      <c r="BL1214" t="str">
        <f t="shared" si="452"/>
        <v/>
      </c>
      <c r="BM1214" t="str">
        <f t="shared" si="453"/>
        <v/>
      </c>
      <c r="BN1214" t="str">
        <f t="shared" si="454"/>
        <v/>
      </c>
      <c r="BO1214" t="str">
        <f t="shared" si="455"/>
        <v/>
      </c>
      <c r="BP1214" t="str">
        <f t="shared" si="456"/>
        <v/>
      </c>
      <c r="BQ1214" t="str">
        <f t="shared" si="457"/>
        <v/>
      </c>
      <c r="BR1214" t="str">
        <f t="shared" si="458"/>
        <v/>
      </c>
      <c r="BS1214" t="str">
        <f t="shared" si="459"/>
        <v/>
      </c>
      <c r="BT1214" t="str">
        <f t="shared" si="460"/>
        <v/>
      </c>
      <c r="BU1214" t="str">
        <f t="shared" si="461"/>
        <v/>
      </c>
    </row>
    <row r="1215" spans="1:73">
      <c r="A1215" s="1">
        <v>91448</v>
      </c>
      <c r="B1215" t="str">
        <f>VLOOKUP($A1215,[1]Table!$A$2:$N1357,B$1,FALSE)</f>
        <v>A06AC01</v>
      </c>
      <c r="C1215" t="str">
        <f>VLOOKUP($A1215,[1]Table!$A$2:$N1357,C$1,FALSE)</f>
        <v>MIDDELEN BIJ OBSTIPATIE</v>
      </c>
      <c r="D1215" t="str">
        <f>VLOOKUP($A1215,[1]Table!$A$2:$N1357,D$1,FALSE)</f>
        <v>MIDDELEN BIJ OBSTIPATIE</v>
      </c>
      <c r="E1215" t="str">
        <f>VLOOKUP($A1215,[1]Table!$A$2:$N1357,E$1,FALSE)</f>
        <v>PLANTAGO OVATA</v>
      </c>
      <c r="F1215" t="str">
        <f>VLOOKUP($A1215,[1]Table!$A$2:$N1357,F$1,FALSE)</f>
        <v>METAMUCIL SUIKERVRIJ ORANGE SACHET</v>
      </c>
      <c r="G1215" t="str">
        <f>VLOOKUP($A1215,[1]Table!$A$2:$N1357,G$1,FALSE)</f>
        <v>PLANTAGO OVATA 3,4G POEDER</v>
      </c>
      <c r="H1215" t="str">
        <f>VLOOKUP($A1215,[1]Table!$A$2:$N1357,H$1,FALSE)</f>
        <v>poeder voor oraal gebruik</v>
      </c>
      <c r="I1215" t="str">
        <f>VLOOKUP($A1215,[1]Table!$A$2:$N1357,I$1,FALSE)</f>
        <v>or</v>
      </c>
      <c r="J1215">
        <f>VLOOKUP($A1215,[1]Table!$A$2:$N1357,J$1,FALSE)</f>
        <v>3.4</v>
      </c>
      <c r="K1215" t="str">
        <f>VLOOKUP($A1215,[1]Table!$A$2:$N1357,K$1,FALSE)</f>
        <v>gr/stuk</v>
      </c>
      <c r="L1215">
        <f>VLOOKUP($A1215,[1]Table!$A$2:$N1357,L$1,FALSE)</f>
        <v>3.4</v>
      </c>
      <c r="M1215" t="str">
        <f>VLOOKUP($A1215,[1]Table!$A$2:$N1357,M$1,FALSE)</f>
        <v>gr</v>
      </c>
      <c r="N1215" t="str">
        <f>VLOOKUP($A1215,[1]Table!$A$2:$N1357,N$1,FALSE)</f>
        <v>Obstipatie</v>
      </c>
      <c r="O1215" t="str">
        <f>ConcatenateRange(AZ1215:BU1215,"||")</f>
        <v/>
      </c>
      <c r="AZ1215" t="str">
        <f t="shared" si="440"/>
        <v/>
      </c>
      <c r="BA1215" t="str">
        <f t="shared" si="441"/>
        <v/>
      </c>
      <c r="BB1215" t="str">
        <f t="shared" si="442"/>
        <v/>
      </c>
      <c r="BC1215" t="str">
        <f t="shared" si="443"/>
        <v/>
      </c>
      <c r="BD1215" t="str">
        <f t="shared" si="444"/>
        <v/>
      </c>
      <c r="BE1215" t="str">
        <f t="shared" si="445"/>
        <v/>
      </c>
      <c r="BF1215" t="str">
        <f t="shared" si="446"/>
        <v/>
      </c>
      <c r="BG1215" t="str">
        <f t="shared" si="447"/>
        <v/>
      </c>
      <c r="BH1215" t="str">
        <f t="shared" si="448"/>
        <v/>
      </c>
      <c r="BI1215" t="str">
        <f t="shared" si="449"/>
        <v/>
      </c>
      <c r="BJ1215" t="str">
        <f t="shared" si="450"/>
        <v/>
      </c>
      <c r="BK1215" t="str">
        <f t="shared" si="451"/>
        <v/>
      </c>
      <c r="BL1215" t="str">
        <f t="shared" si="452"/>
        <v/>
      </c>
      <c r="BM1215" t="str">
        <f t="shared" si="453"/>
        <v/>
      </c>
      <c r="BN1215" t="str">
        <f t="shared" si="454"/>
        <v/>
      </c>
      <c r="BO1215" t="str">
        <f t="shared" si="455"/>
        <v/>
      </c>
      <c r="BP1215" t="str">
        <f t="shared" si="456"/>
        <v/>
      </c>
      <c r="BQ1215" t="str">
        <f t="shared" si="457"/>
        <v/>
      </c>
      <c r="BR1215" t="str">
        <f t="shared" si="458"/>
        <v/>
      </c>
      <c r="BS1215" t="str">
        <f t="shared" si="459"/>
        <v/>
      </c>
      <c r="BT1215" t="str">
        <f t="shared" si="460"/>
        <v/>
      </c>
      <c r="BU1215" t="str">
        <f t="shared" si="461"/>
        <v/>
      </c>
    </row>
    <row r="1216" spans="1:73">
      <c r="A1216" s="1">
        <v>132632</v>
      </c>
      <c r="B1216" t="str">
        <f>VLOOKUP($A1216,[1]Table!$A$2:$N1358,B$1,FALSE)</f>
        <v>J07AL02</v>
      </c>
      <c r="C1216" t="str">
        <f>VLOOKUP($A1216,[1]Table!$A$2:$N1358,C$1,FALSE)</f>
        <v>VACCINS</v>
      </c>
      <c r="D1216" t="str">
        <f>VLOOKUP($A1216,[1]Table!$A$2:$N1358,D$1,FALSE)</f>
        <v>BACTERIELE VACCINS</v>
      </c>
      <c r="E1216" t="str">
        <f>VLOOKUP($A1216,[1]Table!$A$2:$N1358,E$1,FALSE)</f>
        <v>PNEUMOKOKKENVACCIN</v>
      </c>
      <c r="F1216" t="str">
        <f>VLOOKUP($A1216,[1]Table!$A$2:$N1358,F$1,FALSE)</f>
        <v>PREVENAR 13 SUSP VOOR INJ WWSP 0.5 ML</v>
      </c>
      <c r="G1216" t="str">
        <f>VLOOKUP($A1216,[1]Table!$A$2:$N1358,G$1,FALSE)</f>
        <v>PNEUMOKOKKENVACCIN 13T INJS</v>
      </c>
      <c r="H1216" t="str">
        <f>VLOOKUP($A1216,[1]Table!$A$2:$N1358,H$1,FALSE)</f>
        <v>suspensie voor injectie</v>
      </c>
      <c r="I1216" t="str">
        <f>VLOOKUP($A1216,[1]Table!$A$2:$N1358,I$1,FALSE)</f>
        <v>im</v>
      </c>
      <c r="J1216">
        <f>VLOOKUP($A1216,[1]Table!$A$2:$N1358,J$1,FALSE)</f>
        <v>0</v>
      </c>
      <c r="K1216" t="str">
        <f>VLOOKUP($A1216,[1]Table!$A$2:$N1358,K$1,FALSE)</f>
        <v>/ml</v>
      </c>
      <c r="L1216">
        <f>VLOOKUP($A1216,[1]Table!$A$2:$N1358,L$1,FALSE)</f>
        <v>0</v>
      </c>
      <c r="M1216">
        <f>VLOOKUP($A1216,[1]Table!$A$2:$N1358,M$1,FALSE)</f>
        <v>0</v>
      </c>
      <c r="N1216" t="str">
        <f>VLOOKUP($A1216,[1]Table!$A$2:$N1358,N$1,FALSE)</f>
        <v xml:space="preserve">RIJKSVACCINATIEPROGRAMMA Pneumokokken||Immunisatie pneumokokken: Afwijkende schema's (Niet RVP): </v>
      </c>
      <c r="O1216" t="str">
        <f>ConcatenateRange(AZ1216:BU1216,"||")</f>
        <v/>
      </c>
      <c r="AZ1216" t="str">
        <f t="shared" si="440"/>
        <v/>
      </c>
      <c r="BA1216" t="str">
        <f t="shared" si="441"/>
        <v/>
      </c>
      <c r="BB1216" t="str">
        <f t="shared" si="442"/>
        <v/>
      </c>
      <c r="BC1216" t="str">
        <f t="shared" si="443"/>
        <v/>
      </c>
      <c r="BD1216" t="str">
        <f t="shared" si="444"/>
        <v/>
      </c>
      <c r="BE1216" t="str">
        <f t="shared" si="445"/>
        <v/>
      </c>
      <c r="BF1216" t="str">
        <f t="shared" si="446"/>
        <v/>
      </c>
      <c r="BG1216" t="str">
        <f t="shared" si="447"/>
        <v/>
      </c>
      <c r="BH1216" t="str">
        <f t="shared" si="448"/>
        <v/>
      </c>
      <c r="BI1216" t="str">
        <f t="shared" si="449"/>
        <v/>
      </c>
      <c r="BJ1216" t="str">
        <f t="shared" si="450"/>
        <v/>
      </c>
      <c r="BK1216" t="str">
        <f t="shared" si="451"/>
        <v/>
      </c>
      <c r="BL1216" t="str">
        <f t="shared" si="452"/>
        <v/>
      </c>
      <c r="BM1216" t="str">
        <f t="shared" si="453"/>
        <v/>
      </c>
      <c r="BN1216" t="str">
        <f t="shared" si="454"/>
        <v/>
      </c>
      <c r="BO1216" t="str">
        <f t="shared" si="455"/>
        <v/>
      </c>
      <c r="BP1216" t="str">
        <f t="shared" si="456"/>
        <v/>
      </c>
      <c r="BQ1216" t="str">
        <f t="shared" si="457"/>
        <v/>
      </c>
      <c r="BR1216" t="str">
        <f t="shared" si="458"/>
        <v/>
      </c>
      <c r="BS1216" t="str">
        <f t="shared" si="459"/>
        <v/>
      </c>
      <c r="BT1216" t="str">
        <f t="shared" si="460"/>
        <v/>
      </c>
      <c r="BU1216" t="str">
        <f t="shared" si="461"/>
        <v/>
      </c>
    </row>
    <row r="1217" spans="1:73">
      <c r="A1217" s="1">
        <v>161284</v>
      </c>
      <c r="B1217" t="str">
        <f>VLOOKUP($A1217,[1]Table!$A$2:$N1359,B$1,FALSE)</f>
        <v>V03AE01</v>
      </c>
      <c r="C1217" t="str">
        <f>VLOOKUP($A1217,[1]Table!$A$2:$N1359,C$1,FALSE)</f>
        <v>ALLE OVERIGE THERAPEUTISCHE MIDDELEN</v>
      </c>
      <c r="D1217" t="str">
        <f>VLOOKUP($A1217,[1]Table!$A$2:$N1359,D$1,FALSE)</f>
        <v>ALLE OVERIGE THERAPEUTISCHE MIDDELEN</v>
      </c>
      <c r="E1217" t="str">
        <f>VLOOKUP($A1217,[1]Table!$A$2:$N1359,E$1,FALSE)</f>
        <v>POLYSTYREENSULFONZUUR</v>
      </c>
      <c r="F1217" t="str">
        <f>VLOOKUP($A1217,[1]Table!$A$2:$N1359,F$1,FALSE)</f>
        <v>SORBISTERIT POEDER 900 MG/G POT 500 G</v>
      </c>
      <c r="G1217" t="str">
        <f>VLOOKUP($A1217,[1]Table!$A$2:$N1359,G$1,FALSE)</f>
        <v>POLYSTYRE 900MG/G OR/REC</v>
      </c>
      <c r="H1217" t="str">
        <f>VLOOKUP($A1217,[1]Table!$A$2:$N1359,H$1,FALSE)</f>
        <v>poeder voor suspensie voor oraal/rectaal gebruik</v>
      </c>
      <c r="I1217" t="str">
        <f>VLOOKUP($A1217,[1]Table!$A$2:$N1359,I$1,FALSE)</f>
        <v>or||rect</v>
      </c>
      <c r="J1217">
        <f>VLOOKUP($A1217,[1]Table!$A$2:$N1359,J$1,FALSE)</f>
        <v>0.9</v>
      </c>
      <c r="K1217" t="str">
        <f>VLOOKUP($A1217,[1]Table!$A$2:$N1359,K$1,FALSE)</f>
        <v>gr/gr</v>
      </c>
      <c r="L1217">
        <f>VLOOKUP($A1217,[1]Table!$A$2:$N1359,L$1,FALSE)</f>
        <v>0.9</v>
      </c>
      <c r="M1217" t="str">
        <f>VLOOKUP($A1217,[1]Table!$A$2:$N1359,M$1,FALSE)</f>
        <v>gr</v>
      </c>
      <c r="N1217" t="str">
        <f>VLOOKUP($A1217,[1]Table!$A$2:$N1359,N$1,FALSE)</f>
        <v>Hyperkaliemie||Preventie hyperkaliemie bij chemokuur</v>
      </c>
      <c r="O1217" t="str">
        <f>ConcatenateRange(AZ1217:BU1217,"||")</f>
        <v/>
      </c>
      <c r="AZ1217" t="str">
        <f t="shared" si="440"/>
        <v/>
      </c>
      <c r="BA1217" t="str">
        <f t="shared" si="441"/>
        <v/>
      </c>
      <c r="BB1217" t="str">
        <f t="shared" si="442"/>
        <v/>
      </c>
      <c r="BC1217" t="str">
        <f t="shared" si="443"/>
        <v/>
      </c>
      <c r="BD1217" t="str">
        <f t="shared" si="444"/>
        <v/>
      </c>
      <c r="BE1217" t="str">
        <f t="shared" si="445"/>
        <v/>
      </c>
      <c r="BF1217" t="str">
        <f t="shared" si="446"/>
        <v/>
      </c>
      <c r="BG1217" t="str">
        <f t="shared" si="447"/>
        <v/>
      </c>
      <c r="BH1217" t="str">
        <f t="shared" si="448"/>
        <v/>
      </c>
      <c r="BI1217" t="str">
        <f t="shared" si="449"/>
        <v/>
      </c>
      <c r="BJ1217" t="str">
        <f t="shared" si="450"/>
        <v/>
      </c>
      <c r="BK1217" t="str">
        <f t="shared" si="451"/>
        <v/>
      </c>
      <c r="BL1217" t="str">
        <f t="shared" si="452"/>
        <v/>
      </c>
      <c r="BM1217" t="str">
        <f t="shared" si="453"/>
        <v/>
      </c>
      <c r="BN1217" t="str">
        <f t="shared" si="454"/>
        <v/>
      </c>
      <c r="BO1217" t="str">
        <f t="shared" si="455"/>
        <v/>
      </c>
      <c r="BP1217" t="str">
        <f t="shared" si="456"/>
        <v/>
      </c>
      <c r="BQ1217" t="str">
        <f t="shared" si="457"/>
        <v/>
      </c>
      <c r="BR1217" t="str">
        <f t="shared" si="458"/>
        <v/>
      </c>
      <c r="BS1217" t="str">
        <f t="shared" si="459"/>
        <v/>
      </c>
      <c r="BT1217" t="str">
        <f t="shared" si="460"/>
        <v/>
      </c>
      <c r="BU1217" t="str">
        <f t="shared" si="461"/>
        <v/>
      </c>
    </row>
    <row r="1218" spans="1:73">
      <c r="A1218" s="1">
        <v>161276</v>
      </c>
      <c r="B1218" t="str">
        <f>VLOOKUP($A1218,[1]Table!$A$2:$N1360,B$1,FALSE)</f>
        <v>V03AE01</v>
      </c>
      <c r="C1218" t="str">
        <f>VLOOKUP($A1218,[1]Table!$A$2:$N1360,C$1,FALSE)</f>
        <v>ALLE OVERIGE THERAPEUTISCHE MIDDELEN</v>
      </c>
      <c r="D1218" t="str">
        <f>VLOOKUP($A1218,[1]Table!$A$2:$N1360,D$1,FALSE)</f>
        <v>ALLE OVERIGE THERAPEUTISCHE MIDDELEN</v>
      </c>
      <c r="E1218" t="str">
        <f>VLOOKUP($A1218,[1]Table!$A$2:$N1360,E$1,FALSE)</f>
        <v>POLYSTYREENSULFONZUUR</v>
      </c>
      <c r="F1218" t="str">
        <f>VLOOKUP($A1218,[1]Table!$A$2:$N1360,F$1,FALSE)</f>
        <v>RESONIUM A POEDER POT 454 G</v>
      </c>
      <c r="G1218" t="str">
        <f>VLOOKUP($A1218,[1]Table!$A$2:$N1360,G$1,FALSE)</f>
        <v>POLYSTYRE 999,34MG/G OR/REC</v>
      </c>
      <c r="H1218" t="str">
        <f>VLOOKUP($A1218,[1]Table!$A$2:$N1360,H$1,FALSE)</f>
        <v>poeder voor suspensie voor oraal/rectaal gebruik</v>
      </c>
      <c r="I1218" t="str">
        <f>VLOOKUP($A1218,[1]Table!$A$2:$N1360,I$1,FALSE)</f>
        <v>or||rect</v>
      </c>
      <c r="J1218">
        <f>VLOOKUP($A1218,[1]Table!$A$2:$N1360,J$1,FALSE)</f>
        <v>0.999</v>
      </c>
      <c r="K1218" t="str">
        <f>VLOOKUP($A1218,[1]Table!$A$2:$N1360,K$1,FALSE)</f>
        <v>gr/gr</v>
      </c>
      <c r="L1218">
        <f>VLOOKUP($A1218,[1]Table!$A$2:$N1360,L$1,FALSE)</f>
        <v>0.999</v>
      </c>
      <c r="M1218" t="str">
        <f>VLOOKUP($A1218,[1]Table!$A$2:$N1360,M$1,FALSE)</f>
        <v>gr</v>
      </c>
      <c r="N1218" t="str">
        <f>VLOOKUP($A1218,[1]Table!$A$2:$N1360,N$1,FALSE)</f>
        <v>Hyperkaliemie||Preventie hyperkaliemie bij chemokuur</v>
      </c>
      <c r="O1218" t="str">
        <f>ConcatenateRange(AZ1218:BU1218,"||")</f>
        <v/>
      </c>
      <c r="AZ1218" t="str">
        <f t="shared" si="440"/>
        <v/>
      </c>
      <c r="BA1218" t="str">
        <f t="shared" si="441"/>
        <v/>
      </c>
      <c r="BB1218" t="str">
        <f t="shared" si="442"/>
        <v/>
      </c>
      <c r="BC1218" t="str">
        <f t="shared" si="443"/>
        <v/>
      </c>
      <c r="BD1218" t="str">
        <f t="shared" si="444"/>
        <v/>
      </c>
      <c r="BE1218" t="str">
        <f t="shared" si="445"/>
        <v/>
      </c>
      <c r="BF1218" t="str">
        <f t="shared" si="446"/>
        <v/>
      </c>
      <c r="BG1218" t="str">
        <f t="shared" si="447"/>
        <v/>
      </c>
      <c r="BH1218" t="str">
        <f t="shared" si="448"/>
        <v/>
      </c>
      <c r="BI1218" t="str">
        <f t="shared" si="449"/>
        <v/>
      </c>
      <c r="BJ1218" t="str">
        <f t="shared" si="450"/>
        <v/>
      </c>
      <c r="BK1218" t="str">
        <f t="shared" si="451"/>
        <v/>
      </c>
      <c r="BL1218" t="str">
        <f t="shared" si="452"/>
        <v/>
      </c>
      <c r="BM1218" t="str">
        <f t="shared" si="453"/>
        <v/>
      </c>
      <c r="BN1218" t="str">
        <f t="shared" si="454"/>
        <v/>
      </c>
      <c r="BO1218" t="str">
        <f t="shared" si="455"/>
        <v/>
      </c>
      <c r="BP1218" t="str">
        <f t="shared" si="456"/>
        <v/>
      </c>
      <c r="BQ1218" t="str">
        <f t="shared" si="457"/>
        <v/>
      </c>
      <c r="BR1218" t="str">
        <f t="shared" si="458"/>
        <v/>
      </c>
      <c r="BS1218" t="str">
        <f t="shared" si="459"/>
        <v/>
      </c>
      <c r="BT1218" t="str">
        <f t="shared" si="460"/>
        <v/>
      </c>
      <c r="BU1218" t="str">
        <f t="shared" si="461"/>
        <v/>
      </c>
    </row>
    <row r="1219" spans="1:73">
      <c r="A1219" s="1">
        <v>153478</v>
      </c>
      <c r="B1219" t="str">
        <f>VLOOKUP($A1219,[1]Table!$A$2:$N1361,B$1,FALSE)</f>
        <v>J02AC04</v>
      </c>
      <c r="C1219" t="str">
        <f>VLOOKUP($A1219,[1]Table!$A$2:$N1361,C$1,FALSE)</f>
        <v>ANTIMYCOTICA VOOR SYSTEMISCH GEBRUIK</v>
      </c>
      <c r="D1219" t="str">
        <f>VLOOKUP($A1219,[1]Table!$A$2:$N1361,D$1,FALSE)</f>
        <v>ANTIMYCOTICA VOOR SYSTEMISCH GEBRUIK</v>
      </c>
      <c r="E1219" t="str">
        <f>VLOOKUP($A1219,[1]Table!$A$2:$N1361,E$1,FALSE)</f>
        <v>POSACONAZOL</v>
      </c>
      <c r="F1219" t="str">
        <f>VLOOKUP($A1219,[1]Table!$A$2:$N1361,F$1,FALSE)</f>
        <v>NOXAFIL 18 MG/ML INFVLST FLACON 16,7 ML</v>
      </c>
      <c r="G1219" t="str">
        <f>VLOOKUP($A1219,[1]Table!$A$2:$N1361,G$1,FALSE)</f>
        <v>POSACONAZOL 18MG/ML INFOPL</v>
      </c>
      <c r="H1219" t="str">
        <f>VLOOKUP($A1219,[1]Table!$A$2:$N1361,H$1,FALSE)</f>
        <v>concentraat voor oplossing voor infusie</v>
      </c>
      <c r="I1219" t="str">
        <f>VLOOKUP($A1219,[1]Table!$A$2:$N1361,I$1,FALSE)</f>
        <v>iv</v>
      </c>
      <c r="J1219">
        <f>VLOOKUP($A1219,[1]Table!$A$2:$N1361,J$1,FALSE)</f>
        <v>18</v>
      </c>
      <c r="K1219" t="str">
        <f>VLOOKUP($A1219,[1]Table!$A$2:$N1361,K$1,FALSE)</f>
        <v>mg/ml</v>
      </c>
      <c r="L1219">
        <f>VLOOKUP($A1219,[1]Table!$A$2:$N1361,L$1,FALSE)</f>
        <v>18</v>
      </c>
      <c r="M1219" t="str">
        <f>VLOOKUP($A1219,[1]Table!$A$2:$N1361,M$1,FALSE)</f>
        <v>mg</v>
      </c>
      <c r="N1219" t="str">
        <f>VLOOKUP($A1219,[1]Table!$A$2:$N1361,N$1,FALSE)</f>
        <v>Behandeling invasieve schimmelinfectie||Profylaxe invasieve schimmelinfectie</v>
      </c>
      <c r="O1219" t="str">
        <f>ConcatenateRange(AZ1219:BU1219,"||")</f>
        <v/>
      </c>
      <c r="AZ1219" t="str">
        <f t="shared" si="440"/>
        <v/>
      </c>
      <c r="BA1219" t="str">
        <f t="shared" si="441"/>
        <v/>
      </c>
      <c r="BB1219" t="str">
        <f t="shared" si="442"/>
        <v/>
      </c>
      <c r="BC1219" t="str">
        <f t="shared" si="443"/>
        <v/>
      </c>
      <c r="BD1219" t="str">
        <f t="shared" si="444"/>
        <v/>
      </c>
      <c r="BE1219" t="str">
        <f t="shared" si="445"/>
        <v/>
      </c>
      <c r="BF1219" t="str">
        <f t="shared" si="446"/>
        <v/>
      </c>
      <c r="BG1219" t="str">
        <f t="shared" si="447"/>
        <v/>
      </c>
      <c r="BH1219" t="str">
        <f t="shared" si="448"/>
        <v/>
      </c>
      <c r="BI1219" t="str">
        <f t="shared" si="449"/>
        <v/>
      </c>
      <c r="BJ1219" t="str">
        <f t="shared" si="450"/>
        <v/>
      </c>
      <c r="BK1219" t="str">
        <f t="shared" si="451"/>
        <v/>
      </c>
      <c r="BL1219" t="str">
        <f t="shared" si="452"/>
        <v/>
      </c>
      <c r="BM1219" t="str">
        <f t="shared" si="453"/>
        <v/>
      </c>
      <c r="BN1219" t="str">
        <f t="shared" si="454"/>
        <v/>
      </c>
      <c r="BO1219" t="str">
        <f t="shared" si="455"/>
        <v/>
      </c>
      <c r="BP1219" t="str">
        <f t="shared" si="456"/>
        <v/>
      </c>
      <c r="BQ1219" t="str">
        <f t="shared" si="457"/>
        <v/>
      </c>
      <c r="BR1219" t="str">
        <f t="shared" si="458"/>
        <v/>
      </c>
      <c r="BS1219" t="str">
        <f t="shared" si="459"/>
        <v/>
      </c>
      <c r="BT1219" t="str">
        <f t="shared" si="460"/>
        <v/>
      </c>
      <c r="BU1219" t="str">
        <f t="shared" si="461"/>
        <v/>
      </c>
    </row>
    <row r="1220" spans="1:73">
      <c r="A1220" s="1">
        <v>151122</v>
      </c>
      <c r="B1220" t="str">
        <f>VLOOKUP($A1220,[1]Table!$A$2:$N1362,B$1,FALSE)</f>
        <v>J02AC04</v>
      </c>
      <c r="C1220" t="str">
        <f>VLOOKUP($A1220,[1]Table!$A$2:$N1362,C$1,FALSE)</f>
        <v>ANTIMYCOTICA VOOR SYSTEMISCH GEBRUIK</v>
      </c>
      <c r="D1220" t="str">
        <f>VLOOKUP($A1220,[1]Table!$A$2:$N1362,D$1,FALSE)</f>
        <v>ANTIMYCOTICA VOOR SYSTEMISCH GEBRUIK</v>
      </c>
      <c r="E1220" t="str">
        <f>VLOOKUP($A1220,[1]Table!$A$2:$N1362,E$1,FALSE)</f>
        <v>POSACONAZOL</v>
      </c>
      <c r="F1220" t="str">
        <f>VLOOKUP($A1220,[1]Table!$A$2:$N1362,F$1,FALSE)</f>
        <v>NOXAFIL 100 MG TABLET MSR</v>
      </c>
      <c r="G1220" t="str">
        <f>VLOOKUP($A1220,[1]Table!$A$2:$N1362,G$1,FALSE)</f>
        <v>POSACONAZOL 100MG TAB MSR</v>
      </c>
      <c r="H1220" t="str">
        <f>VLOOKUP($A1220,[1]Table!$A$2:$N1362,H$1,FALSE)</f>
        <v>maagsapresistente tablet</v>
      </c>
      <c r="I1220" t="str">
        <f>VLOOKUP($A1220,[1]Table!$A$2:$N1362,I$1,FALSE)</f>
        <v>or</v>
      </c>
      <c r="J1220">
        <f>VLOOKUP($A1220,[1]Table!$A$2:$N1362,J$1,FALSE)</f>
        <v>100</v>
      </c>
      <c r="K1220" t="str">
        <f>VLOOKUP($A1220,[1]Table!$A$2:$N1362,K$1,FALSE)</f>
        <v>mg/stuk</v>
      </c>
      <c r="L1220">
        <f>VLOOKUP($A1220,[1]Table!$A$2:$N1362,L$1,FALSE)</f>
        <v>100</v>
      </c>
      <c r="M1220" t="str">
        <f>VLOOKUP($A1220,[1]Table!$A$2:$N1362,M$1,FALSE)</f>
        <v>mg</v>
      </c>
      <c r="N1220" t="str">
        <f>VLOOKUP($A1220,[1]Table!$A$2:$N1362,N$1,FALSE)</f>
        <v>Behandeling invasieve schimmelinfectie||Profylaxe invasieve schimmelinfectie</v>
      </c>
      <c r="O1220" t="str">
        <f>ConcatenateRange(AZ1220:BU1220,"||")</f>
        <v/>
      </c>
      <c r="AZ1220" t="str">
        <f t="shared" si="440"/>
        <v/>
      </c>
      <c r="BA1220" t="str">
        <f t="shared" si="441"/>
        <v/>
      </c>
      <c r="BB1220" t="str">
        <f t="shared" si="442"/>
        <v/>
      </c>
      <c r="BC1220" t="str">
        <f t="shared" si="443"/>
        <v/>
      </c>
      <c r="BD1220" t="str">
        <f t="shared" si="444"/>
        <v/>
      </c>
      <c r="BE1220" t="str">
        <f t="shared" si="445"/>
        <v/>
      </c>
      <c r="BF1220" t="str">
        <f t="shared" si="446"/>
        <v/>
      </c>
      <c r="BG1220" t="str">
        <f t="shared" si="447"/>
        <v/>
      </c>
      <c r="BH1220" t="str">
        <f t="shared" si="448"/>
        <v/>
      </c>
      <c r="BI1220" t="str">
        <f t="shared" si="449"/>
        <v/>
      </c>
      <c r="BJ1220" t="str">
        <f t="shared" si="450"/>
        <v/>
      </c>
      <c r="BK1220" t="str">
        <f t="shared" si="451"/>
        <v/>
      </c>
      <c r="BL1220" t="str">
        <f t="shared" si="452"/>
        <v/>
      </c>
      <c r="BM1220" t="str">
        <f t="shared" si="453"/>
        <v/>
      </c>
      <c r="BN1220" t="str">
        <f t="shared" si="454"/>
        <v/>
      </c>
      <c r="BO1220" t="str">
        <f t="shared" si="455"/>
        <v/>
      </c>
      <c r="BP1220" t="str">
        <f t="shared" si="456"/>
        <v/>
      </c>
      <c r="BQ1220" t="str">
        <f t="shared" si="457"/>
        <v/>
      </c>
      <c r="BR1220" t="str">
        <f t="shared" si="458"/>
        <v/>
      </c>
      <c r="BS1220" t="str">
        <f t="shared" si="459"/>
        <v/>
      </c>
      <c r="BT1220" t="str">
        <f t="shared" si="460"/>
        <v/>
      </c>
      <c r="BU1220" t="str">
        <f t="shared" si="461"/>
        <v/>
      </c>
    </row>
    <row r="1221" spans="1:73">
      <c r="A1221" s="1">
        <v>124710</v>
      </c>
      <c r="B1221" t="str">
        <f>VLOOKUP($A1221,[1]Table!$A$2:$N1363,B$1,FALSE)</f>
        <v>J02AC04</v>
      </c>
      <c r="C1221" t="str">
        <f>VLOOKUP($A1221,[1]Table!$A$2:$N1363,C$1,FALSE)</f>
        <v>ANTIMYCOTICA VOOR SYSTEMISCH GEBRUIK</v>
      </c>
      <c r="D1221" t="str">
        <f>VLOOKUP($A1221,[1]Table!$A$2:$N1363,D$1,FALSE)</f>
        <v>ANTIMYCOTICA VOOR SYSTEMISCH GEBRUIK</v>
      </c>
      <c r="E1221" t="str">
        <f>VLOOKUP($A1221,[1]Table!$A$2:$N1363,E$1,FALSE)</f>
        <v>POSACONAZOL</v>
      </c>
      <c r="F1221" t="str">
        <f>VLOOKUP($A1221,[1]Table!$A$2:$N1363,F$1,FALSE)</f>
        <v>NOXAFIL 40 MG/ML SUSPENSIE 105 ML</v>
      </c>
      <c r="G1221" t="str">
        <f>VLOOKUP($A1221,[1]Table!$A$2:$N1363,G$1,FALSE)</f>
        <v>POSACONAZOL 40MG/ML SUSP</v>
      </c>
      <c r="H1221" t="str">
        <f>VLOOKUP($A1221,[1]Table!$A$2:$N1363,H$1,FALSE)</f>
        <v>suspensie voor oraal gebruik</v>
      </c>
      <c r="I1221" t="str">
        <f>VLOOKUP($A1221,[1]Table!$A$2:$N1363,I$1,FALSE)</f>
        <v>or</v>
      </c>
      <c r="J1221">
        <f>VLOOKUP($A1221,[1]Table!$A$2:$N1363,J$1,FALSE)</f>
        <v>40</v>
      </c>
      <c r="K1221" t="str">
        <f>VLOOKUP($A1221,[1]Table!$A$2:$N1363,K$1,FALSE)</f>
        <v>mg/ml</v>
      </c>
      <c r="L1221">
        <f>VLOOKUP($A1221,[1]Table!$A$2:$N1363,L$1,FALSE)</f>
        <v>40</v>
      </c>
      <c r="M1221" t="str">
        <f>VLOOKUP($A1221,[1]Table!$A$2:$N1363,M$1,FALSE)</f>
        <v>mg</v>
      </c>
      <c r="N1221" t="str">
        <f>VLOOKUP($A1221,[1]Table!$A$2:$N1363,N$1,FALSE)</f>
        <v>Behandeling invasieve schimmelinfectie||Profylaxe invasieve schimmelinfectie</v>
      </c>
      <c r="O1221" t="str">
        <f>ConcatenateRange(AZ1221:BU1221,"||")</f>
        <v/>
      </c>
      <c r="AZ1221" t="str">
        <f t="shared" si="440"/>
        <v/>
      </c>
      <c r="BA1221" t="str">
        <f t="shared" si="441"/>
        <v/>
      </c>
      <c r="BB1221" t="str">
        <f t="shared" si="442"/>
        <v/>
      </c>
      <c r="BC1221" t="str">
        <f t="shared" si="443"/>
        <v/>
      </c>
      <c r="BD1221" t="str">
        <f t="shared" si="444"/>
        <v/>
      </c>
      <c r="BE1221" t="str">
        <f t="shared" si="445"/>
        <v/>
      </c>
      <c r="BF1221" t="str">
        <f t="shared" si="446"/>
        <v/>
      </c>
      <c r="BG1221" t="str">
        <f t="shared" si="447"/>
        <v/>
      </c>
      <c r="BH1221" t="str">
        <f t="shared" si="448"/>
        <v/>
      </c>
      <c r="BI1221" t="str">
        <f t="shared" si="449"/>
        <v/>
      </c>
      <c r="BJ1221" t="str">
        <f t="shared" si="450"/>
        <v/>
      </c>
      <c r="BK1221" t="str">
        <f t="shared" si="451"/>
        <v/>
      </c>
      <c r="BL1221" t="str">
        <f t="shared" si="452"/>
        <v/>
      </c>
      <c r="BM1221" t="str">
        <f t="shared" si="453"/>
        <v/>
      </c>
      <c r="BN1221" t="str">
        <f t="shared" si="454"/>
        <v/>
      </c>
      <c r="BO1221" t="str">
        <f t="shared" si="455"/>
        <v/>
      </c>
      <c r="BP1221" t="str">
        <f t="shared" si="456"/>
        <v/>
      </c>
      <c r="BQ1221" t="str">
        <f t="shared" si="457"/>
        <v/>
      </c>
      <c r="BR1221" t="str">
        <f t="shared" si="458"/>
        <v/>
      </c>
      <c r="BS1221" t="str">
        <f t="shared" si="459"/>
        <v/>
      </c>
      <c r="BT1221" t="str">
        <f t="shared" si="460"/>
        <v/>
      </c>
      <c r="BU1221" t="str">
        <f t="shared" si="461"/>
        <v/>
      </c>
    </row>
    <row r="1222" spans="1:73">
      <c r="A1222" s="1">
        <v>51314</v>
      </c>
      <c r="B1222" t="str">
        <f>VLOOKUP($A1222,[1]Table!$A$2:$N1364,B$1,FALSE)</f>
        <v>S01XA20</v>
      </c>
      <c r="C1222" t="str">
        <f>VLOOKUP($A1222,[1]Table!$A$2:$N1364,C$1,FALSE)</f>
        <v>MIDDELEN VOOR OOGHEELKUNDIG GEBRUIK</v>
      </c>
      <c r="D1222" t="str">
        <f>VLOOKUP($A1222,[1]Table!$A$2:$N1364,D$1,FALSE)</f>
        <v>OVERIGE MIDDELEN VOOR OOGHEELKUNDIG GEBRUIK</v>
      </c>
      <c r="E1222" t="str">
        <f>VLOOKUP($A1222,[1]Table!$A$2:$N1364,E$1,FALSE)</f>
        <v>POVIDON</v>
      </c>
      <c r="F1222" t="str">
        <f>VLOOKUP($A1222,[1]Table!$A$2:$N1364,F$1,FALSE)</f>
        <v>PROTAGENS 2 % OOGDRUPPELS 15ML</v>
      </c>
      <c r="G1222" t="str">
        <f>VLOOKUP($A1222,[1]Table!$A$2:$N1364,G$1,FALSE)</f>
        <v>POVIDON 20MG/ML OOGDRUPPELS</v>
      </c>
      <c r="H1222" t="str">
        <f>VLOOKUP($A1222,[1]Table!$A$2:$N1364,H$1,FALSE)</f>
        <v>oogdruppels</v>
      </c>
      <c r="I1222" t="str">
        <f>VLOOKUP($A1222,[1]Table!$A$2:$N1364,I$1,FALSE)</f>
        <v>oog</v>
      </c>
      <c r="J1222">
        <f>VLOOKUP($A1222,[1]Table!$A$2:$N1364,J$1,FALSE)</f>
        <v>20</v>
      </c>
      <c r="K1222" t="str">
        <f>VLOOKUP($A1222,[1]Table!$A$2:$N1364,K$1,FALSE)</f>
        <v>mg/ml</v>
      </c>
      <c r="L1222">
        <f>VLOOKUP($A1222,[1]Table!$A$2:$N1364,L$1,FALSE)</f>
        <v>20</v>
      </c>
      <c r="M1222" t="str">
        <f>VLOOKUP($A1222,[1]Table!$A$2:$N1364,M$1,FALSE)</f>
        <v>mg</v>
      </c>
      <c r="N1222" t="str">
        <f>VLOOKUP($A1222,[1]Table!$A$2:$N1364,N$1,FALSE)</f>
        <v>Verminderde traansecretie/uitdroging</v>
      </c>
      <c r="O1222" t="str">
        <f>ConcatenateRange(AZ1222:BU1222,"||")</f>
        <v/>
      </c>
      <c r="AZ1222" t="str">
        <f t="shared" si="440"/>
        <v/>
      </c>
      <c r="BA1222" t="str">
        <f t="shared" si="441"/>
        <v/>
      </c>
      <c r="BB1222" t="str">
        <f t="shared" si="442"/>
        <v/>
      </c>
      <c r="BC1222" t="str">
        <f t="shared" si="443"/>
        <v/>
      </c>
      <c r="BD1222" t="str">
        <f t="shared" si="444"/>
        <v/>
      </c>
      <c r="BE1222" t="str">
        <f t="shared" si="445"/>
        <v/>
      </c>
      <c r="BF1222" t="str">
        <f t="shared" si="446"/>
        <v/>
      </c>
      <c r="BG1222" t="str">
        <f t="shared" si="447"/>
        <v/>
      </c>
      <c r="BH1222" t="str">
        <f t="shared" si="448"/>
        <v/>
      </c>
      <c r="BI1222" t="str">
        <f t="shared" si="449"/>
        <v/>
      </c>
      <c r="BJ1222" t="str">
        <f t="shared" si="450"/>
        <v/>
      </c>
      <c r="BK1222" t="str">
        <f t="shared" si="451"/>
        <v/>
      </c>
      <c r="BL1222" t="str">
        <f t="shared" si="452"/>
        <v/>
      </c>
      <c r="BM1222" t="str">
        <f t="shared" si="453"/>
        <v/>
      </c>
      <c r="BN1222" t="str">
        <f t="shared" si="454"/>
        <v/>
      </c>
      <c r="BO1222" t="str">
        <f t="shared" si="455"/>
        <v/>
      </c>
      <c r="BP1222" t="str">
        <f t="shared" si="456"/>
        <v/>
      </c>
      <c r="BQ1222" t="str">
        <f t="shared" si="457"/>
        <v/>
      </c>
      <c r="BR1222" t="str">
        <f t="shared" si="458"/>
        <v/>
      </c>
      <c r="BS1222" t="str">
        <f t="shared" si="459"/>
        <v/>
      </c>
      <c r="BT1222" t="str">
        <f t="shared" si="460"/>
        <v/>
      </c>
      <c r="BU1222" t="str">
        <f t="shared" si="461"/>
        <v/>
      </c>
    </row>
    <row r="1223" spans="1:73">
      <c r="A1223" s="1">
        <v>102482</v>
      </c>
      <c r="B1223" t="str">
        <f>VLOOKUP($A1223,[1]Table!$A$2:$N1365,B$1,FALSE)</f>
        <v>S01XA20</v>
      </c>
      <c r="C1223" t="str">
        <f>VLOOKUP($A1223,[1]Table!$A$2:$N1365,C$1,FALSE)</f>
        <v>MIDDELEN VOOR OOGHEELKUNDIG GEBRUIK</v>
      </c>
      <c r="D1223" t="str">
        <f>VLOOKUP($A1223,[1]Table!$A$2:$N1365,D$1,FALSE)</f>
        <v>OVERIGE MIDDELEN VOOR OOGHEELKUNDIG GEBRUIK</v>
      </c>
      <c r="E1223" t="str">
        <f>VLOOKUP($A1223,[1]Table!$A$2:$N1365,E$1,FALSE)</f>
        <v>POVIDON</v>
      </c>
      <c r="F1223" t="str">
        <f>VLOOKUP($A1223,[1]Table!$A$2:$N1365,F$1,FALSE)</f>
        <v>OCULOTECT 50 MG/ML OOGDRUPPELS 10 ML</v>
      </c>
      <c r="G1223" t="str">
        <f>VLOOKUP($A1223,[1]Table!$A$2:$N1365,G$1,FALSE)</f>
        <v>POVIDON 50MG/ML OOGDRUPPELS</v>
      </c>
      <c r="H1223" t="str">
        <f>VLOOKUP($A1223,[1]Table!$A$2:$N1365,H$1,FALSE)</f>
        <v>oogdruppels</v>
      </c>
      <c r="I1223" t="str">
        <f>VLOOKUP($A1223,[1]Table!$A$2:$N1365,I$1,FALSE)</f>
        <v>oog</v>
      </c>
      <c r="J1223">
        <f>VLOOKUP($A1223,[1]Table!$A$2:$N1365,J$1,FALSE)</f>
        <v>50</v>
      </c>
      <c r="K1223" t="str">
        <f>VLOOKUP($A1223,[1]Table!$A$2:$N1365,K$1,FALSE)</f>
        <v>mg/ml</v>
      </c>
      <c r="L1223">
        <f>VLOOKUP($A1223,[1]Table!$A$2:$N1365,L$1,FALSE)</f>
        <v>50</v>
      </c>
      <c r="M1223" t="str">
        <f>VLOOKUP($A1223,[1]Table!$A$2:$N1365,M$1,FALSE)</f>
        <v>mg</v>
      </c>
      <c r="N1223" t="str">
        <f>VLOOKUP($A1223,[1]Table!$A$2:$N1365,N$1,FALSE)</f>
        <v>Verminderde traansecretie/uitdroging</v>
      </c>
      <c r="O1223" t="str">
        <f>ConcatenateRange(AZ1223:BU1223,"||")</f>
        <v/>
      </c>
      <c r="AZ1223" t="str">
        <f t="shared" si="440"/>
        <v/>
      </c>
      <c r="BA1223" t="str">
        <f t="shared" si="441"/>
        <v/>
      </c>
      <c r="BB1223" t="str">
        <f t="shared" si="442"/>
        <v/>
      </c>
      <c r="BC1223" t="str">
        <f t="shared" si="443"/>
        <v/>
      </c>
      <c r="BD1223" t="str">
        <f t="shared" si="444"/>
        <v/>
      </c>
      <c r="BE1223" t="str">
        <f t="shared" si="445"/>
        <v/>
      </c>
      <c r="BF1223" t="str">
        <f t="shared" si="446"/>
        <v/>
      </c>
      <c r="BG1223" t="str">
        <f t="shared" si="447"/>
        <v/>
      </c>
      <c r="BH1223" t="str">
        <f t="shared" si="448"/>
        <v/>
      </c>
      <c r="BI1223" t="str">
        <f t="shared" si="449"/>
        <v/>
      </c>
      <c r="BJ1223" t="str">
        <f t="shared" si="450"/>
        <v/>
      </c>
      <c r="BK1223" t="str">
        <f t="shared" si="451"/>
        <v/>
      </c>
      <c r="BL1223" t="str">
        <f t="shared" si="452"/>
        <v/>
      </c>
      <c r="BM1223" t="str">
        <f t="shared" si="453"/>
        <v/>
      </c>
      <c r="BN1223" t="str">
        <f t="shared" si="454"/>
        <v/>
      </c>
      <c r="BO1223" t="str">
        <f t="shared" si="455"/>
        <v/>
      </c>
      <c r="BP1223" t="str">
        <f t="shared" si="456"/>
        <v/>
      </c>
      <c r="BQ1223" t="str">
        <f t="shared" si="457"/>
        <v/>
      </c>
      <c r="BR1223" t="str">
        <f t="shared" si="458"/>
        <v/>
      </c>
      <c r="BS1223" t="str">
        <f t="shared" si="459"/>
        <v/>
      </c>
      <c r="BT1223" t="str">
        <f t="shared" si="460"/>
        <v/>
      </c>
      <c r="BU1223" t="str">
        <f t="shared" si="461"/>
        <v/>
      </c>
    </row>
    <row r="1224" spans="1:73">
      <c r="A1224" s="1">
        <v>79553</v>
      </c>
      <c r="B1224" t="str">
        <f>VLOOKUP($A1224,[1]Table!$A$2:$N1366,B$1,FALSE)</f>
        <v>C10AA03</v>
      </c>
      <c r="C1224" t="str">
        <f>VLOOKUP($A1224,[1]Table!$A$2:$N1366,C$1,FALSE)</f>
        <v>ANTILIPAEMICA</v>
      </c>
      <c r="D1224" t="str">
        <f>VLOOKUP($A1224,[1]Table!$A$2:$N1366,D$1,FALSE)</f>
        <v>ANTILIPAEMICA, ENKELVOUDIG</v>
      </c>
      <c r="E1224" t="str">
        <f>VLOOKUP($A1224,[1]Table!$A$2:$N1366,E$1,FALSE)</f>
        <v>PRAVASTATINE</v>
      </c>
      <c r="F1224" t="str">
        <f>VLOOKUP($A1224,[1]Table!$A$2:$N1366,F$1,FALSE)</f>
        <v>PRAVASTATINE NATRIUM 10 MG TABLET</v>
      </c>
      <c r="G1224" t="str">
        <f>VLOOKUP($A1224,[1]Table!$A$2:$N1366,G$1,FALSE)</f>
        <v>PRAVASTATINE 10MG TABLET</v>
      </c>
      <c r="H1224" t="str">
        <f>VLOOKUP($A1224,[1]Table!$A$2:$N1366,H$1,FALSE)</f>
        <v>tablet</v>
      </c>
      <c r="I1224" t="str">
        <f>VLOOKUP($A1224,[1]Table!$A$2:$N1366,I$1,FALSE)</f>
        <v>or</v>
      </c>
      <c r="J1224">
        <f>VLOOKUP($A1224,[1]Table!$A$2:$N1366,J$1,FALSE)</f>
        <v>10</v>
      </c>
      <c r="K1224" t="str">
        <f>VLOOKUP($A1224,[1]Table!$A$2:$N1366,K$1,FALSE)</f>
        <v>mg/stuk</v>
      </c>
      <c r="L1224">
        <f>VLOOKUP($A1224,[1]Table!$A$2:$N1366,L$1,FALSE)</f>
        <v>10</v>
      </c>
      <c r="M1224" t="str">
        <f>VLOOKUP($A1224,[1]Table!$A$2:$N1366,M$1,FALSE)</f>
        <v>mg</v>
      </c>
      <c r="N1224" t="str">
        <f>VLOOKUP($A1224,[1]Table!$A$2:$N1366,N$1,FALSE)</f>
        <v>Heterozygote familiaire hypercholesterolemie</v>
      </c>
      <c r="O1224" t="str">
        <f>ConcatenateRange(AZ1224:BU1224,"||")</f>
        <v/>
      </c>
      <c r="AZ1224" t="str">
        <f t="shared" si="440"/>
        <v/>
      </c>
      <c r="BA1224" t="str">
        <f t="shared" si="441"/>
        <v/>
      </c>
      <c r="BB1224" t="str">
        <f t="shared" si="442"/>
        <v/>
      </c>
      <c r="BC1224" t="str">
        <f t="shared" si="443"/>
        <v/>
      </c>
      <c r="BD1224" t="str">
        <f t="shared" si="444"/>
        <v/>
      </c>
      <c r="BE1224" t="str">
        <f t="shared" si="445"/>
        <v/>
      </c>
      <c r="BF1224" t="str">
        <f t="shared" si="446"/>
        <v/>
      </c>
      <c r="BG1224" t="str">
        <f t="shared" si="447"/>
        <v/>
      </c>
      <c r="BH1224" t="str">
        <f t="shared" si="448"/>
        <v/>
      </c>
      <c r="BI1224" t="str">
        <f t="shared" si="449"/>
        <v/>
      </c>
      <c r="BJ1224" t="str">
        <f t="shared" si="450"/>
        <v/>
      </c>
      <c r="BK1224" t="str">
        <f t="shared" si="451"/>
        <v/>
      </c>
      <c r="BL1224" t="str">
        <f t="shared" si="452"/>
        <v/>
      </c>
      <c r="BM1224" t="str">
        <f t="shared" si="453"/>
        <v/>
      </c>
      <c r="BN1224" t="str">
        <f t="shared" si="454"/>
        <v/>
      </c>
      <c r="BO1224" t="str">
        <f t="shared" si="455"/>
        <v/>
      </c>
      <c r="BP1224" t="str">
        <f t="shared" si="456"/>
        <v/>
      </c>
      <c r="BQ1224" t="str">
        <f t="shared" si="457"/>
        <v/>
      </c>
      <c r="BR1224" t="str">
        <f t="shared" si="458"/>
        <v/>
      </c>
      <c r="BS1224" t="str">
        <f t="shared" si="459"/>
        <v/>
      </c>
      <c r="BT1224" t="str">
        <f t="shared" si="460"/>
        <v/>
      </c>
      <c r="BU1224" t="str">
        <f t="shared" si="461"/>
        <v/>
      </c>
    </row>
    <row r="1225" spans="1:73">
      <c r="A1225" s="1">
        <v>79561</v>
      </c>
      <c r="B1225" t="str">
        <f>VLOOKUP($A1225,[1]Table!$A$2:$N1367,B$1,FALSE)</f>
        <v>C10AA03</v>
      </c>
      <c r="C1225" t="str">
        <f>VLOOKUP($A1225,[1]Table!$A$2:$N1367,C$1,FALSE)</f>
        <v>ANTILIPAEMICA</v>
      </c>
      <c r="D1225" t="str">
        <f>VLOOKUP($A1225,[1]Table!$A$2:$N1367,D$1,FALSE)</f>
        <v>ANTILIPAEMICA, ENKELVOUDIG</v>
      </c>
      <c r="E1225" t="str">
        <f>VLOOKUP($A1225,[1]Table!$A$2:$N1367,E$1,FALSE)</f>
        <v>PRAVASTATINE</v>
      </c>
      <c r="F1225" t="str">
        <f>VLOOKUP($A1225,[1]Table!$A$2:$N1367,F$1,FALSE)</f>
        <v>PRAVASTATINE NATRIUM 20 MG TABLET</v>
      </c>
      <c r="G1225" t="str">
        <f>VLOOKUP($A1225,[1]Table!$A$2:$N1367,G$1,FALSE)</f>
        <v>PRAVASTATINE 20MG TABLET</v>
      </c>
      <c r="H1225" t="str">
        <f>VLOOKUP($A1225,[1]Table!$A$2:$N1367,H$1,FALSE)</f>
        <v>tablet</v>
      </c>
      <c r="I1225" t="str">
        <f>VLOOKUP($A1225,[1]Table!$A$2:$N1367,I$1,FALSE)</f>
        <v>or</v>
      </c>
      <c r="J1225">
        <f>VLOOKUP($A1225,[1]Table!$A$2:$N1367,J$1,FALSE)</f>
        <v>20</v>
      </c>
      <c r="K1225" t="str">
        <f>VLOOKUP($A1225,[1]Table!$A$2:$N1367,K$1,FALSE)</f>
        <v>mg/stuk</v>
      </c>
      <c r="L1225">
        <f>VLOOKUP($A1225,[1]Table!$A$2:$N1367,L$1,FALSE)</f>
        <v>20</v>
      </c>
      <c r="M1225" t="str">
        <f>VLOOKUP($A1225,[1]Table!$A$2:$N1367,M$1,FALSE)</f>
        <v>mg</v>
      </c>
      <c r="N1225" t="str">
        <f>VLOOKUP($A1225,[1]Table!$A$2:$N1367,N$1,FALSE)</f>
        <v>Heterozygote familiaire hypercholesterolemie</v>
      </c>
      <c r="O1225" t="str">
        <f>ConcatenateRange(AZ1225:BU1225,"||")</f>
        <v/>
      </c>
      <c r="AZ1225" t="str">
        <f t="shared" si="440"/>
        <v/>
      </c>
      <c r="BA1225" t="str">
        <f t="shared" si="441"/>
        <v/>
      </c>
      <c r="BB1225" t="str">
        <f t="shared" si="442"/>
        <v/>
      </c>
      <c r="BC1225" t="str">
        <f t="shared" si="443"/>
        <v/>
      </c>
      <c r="BD1225" t="str">
        <f t="shared" si="444"/>
        <v/>
      </c>
      <c r="BE1225" t="str">
        <f t="shared" si="445"/>
        <v/>
      </c>
      <c r="BF1225" t="str">
        <f t="shared" si="446"/>
        <v/>
      </c>
      <c r="BG1225" t="str">
        <f t="shared" si="447"/>
        <v/>
      </c>
      <c r="BH1225" t="str">
        <f t="shared" si="448"/>
        <v/>
      </c>
      <c r="BI1225" t="str">
        <f t="shared" si="449"/>
        <v/>
      </c>
      <c r="BJ1225" t="str">
        <f t="shared" si="450"/>
        <v/>
      </c>
      <c r="BK1225" t="str">
        <f t="shared" si="451"/>
        <v/>
      </c>
      <c r="BL1225" t="str">
        <f t="shared" si="452"/>
        <v/>
      </c>
      <c r="BM1225" t="str">
        <f t="shared" si="453"/>
        <v/>
      </c>
      <c r="BN1225" t="str">
        <f t="shared" si="454"/>
        <v/>
      </c>
      <c r="BO1225" t="str">
        <f t="shared" si="455"/>
        <v/>
      </c>
      <c r="BP1225" t="str">
        <f t="shared" si="456"/>
        <v/>
      </c>
      <c r="BQ1225" t="str">
        <f t="shared" si="457"/>
        <v/>
      </c>
      <c r="BR1225" t="str">
        <f t="shared" si="458"/>
        <v/>
      </c>
      <c r="BS1225" t="str">
        <f t="shared" si="459"/>
        <v/>
      </c>
      <c r="BT1225" t="str">
        <f t="shared" si="460"/>
        <v/>
      </c>
      <c r="BU1225" t="str">
        <f t="shared" si="461"/>
        <v/>
      </c>
    </row>
    <row r="1226" spans="1:73">
      <c r="A1226" s="1">
        <v>100811</v>
      </c>
      <c r="B1226" t="str">
        <f>VLOOKUP($A1226,[1]Table!$A$2:$N1368,B$1,FALSE)</f>
        <v>C10AA03</v>
      </c>
      <c r="C1226" t="str">
        <f>VLOOKUP($A1226,[1]Table!$A$2:$N1368,C$1,FALSE)</f>
        <v>ANTILIPAEMICA</v>
      </c>
      <c r="D1226" t="str">
        <f>VLOOKUP($A1226,[1]Table!$A$2:$N1368,D$1,FALSE)</f>
        <v>ANTILIPAEMICA, ENKELVOUDIG</v>
      </c>
      <c r="E1226" t="str">
        <f>VLOOKUP($A1226,[1]Table!$A$2:$N1368,E$1,FALSE)</f>
        <v>PRAVASTATINE</v>
      </c>
      <c r="F1226" t="str">
        <f>VLOOKUP($A1226,[1]Table!$A$2:$N1368,F$1,FALSE)</f>
        <v>PRAVASTATINE NATRIUM 40 MG TABLET</v>
      </c>
      <c r="G1226" t="str">
        <f>VLOOKUP($A1226,[1]Table!$A$2:$N1368,G$1,FALSE)</f>
        <v>PRAVASTATINE 40MG TABLET</v>
      </c>
      <c r="H1226" t="str">
        <f>VLOOKUP($A1226,[1]Table!$A$2:$N1368,H$1,FALSE)</f>
        <v>tablet</v>
      </c>
      <c r="I1226" t="str">
        <f>VLOOKUP($A1226,[1]Table!$A$2:$N1368,I$1,FALSE)</f>
        <v>or</v>
      </c>
      <c r="J1226">
        <f>VLOOKUP($A1226,[1]Table!$A$2:$N1368,J$1,FALSE)</f>
        <v>40</v>
      </c>
      <c r="K1226" t="str">
        <f>VLOOKUP($A1226,[1]Table!$A$2:$N1368,K$1,FALSE)</f>
        <v>mg/stuk</v>
      </c>
      <c r="L1226">
        <f>VLOOKUP($A1226,[1]Table!$A$2:$N1368,L$1,FALSE)</f>
        <v>40</v>
      </c>
      <c r="M1226" t="str">
        <f>VLOOKUP($A1226,[1]Table!$A$2:$N1368,M$1,FALSE)</f>
        <v>mg</v>
      </c>
      <c r="N1226" t="str">
        <f>VLOOKUP($A1226,[1]Table!$A$2:$N1368,N$1,FALSE)</f>
        <v>Heterozygote familiaire hypercholesterolemie</v>
      </c>
      <c r="O1226" t="str">
        <f>ConcatenateRange(AZ1226:BU1226,"||")</f>
        <v/>
      </c>
      <c r="AZ1226" t="str">
        <f t="shared" si="440"/>
        <v/>
      </c>
      <c r="BA1226" t="str">
        <f t="shared" si="441"/>
        <v/>
      </c>
      <c r="BB1226" t="str">
        <f t="shared" si="442"/>
        <v/>
      </c>
      <c r="BC1226" t="str">
        <f t="shared" si="443"/>
        <v/>
      </c>
      <c r="BD1226" t="str">
        <f t="shared" si="444"/>
        <v/>
      </c>
      <c r="BE1226" t="str">
        <f t="shared" si="445"/>
        <v/>
      </c>
      <c r="BF1226" t="str">
        <f t="shared" si="446"/>
        <v/>
      </c>
      <c r="BG1226" t="str">
        <f t="shared" si="447"/>
        <v/>
      </c>
      <c r="BH1226" t="str">
        <f t="shared" si="448"/>
        <v/>
      </c>
      <c r="BI1226" t="str">
        <f t="shared" si="449"/>
        <v/>
      </c>
      <c r="BJ1226" t="str">
        <f t="shared" si="450"/>
        <v/>
      </c>
      <c r="BK1226" t="str">
        <f t="shared" si="451"/>
        <v/>
      </c>
      <c r="BL1226" t="str">
        <f t="shared" si="452"/>
        <v/>
      </c>
      <c r="BM1226" t="str">
        <f t="shared" si="453"/>
        <v/>
      </c>
      <c r="BN1226" t="str">
        <f t="shared" si="454"/>
        <v/>
      </c>
      <c r="BO1226" t="str">
        <f t="shared" si="455"/>
        <v/>
      </c>
      <c r="BP1226" t="str">
        <f t="shared" si="456"/>
        <v/>
      </c>
      <c r="BQ1226" t="str">
        <f t="shared" si="457"/>
        <v/>
      </c>
      <c r="BR1226" t="str">
        <f t="shared" si="458"/>
        <v/>
      </c>
      <c r="BS1226" t="str">
        <f t="shared" si="459"/>
        <v/>
      </c>
      <c r="BT1226" t="str">
        <f t="shared" si="460"/>
        <v/>
      </c>
      <c r="BU1226" t="str">
        <f t="shared" si="461"/>
        <v/>
      </c>
    </row>
    <row r="1227" spans="1:73">
      <c r="A1227" s="1">
        <v>102776</v>
      </c>
      <c r="B1227" t="str">
        <f>VLOOKUP($A1227,[1]Table!$A$2:$N1369,B$1,FALSE)</f>
        <v>H02AB06</v>
      </c>
      <c r="C1227" t="str">
        <f>VLOOKUP($A1227,[1]Table!$A$2:$N1369,C$1,FALSE)</f>
        <v>CORTICOSTEROIDEN VOOR SYSTEMISCH GEBRUIK</v>
      </c>
      <c r="D1227" t="str">
        <f>VLOOKUP($A1227,[1]Table!$A$2:$N1369,D$1,FALSE)</f>
        <v>CORTICOSTEROIDEN VOOR SYSTEMISCH GEBRUIK</v>
      </c>
      <c r="E1227" t="str">
        <f>VLOOKUP($A1227,[1]Table!$A$2:$N1369,E$1,FALSE)</f>
        <v>PREDNISOLON</v>
      </c>
      <c r="F1227" t="str">
        <f>VLOOKUP($A1227,[1]Table!$A$2:$N1369,F$1,FALSE)</f>
        <v>PREDNISOLON 5 MG/ML DRANK 100ML</v>
      </c>
      <c r="G1227" t="str">
        <f>VLOOKUP($A1227,[1]Table!$A$2:$N1369,G$1,FALSE)</f>
        <v>PREDNISOLON 5MG/ML DRANK</v>
      </c>
      <c r="H1227" t="str">
        <f>VLOOKUP($A1227,[1]Table!$A$2:$N1369,H$1,FALSE)</f>
        <v>drank</v>
      </c>
      <c r="I1227" t="str">
        <f>VLOOKUP($A1227,[1]Table!$A$2:$N1369,I$1,FALSE)</f>
        <v>or</v>
      </c>
      <c r="J1227">
        <f>VLOOKUP($A1227,[1]Table!$A$2:$N1369,J$1,FALSE)</f>
        <v>5</v>
      </c>
      <c r="K1227" t="str">
        <f>VLOOKUP($A1227,[1]Table!$A$2:$N1369,K$1,FALSE)</f>
        <v>mg/ml</v>
      </c>
      <c r="L1227">
        <f>VLOOKUP($A1227,[1]Table!$A$2:$N1369,L$1,FALSE)</f>
        <v>5</v>
      </c>
      <c r="M1227" t="str">
        <f>VLOOKUP($A1227,[1]Table!$A$2:$N1369,M$1,FALSE)</f>
        <v>mg</v>
      </c>
      <c r="N1227" t="str">
        <f>VLOOKUP($A1227,[1]Table!$A$2:$N1369,N$1,FALSE)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7" t="str">
        <f>ConcatenateRange(AZ1227:BU1227,"||")</f>
        <v/>
      </c>
      <c r="AZ1227" t="str">
        <f t="shared" si="440"/>
        <v/>
      </c>
      <c r="BA1227" t="str">
        <f t="shared" si="441"/>
        <v/>
      </c>
      <c r="BB1227" t="str">
        <f t="shared" si="442"/>
        <v/>
      </c>
      <c r="BC1227" t="str">
        <f t="shared" si="443"/>
        <v/>
      </c>
      <c r="BD1227" t="str">
        <f t="shared" si="444"/>
        <v/>
      </c>
      <c r="BE1227" t="str">
        <f t="shared" si="445"/>
        <v/>
      </c>
      <c r="BF1227" t="str">
        <f t="shared" si="446"/>
        <v/>
      </c>
      <c r="BG1227" t="str">
        <f t="shared" si="447"/>
        <v/>
      </c>
      <c r="BH1227" t="str">
        <f t="shared" si="448"/>
        <v/>
      </c>
      <c r="BI1227" t="str">
        <f t="shared" si="449"/>
        <v/>
      </c>
      <c r="BJ1227" t="str">
        <f t="shared" si="450"/>
        <v/>
      </c>
      <c r="BK1227" t="str">
        <f t="shared" si="451"/>
        <v/>
      </c>
      <c r="BL1227" t="str">
        <f t="shared" si="452"/>
        <v/>
      </c>
      <c r="BM1227" t="str">
        <f t="shared" si="453"/>
        <v/>
      </c>
      <c r="BN1227" t="str">
        <f t="shared" si="454"/>
        <v/>
      </c>
      <c r="BO1227" t="str">
        <f t="shared" si="455"/>
        <v/>
      </c>
      <c r="BP1227" t="str">
        <f t="shared" si="456"/>
        <v/>
      </c>
      <c r="BQ1227" t="str">
        <f t="shared" si="457"/>
        <v/>
      </c>
      <c r="BR1227" t="str">
        <f t="shared" si="458"/>
        <v/>
      </c>
      <c r="BS1227" t="str">
        <f t="shared" si="459"/>
        <v/>
      </c>
      <c r="BT1227" t="str">
        <f t="shared" si="460"/>
        <v/>
      </c>
      <c r="BU1227" t="str">
        <f t="shared" si="461"/>
        <v/>
      </c>
    </row>
    <row r="1228" spans="1:73">
      <c r="A1228" s="1">
        <v>31410</v>
      </c>
      <c r="B1228" t="str">
        <f>VLOOKUP($A1228,[1]Table!$A$2:$N1370,B$1,FALSE)</f>
        <v>S01BA04</v>
      </c>
      <c r="C1228" t="str">
        <f>VLOOKUP($A1228,[1]Table!$A$2:$N1370,C$1,FALSE)</f>
        <v>MIDDELEN VOOR OOGHEELKUNDIG GEBRUIK</v>
      </c>
      <c r="D1228" t="str">
        <f>VLOOKUP($A1228,[1]Table!$A$2:$N1370,D$1,FALSE)</f>
        <v>ANTI-INFLAMMATOIRE MIDDELEN</v>
      </c>
      <c r="E1228" t="str">
        <f>VLOOKUP($A1228,[1]Table!$A$2:$N1370,E$1,FALSE)</f>
        <v>PREDNISOLON</v>
      </c>
      <c r="F1228" t="str">
        <f>VLOOKUP($A1228,[1]Table!$A$2:$N1370,F$1,FALSE)</f>
        <v>PREDNISOLON 0.5 % MINIMS 0.5ML</v>
      </c>
      <c r="G1228" t="str">
        <f>VLOOKUP($A1228,[1]Table!$A$2:$N1370,G$1,FALSE)</f>
        <v>PREDNISOLON 5MG/ML OOGD FOS</v>
      </c>
      <c r="H1228" t="str">
        <f>VLOOKUP($A1228,[1]Table!$A$2:$N1370,H$1,FALSE)</f>
        <v>oogdruppels</v>
      </c>
      <c r="I1228" t="str">
        <f>VLOOKUP($A1228,[1]Table!$A$2:$N1370,I$1,FALSE)</f>
        <v>oog</v>
      </c>
      <c r="J1228">
        <f>VLOOKUP($A1228,[1]Table!$A$2:$N1370,J$1,FALSE)</f>
        <v>5</v>
      </c>
      <c r="K1228" t="str">
        <f>VLOOKUP($A1228,[1]Table!$A$2:$N1370,K$1,FALSE)</f>
        <v>mg/ml</v>
      </c>
      <c r="L1228">
        <f>VLOOKUP($A1228,[1]Table!$A$2:$N1370,L$1,FALSE)</f>
        <v>5</v>
      </c>
      <c r="M1228" t="str">
        <f>VLOOKUP($A1228,[1]Table!$A$2:$N1370,M$1,FALSE)</f>
        <v>mg</v>
      </c>
      <c r="N1228" t="str">
        <f>VLOOKUP($A1228,[1]Table!$A$2:$N1370,N$1,FALSE)</f>
        <v xml:space="preserve">Inflammatoire, niet-infectieuze aandoening van de conjunctiva, uveitis en post-operatief </v>
      </c>
      <c r="O1228" t="str">
        <f>ConcatenateRange(AZ1228:BU1228,"||")</f>
        <v/>
      </c>
      <c r="AZ1228" t="str">
        <f t="shared" si="440"/>
        <v/>
      </c>
      <c r="BA1228" t="str">
        <f t="shared" si="441"/>
        <v/>
      </c>
      <c r="BB1228" t="str">
        <f t="shared" si="442"/>
        <v/>
      </c>
      <c r="BC1228" t="str">
        <f t="shared" si="443"/>
        <v/>
      </c>
      <c r="BD1228" t="str">
        <f t="shared" si="444"/>
        <v/>
      </c>
      <c r="BE1228" t="str">
        <f t="shared" si="445"/>
        <v/>
      </c>
      <c r="BF1228" t="str">
        <f t="shared" si="446"/>
        <v/>
      </c>
      <c r="BG1228" t="str">
        <f t="shared" si="447"/>
        <v/>
      </c>
      <c r="BH1228" t="str">
        <f t="shared" si="448"/>
        <v/>
      </c>
      <c r="BI1228" t="str">
        <f t="shared" si="449"/>
        <v/>
      </c>
      <c r="BJ1228" t="str">
        <f t="shared" si="450"/>
        <v/>
      </c>
      <c r="BK1228" t="str">
        <f t="shared" si="451"/>
        <v/>
      </c>
      <c r="BL1228" t="str">
        <f t="shared" si="452"/>
        <v/>
      </c>
      <c r="BM1228" t="str">
        <f t="shared" si="453"/>
        <v/>
      </c>
      <c r="BN1228" t="str">
        <f t="shared" si="454"/>
        <v/>
      </c>
      <c r="BO1228" t="str">
        <f t="shared" si="455"/>
        <v/>
      </c>
      <c r="BP1228" t="str">
        <f t="shared" si="456"/>
        <v/>
      </c>
      <c r="BQ1228" t="str">
        <f t="shared" si="457"/>
        <v/>
      </c>
      <c r="BR1228" t="str">
        <f t="shared" si="458"/>
        <v/>
      </c>
      <c r="BS1228" t="str">
        <f t="shared" si="459"/>
        <v/>
      </c>
      <c r="BT1228" t="str">
        <f t="shared" si="460"/>
        <v/>
      </c>
      <c r="BU1228" t="str">
        <f t="shared" si="461"/>
        <v/>
      </c>
    </row>
    <row r="1229" spans="1:73">
      <c r="A1229" s="1">
        <v>135402</v>
      </c>
      <c r="B1229" t="str">
        <f>VLOOKUP($A1229,[1]Table!$A$2:$N1371,B$1,FALSE)</f>
        <v>S01BA04</v>
      </c>
      <c r="C1229" t="str">
        <f>VLOOKUP($A1229,[1]Table!$A$2:$N1371,C$1,FALSE)</f>
        <v>MIDDELEN VOOR OOGHEELKUNDIG GEBRUIK</v>
      </c>
      <c r="D1229" t="str">
        <f>VLOOKUP($A1229,[1]Table!$A$2:$N1371,D$1,FALSE)</f>
        <v>ANTI-INFLAMMATOIRE MIDDELEN</v>
      </c>
      <c r="E1229" t="str">
        <f>VLOOKUP($A1229,[1]Table!$A$2:$N1371,E$1,FALSE)</f>
        <v>PREDNISOLON</v>
      </c>
      <c r="F1229" t="str">
        <f>VLOOKUP($A1229,[1]Table!$A$2:$N1371,F$1,FALSE)</f>
        <v>PRED FORTE 1 % OOGDRUPPELS 5ML</v>
      </c>
      <c r="G1229" t="str">
        <f>VLOOKUP($A1229,[1]Table!$A$2:$N1371,G$1,FALSE)</f>
        <v>PREDNISOLON 10MG/ML OOGDR</v>
      </c>
      <c r="H1229" t="str">
        <f>VLOOKUP($A1229,[1]Table!$A$2:$N1371,H$1,FALSE)</f>
        <v>oogdruppels, suspensie</v>
      </c>
      <c r="I1229" t="str">
        <f>VLOOKUP($A1229,[1]Table!$A$2:$N1371,I$1,FALSE)</f>
        <v>oog</v>
      </c>
      <c r="J1229">
        <f>VLOOKUP($A1229,[1]Table!$A$2:$N1371,J$1,FALSE)</f>
        <v>10</v>
      </c>
      <c r="K1229" t="str">
        <f>VLOOKUP($A1229,[1]Table!$A$2:$N1371,K$1,FALSE)</f>
        <v>mg/ml</v>
      </c>
      <c r="L1229">
        <f>VLOOKUP($A1229,[1]Table!$A$2:$N1371,L$1,FALSE)</f>
        <v>10</v>
      </c>
      <c r="M1229" t="str">
        <f>VLOOKUP($A1229,[1]Table!$A$2:$N1371,M$1,FALSE)</f>
        <v>mg</v>
      </c>
      <c r="N1229" t="str">
        <f>VLOOKUP($A1229,[1]Table!$A$2:$N1371,N$1,FALSE)</f>
        <v xml:space="preserve">Inflammatoire, niet-infectieuze aandoening van de conjunctiva, uveitis en post-operatief </v>
      </c>
      <c r="O1229" t="str">
        <f>ConcatenateRange(AZ1229:BU1229,"||")</f>
        <v/>
      </c>
      <c r="AZ1229" t="str">
        <f t="shared" si="440"/>
        <v/>
      </c>
      <c r="BA1229" t="str">
        <f t="shared" si="441"/>
        <v/>
      </c>
      <c r="BB1229" t="str">
        <f t="shared" si="442"/>
        <v/>
      </c>
      <c r="BC1229" t="str">
        <f t="shared" si="443"/>
        <v/>
      </c>
      <c r="BD1229" t="str">
        <f t="shared" si="444"/>
        <v/>
      </c>
      <c r="BE1229" t="str">
        <f t="shared" si="445"/>
        <v/>
      </c>
      <c r="BF1229" t="str">
        <f t="shared" si="446"/>
        <v/>
      </c>
      <c r="BG1229" t="str">
        <f t="shared" si="447"/>
        <v/>
      </c>
      <c r="BH1229" t="str">
        <f t="shared" si="448"/>
        <v/>
      </c>
      <c r="BI1229" t="str">
        <f t="shared" si="449"/>
        <v/>
      </c>
      <c r="BJ1229" t="str">
        <f t="shared" si="450"/>
        <v/>
      </c>
      <c r="BK1229" t="str">
        <f t="shared" si="451"/>
        <v/>
      </c>
      <c r="BL1229" t="str">
        <f t="shared" si="452"/>
        <v/>
      </c>
      <c r="BM1229" t="str">
        <f t="shared" si="453"/>
        <v/>
      </c>
      <c r="BN1229" t="str">
        <f t="shared" si="454"/>
        <v/>
      </c>
      <c r="BO1229" t="str">
        <f t="shared" si="455"/>
        <v/>
      </c>
      <c r="BP1229" t="str">
        <f t="shared" si="456"/>
        <v/>
      </c>
      <c r="BQ1229" t="str">
        <f t="shared" si="457"/>
        <v/>
      </c>
      <c r="BR1229" t="str">
        <f t="shared" si="458"/>
        <v/>
      </c>
      <c r="BS1229" t="str">
        <f t="shared" si="459"/>
        <v/>
      </c>
      <c r="BT1229" t="str">
        <f t="shared" si="460"/>
        <v/>
      </c>
      <c r="BU1229" t="str">
        <f t="shared" si="461"/>
        <v/>
      </c>
    </row>
    <row r="1230" spans="1:73">
      <c r="A1230" s="1">
        <v>21792</v>
      </c>
      <c r="B1230" t="str">
        <f>VLOOKUP($A1230,[1]Table!$A$2:$N1372,B$1,FALSE)</f>
        <v>S01BA04</v>
      </c>
      <c r="C1230" t="str">
        <f>VLOOKUP($A1230,[1]Table!$A$2:$N1372,C$1,FALSE)</f>
        <v>MIDDELEN VOOR OOGHEELKUNDIG GEBRUIK</v>
      </c>
      <c r="D1230" t="str">
        <f>VLOOKUP($A1230,[1]Table!$A$2:$N1372,D$1,FALSE)</f>
        <v>ANTI-INFLAMMATOIRE MIDDELEN</v>
      </c>
      <c r="E1230" t="str">
        <f>VLOOKUP($A1230,[1]Table!$A$2:$N1372,E$1,FALSE)</f>
        <v>PREDNISOLON</v>
      </c>
      <c r="F1230" t="str">
        <f>VLOOKUP($A1230,[1]Table!$A$2:$N1372,F$1,FALSE)</f>
        <v>ULTRACORTENOL 0,5 % OOGZALF 5 GRAM</v>
      </c>
      <c r="G1230" t="str">
        <f>VLOOKUP($A1230,[1]Table!$A$2:$N1372,G$1,FALSE)</f>
        <v>PREDNISOLON 5MG/G OOGZALF</v>
      </c>
      <c r="H1230" t="str">
        <f>VLOOKUP($A1230,[1]Table!$A$2:$N1372,H$1,FALSE)</f>
        <v>oogzalf</v>
      </c>
      <c r="I1230" t="str">
        <f>VLOOKUP($A1230,[1]Table!$A$2:$N1372,I$1,FALSE)</f>
        <v>oog</v>
      </c>
      <c r="J1230">
        <f>VLOOKUP($A1230,[1]Table!$A$2:$N1372,J$1,FALSE)</f>
        <v>5</v>
      </c>
      <c r="K1230" t="str">
        <f>VLOOKUP($A1230,[1]Table!$A$2:$N1372,K$1,FALSE)</f>
        <v>mg/gr</v>
      </c>
      <c r="L1230">
        <f>VLOOKUP($A1230,[1]Table!$A$2:$N1372,L$1,FALSE)</f>
        <v>5</v>
      </c>
      <c r="M1230" t="str">
        <f>VLOOKUP($A1230,[1]Table!$A$2:$N1372,M$1,FALSE)</f>
        <v>mg</v>
      </c>
      <c r="N1230" t="str">
        <f>VLOOKUP($A1230,[1]Table!$A$2:$N1372,N$1,FALSE)</f>
        <v xml:space="preserve">Inflammatoire, niet-infectieuze aandoening van de conjunctiva, uveitis en post-operatief </v>
      </c>
      <c r="O1230" t="str">
        <f>ConcatenateRange(AZ1230:BU1230,"||")</f>
        <v/>
      </c>
      <c r="AZ1230" t="str">
        <f t="shared" si="440"/>
        <v/>
      </c>
      <c r="BA1230" t="str">
        <f t="shared" si="441"/>
        <v/>
      </c>
      <c r="BB1230" t="str">
        <f t="shared" si="442"/>
        <v/>
      </c>
      <c r="BC1230" t="str">
        <f t="shared" si="443"/>
        <v/>
      </c>
      <c r="BD1230" t="str">
        <f t="shared" si="444"/>
        <v/>
      </c>
      <c r="BE1230" t="str">
        <f t="shared" si="445"/>
        <v/>
      </c>
      <c r="BF1230" t="str">
        <f t="shared" si="446"/>
        <v/>
      </c>
      <c r="BG1230" t="str">
        <f t="shared" si="447"/>
        <v/>
      </c>
      <c r="BH1230" t="str">
        <f t="shared" si="448"/>
        <v/>
      </c>
      <c r="BI1230" t="str">
        <f t="shared" si="449"/>
        <v/>
      </c>
      <c r="BJ1230" t="str">
        <f t="shared" si="450"/>
        <v/>
      </c>
      <c r="BK1230" t="str">
        <f t="shared" si="451"/>
        <v/>
      </c>
      <c r="BL1230" t="str">
        <f t="shared" si="452"/>
        <v/>
      </c>
      <c r="BM1230" t="str">
        <f t="shared" si="453"/>
        <v/>
      </c>
      <c r="BN1230" t="str">
        <f t="shared" si="454"/>
        <v/>
      </c>
      <c r="BO1230" t="str">
        <f t="shared" si="455"/>
        <v/>
      </c>
      <c r="BP1230" t="str">
        <f t="shared" si="456"/>
        <v/>
      </c>
      <c r="BQ1230" t="str">
        <f t="shared" si="457"/>
        <v/>
      </c>
      <c r="BR1230" t="str">
        <f t="shared" si="458"/>
        <v/>
      </c>
      <c r="BS1230" t="str">
        <f t="shared" si="459"/>
        <v/>
      </c>
      <c r="BT1230" t="str">
        <f t="shared" si="460"/>
        <v/>
      </c>
      <c r="BU1230" t="str">
        <f t="shared" si="461"/>
        <v/>
      </c>
    </row>
    <row r="1231" spans="1:73">
      <c r="A1231" s="1">
        <v>136131</v>
      </c>
      <c r="B1231" t="str">
        <f>VLOOKUP($A1231,[1]Table!$A$2:$N1373,B$1,FALSE)</f>
        <v>H02AB06</v>
      </c>
      <c r="C1231" t="str">
        <f>VLOOKUP($A1231,[1]Table!$A$2:$N1373,C$1,FALSE)</f>
        <v>CORTICOSTEROIDEN VOOR SYSTEMISCH GEBRUIK</v>
      </c>
      <c r="D1231" t="str">
        <f>VLOOKUP($A1231,[1]Table!$A$2:$N1373,D$1,FALSE)</f>
        <v>CORTICOSTEROIDEN VOOR SYSTEMISCH GEBRUIK</v>
      </c>
      <c r="E1231" t="str">
        <f>VLOOKUP($A1231,[1]Table!$A$2:$N1373,E$1,FALSE)</f>
        <v>PREDNISOLON</v>
      </c>
      <c r="F1231" t="str">
        <f>VLOOKUP($A1231,[1]Table!$A$2:$N1373,F$1,FALSE)</f>
        <v>DI ADRESON-F 25 MG POEDER VOOR INJECTIE</v>
      </c>
      <c r="G1231" t="str">
        <f>VLOOKUP($A1231,[1]Table!$A$2:$N1373,G$1,FALSE)</f>
        <v>PREDNISOLON 25MG INJPDR</v>
      </c>
      <c r="H1231" t="str">
        <f>VLOOKUP($A1231,[1]Table!$A$2:$N1373,H$1,FALSE)</f>
        <v>poeder voor injectievloeistof</v>
      </c>
      <c r="I1231" t="str">
        <f>VLOOKUP($A1231,[1]Table!$A$2:$N1373,I$1,FALSE)</f>
        <v>im||iv||rect||sc||intrathec||intraartic||periartic</v>
      </c>
      <c r="J1231">
        <f>VLOOKUP($A1231,[1]Table!$A$2:$N1373,J$1,FALSE)</f>
        <v>25</v>
      </c>
      <c r="K1231" t="str">
        <f>VLOOKUP($A1231,[1]Table!$A$2:$N1373,K$1,FALSE)</f>
        <v>mg/stuk</v>
      </c>
      <c r="L1231">
        <f>VLOOKUP($A1231,[1]Table!$A$2:$N1373,L$1,FALSE)</f>
        <v>25</v>
      </c>
      <c r="M1231" t="str">
        <f>VLOOKUP($A1231,[1]Table!$A$2:$N1373,M$1,FALSE)</f>
        <v>mg</v>
      </c>
      <c r="N1231" t="str">
        <f>VLOOKUP($A1231,[1]Table!$A$2:$N1373,N$1,FALSE)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1" t="str">
        <f>ConcatenateRange(AZ1231:BU1231,"||")</f>
        <v/>
      </c>
      <c r="AZ1231" t="str">
        <f t="shared" si="440"/>
        <v/>
      </c>
      <c r="BA1231" t="str">
        <f t="shared" si="441"/>
        <v/>
      </c>
      <c r="BB1231" t="str">
        <f t="shared" si="442"/>
        <v/>
      </c>
      <c r="BC1231" t="str">
        <f t="shared" si="443"/>
        <v/>
      </c>
      <c r="BD1231" t="str">
        <f t="shared" si="444"/>
        <v/>
      </c>
      <c r="BE1231" t="str">
        <f t="shared" si="445"/>
        <v/>
      </c>
      <c r="BF1231" t="str">
        <f t="shared" si="446"/>
        <v/>
      </c>
      <c r="BG1231" t="str">
        <f t="shared" si="447"/>
        <v/>
      </c>
      <c r="BH1231" t="str">
        <f t="shared" si="448"/>
        <v/>
      </c>
      <c r="BI1231" t="str">
        <f t="shared" si="449"/>
        <v/>
      </c>
      <c r="BJ1231" t="str">
        <f t="shared" si="450"/>
        <v/>
      </c>
      <c r="BK1231" t="str">
        <f t="shared" si="451"/>
        <v/>
      </c>
      <c r="BL1231" t="str">
        <f t="shared" si="452"/>
        <v/>
      </c>
      <c r="BM1231" t="str">
        <f t="shared" si="453"/>
        <v/>
      </c>
      <c r="BN1231" t="str">
        <f t="shared" si="454"/>
        <v/>
      </c>
      <c r="BO1231" t="str">
        <f t="shared" si="455"/>
        <v/>
      </c>
      <c r="BP1231" t="str">
        <f t="shared" si="456"/>
        <v/>
      </c>
      <c r="BQ1231" t="str">
        <f t="shared" si="457"/>
        <v/>
      </c>
      <c r="BR1231" t="str">
        <f t="shared" si="458"/>
        <v/>
      </c>
      <c r="BS1231" t="str">
        <f t="shared" si="459"/>
        <v/>
      </c>
      <c r="BT1231" t="str">
        <f t="shared" si="460"/>
        <v/>
      </c>
      <c r="BU1231" t="str">
        <f t="shared" si="461"/>
        <v/>
      </c>
    </row>
    <row r="1232" spans="1:73">
      <c r="A1232" s="1">
        <v>14494</v>
      </c>
      <c r="B1232" t="str">
        <f>VLOOKUP($A1232,[1]Table!$A$2:$N1374,B$1,FALSE)</f>
        <v>H02AB06</v>
      </c>
      <c r="C1232" t="str">
        <f>VLOOKUP($A1232,[1]Table!$A$2:$N1374,C$1,FALSE)</f>
        <v>CORTICOSTEROIDEN VOOR SYSTEMISCH GEBRUIK</v>
      </c>
      <c r="D1232" t="str">
        <f>VLOOKUP($A1232,[1]Table!$A$2:$N1374,D$1,FALSE)</f>
        <v>CORTICOSTEROIDEN VOOR SYSTEMISCH GEBRUIK</v>
      </c>
      <c r="E1232" t="str">
        <f>VLOOKUP($A1232,[1]Table!$A$2:$N1374,E$1,FALSE)</f>
        <v>PREDNISOLON</v>
      </c>
      <c r="F1232" t="str">
        <f>VLOOKUP($A1232,[1]Table!$A$2:$N1374,F$1,FALSE)</f>
        <v>PREDNISOLON 25 MG POEDER VOOR INJECTIE</v>
      </c>
      <c r="G1232" t="str">
        <f>VLOOKUP($A1232,[1]Table!$A$2:$N1374,G$1,FALSE)</f>
        <v>PREDNISOLON 25MG INJPDR</v>
      </c>
      <c r="H1232" t="str">
        <f>VLOOKUP($A1232,[1]Table!$A$2:$N1374,H$1,FALSE)</f>
        <v>poeder voor injectievloeistof</v>
      </c>
      <c r="I1232" t="str">
        <f>VLOOKUP($A1232,[1]Table!$A$2:$N1374,I$1,FALSE)</f>
        <v>im||iv||sc||intraartic||periartic</v>
      </c>
      <c r="J1232">
        <f>VLOOKUP($A1232,[1]Table!$A$2:$N1374,J$1,FALSE)</f>
        <v>25</v>
      </c>
      <c r="K1232" t="str">
        <f>VLOOKUP($A1232,[1]Table!$A$2:$N1374,K$1,FALSE)</f>
        <v>mg/stuk</v>
      </c>
      <c r="L1232">
        <f>VLOOKUP($A1232,[1]Table!$A$2:$N1374,L$1,FALSE)</f>
        <v>25</v>
      </c>
      <c r="M1232" t="str">
        <f>VLOOKUP($A1232,[1]Table!$A$2:$N1374,M$1,FALSE)</f>
        <v>mg</v>
      </c>
      <c r="N1232" t="str">
        <f>VLOOKUP($A1232,[1]Table!$A$2:$N1374,N$1,FALSE)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2" t="str">
        <f>ConcatenateRange(AZ1232:BU1232,"||")</f>
        <v/>
      </c>
      <c r="AZ1232" t="str">
        <f t="shared" si="440"/>
        <v/>
      </c>
      <c r="BA1232" t="str">
        <f t="shared" si="441"/>
        <v/>
      </c>
      <c r="BB1232" t="str">
        <f t="shared" si="442"/>
        <v/>
      </c>
      <c r="BC1232" t="str">
        <f t="shared" si="443"/>
        <v/>
      </c>
      <c r="BD1232" t="str">
        <f t="shared" si="444"/>
        <v/>
      </c>
      <c r="BE1232" t="str">
        <f t="shared" si="445"/>
        <v/>
      </c>
      <c r="BF1232" t="str">
        <f t="shared" si="446"/>
        <v/>
      </c>
      <c r="BG1232" t="str">
        <f t="shared" si="447"/>
        <v/>
      </c>
      <c r="BH1232" t="str">
        <f t="shared" si="448"/>
        <v/>
      </c>
      <c r="BI1232" t="str">
        <f t="shared" si="449"/>
        <v/>
      </c>
      <c r="BJ1232" t="str">
        <f t="shared" si="450"/>
        <v/>
      </c>
      <c r="BK1232" t="str">
        <f t="shared" si="451"/>
        <v/>
      </c>
      <c r="BL1232" t="str">
        <f t="shared" si="452"/>
        <v/>
      </c>
      <c r="BM1232" t="str">
        <f t="shared" si="453"/>
        <v/>
      </c>
      <c r="BN1232" t="str">
        <f t="shared" si="454"/>
        <v/>
      </c>
      <c r="BO1232" t="str">
        <f t="shared" si="455"/>
        <v/>
      </c>
      <c r="BP1232" t="str">
        <f t="shared" si="456"/>
        <v/>
      </c>
      <c r="BQ1232" t="str">
        <f t="shared" si="457"/>
        <v/>
      </c>
      <c r="BR1232" t="str">
        <f t="shared" si="458"/>
        <v/>
      </c>
      <c r="BS1232" t="str">
        <f t="shared" si="459"/>
        <v/>
      </c>
      <c r="BT1232" t="str">
        <f t="shared" si="460"/>
        <v/>
      </c>
      <c r="BU1232" t="str">
        <f t="shared" si="461"/>
        <v/>
      </c>
    </row>
    <row r="1233" spans="1:73">
      <c r="A1233" s="1">
        <v>23809</v>
      </c>
      <c r="B1233" t="str">
        <f>VLOOKUP($A1233,[1]Table!$A$2:$N1375,B$1,FALSE)</f>
        <v>H02AB06</v>
      </c>
      <c r="C1233" t="str">
        <f>VLOOKUP($A1233,[1]Table!$A$2:$N1375,C$1,FALSE)</f>
        <v>CORTICOSTEROIDEN VOOR SYSTEMISCH GEBRUIK</v>
      </c>
      <c r="D1233" t="str">
        <f>VLOOKUP($A1233,[1]Table!$A$2:$N1375,D$1,FALSE)</f>
        <v>CORTICOSTEROIDEN VOOR SYSTEMISCH GEBRUIK</v>
      </c>
      <c r="E1233" t="str">
        <f>VLOOKUP($A1233,[1]Table!$A$2:$N1375,E$1,FALSE)</f>
        <v>PREDNISOLON</v>
      </c>
      <c r="F1233" t="str">
        <f>VLOOKUP($A1233,[1]Table!$A$2:$N1375,F$1,FALSE)</f>
        <v>PREDNISOLON 5 MG TABLET</v>
      </c>
      <c r="G1233" t="str">
        <f>VLOOKUP($A1233,[1]Table!$A$2:$N1375,G$1,FALSE)</f>
        <v>PREDNISOLON 5MG TABLET</v>
      </c>
      <c r="H1233" t="str">
        <f>VLOOKUP($A1233,[1]Table!$A$2:$N1375,H$1,FALSE)</f>
        <v>tablet</v>
      </c>
      <c r="I1233" t="str">
        <f>VLOOKUP($A1233,[1]Table!$A$2:$N1375,I$1,FALSE)</f>
        <v>or</v>
      </c>
      <c r="J1233">
        <f>VLOOKUP($A1233,[1]Table!$A$2:$N1375,J$1,FALSE)</f>
        <v>5</v>
      </c>
      <c r="K1233" t="str">
        <f>VLOOKUP($A1233,[1]Table!$A$2:$N1375,K$1,FALSE)</f>
        <v>mg/stuk</v>
      </c>
      <c r="L1233">
        <f>VLOOKUP($A1233,[1]Table!$A$2:$N1375,L$1,FALSE)</f>
        <v>2.5</v>
      </c>
      <c r="M1233" t="str">
        <f>VLOOKUP($A1233,[1]Table!$A$2:$N1375,M$1,FALSE)</f>
        <v>mg</v>
      </c>
      <c r="N1233" t="str">
        <f>VLOOKUP($A1233,[1]Table!$A$2:$N1375,N$1,FALSE)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3" t="str">
        <f>ConcatenateRange(AZ1233:BU1233,"||")</f>
        <v/>
      </c>
      <c r="AZ1233" t="str">
        <f t="shared" ref="AZ1233:AZ1292" si="462">IF(AA1233&lt;&gt;0,AA$2,"")</f>
        <v/>
      </c>
      <c r="BA1233" t="str">
        <f t="shared" ref="BA1233:BA1292" si="463">IF(AB1233&lt;&gt;0,AB$2,"")</f>
        <v/>
      </c>
      <c r="BB1233" t="str">
        <f t="shared" ref="BB1233:BB1292" si="464">IF(AC1233&lt;&gt;0,AC$2,"")</f>
        <v/>
      </c>
      <c r="BC1233" t="str">
        <f t="shared" ref="BC1233:BC1292" si="465">IF(AD1233&lt;&gt;0,AD$2,"")</f>
        <v/>
      </c>
      <c r="BD1233" t="str">
        <f t="shared" ref="BD1233:BD1292" si="466">IF(AE1233&lt;&gt;0,AE$2,"")</f>
        <v/>
      </c>
      <c r="BE1233" t="str">
        <f t="shared" ref="BE1233:BE1292" si="467">IF(AF1233&lt;&gt;0,AF$2,"")</f>
        <v/>
      </c>
      <c r="BF1233" t="str">
        <f t="shared" ref="BF1233:BF1292" si="468">IF(AG1233&lt;&gt;0,AG$2,"")</f>
        <v/>
      </c>
      <c r="BG1233" t="str">
        <f t="shared" ref="BG1233:BG1292" si="469">IF(AH1233&lt;&gt;0,AH$2,"")</f>
        <v/>
      </c>
      <c r="BH1233" t="str">
        <f t="shared" ref="BH1233:BH1292" si="470">IF(AI1233&lt;&gt;0,AI$2,"")</f>
        <v/>
      </c>
      <c r="BI1233" t="str">
        <f t="shared" ref="BI1233:BI1292" si="471">IF(AJ1233&lt;&gt;0,AJ$2,"")</f>
        <v/>
      </c>
      <c r="BJ1233" t="str">
        <f t="shared" ref="BJ1233:BJ1292" si="472">IF(AK1233&lt;&gt;0,AK$2,"")</f>
        <v/>
      </c>
      <c r="BK1233" t="str">
        <f t="shared" ref="BK1233:BK1292" si="473">IF(AL1233&lt;&gt;0,AL$2,"")</f>
        <v/>
      </c>
      <c r="BL1233" t="str">
        <f t="shared" ref="BL1233:BL1292" si="474">IF(AM1233&lt;&gt;0,AM$2,"")</f>
        <v/>
      </c>
      <c r="BM1233" t="str">
        <f t="shared" ref="BM1233:BM1292" si="475">IF(AN1233&lt;&gt;0,AN$2,"")</f>
        <v/>
      </c>
      <c r="BN1233" t="str">
        <f t="shared" ref="BN1233:BN1292" si="476">IF(AO1233&lt;&gt;0,AO$2,"")</f>
        <v/>
      </c>
      <c r="BO1233" t="str">
        <f t="shared" ref="BO1233:BO1292" si="477">IF(AP1233&lt;&gt;0,AP$2,"")</f>
        <v/>
      </c>
      <c r="BP1233" t="str">
        <f t="shared" ref="BP1233:BP1292" si="478">IF(AQ1233&lt;&gt;0,AQ$2,"")</f>
        <v/>
      </c>
      <c r="BQ1233" t="str">
        <f t="shared" ref="BQ1233:BQ1292" si="479">IF(AR1233&lt;&gt;0,AR$2,"")</f>
        <v/>
      </c>
      <c r="BR1233" t="str">
        <f t="shared" ref="BR1233:BR1292" si="480">IF(AS1233&lt;&gt;0,AS$2,"")</f>
        <v/>
      </c>
      <c r="BS1233" t="str">
        <f t="shared" ref="BS1233:BS1292" si="481">IF(AT1233&lt;&gt;0,AT$2,"")</f>
        <v/>
      </c>
      <c r="BT1233" t="str">
        <f t="shared" ref="BT1233:BT1292" si="482">IF(AU1233&lt;&gt;0,AU$2,"")</f>
        <v/>
      </c>
      <c r="BU1233" t="str">
        <f t="shared" ref="BU1233:BU1292" si="483">IF(AV1233&lt;&gt;0,AV$2,"")</f>
        <v/>
      </c>
    </row>
    <row r="1234" spans="1:73">
      <c r="A1234" s="1">
        <v>111872</v>
      </c>
      <c r="B1234" t="str">
        <f>VLOOKUP($A1234,[1]Table!$A$2:$N1376,B$1,FALSE)</f>
        <v>H02AB06</v>
      </c>
      <c r="C1234" t="str">
        <f>VLOOKUP($A1234,[1]Table!$A$2:$N1376,C$1,FALSE)</f>
        <v>CORTICOSTEROIDEN VOOR SYSTEMISCH GEBRUIK</v>
      </c>
      <c r="D1234" t="str">
        <f>VLOOKUP($A1234,[1]Table!$A$2:$N1376,D$1,FALSE)</f>
        <v>CORTICOSTEROIDEN VOOR SYSTEMISCH GEBRUIK</v>
      </c>
      <c r="E1234" t="str">
        <f>VLOOKUP($A1234,[1]Table!$A$2:$N1376,E$1,FALSE)</f>
        <v>PREDNISOLON</v>
      </c>
      <c r="F1234" t="str">
        <f>VLOOKUP($A1234,[1]Table!$A$2:$N1376,F$1,FALSE)</f>
        <v>PREDNISOLON 20 MG TABLET</v>
      </c>
      <c r="G1234" t="str">
        <f>VLOOKUP($A1234,[1]Table!$A$2:$N1376,G$1,FALSE)</f>
        <v>PREDNISOLON 20MG TABLET</v>
      </c>
      <c r="H1234" t="str">
        <f>VLOOKUP($A1234,[1]Table!$A$2:$N1376,H$1,FALSE)</f>
        <v>tablet</v>
      </c>
      <c r="I1234" t="str">
        <f>VLOOKUP($A1234,[1]Table!$A$2:$N1376,I$1,FALSE)</f>
        <v>or</v>
      </c>
      <c r="J1234">
        <f>VLOOKUP($A1234,[1]Table!$A$2:$N1376,J$1,FALSE)</f>
        <v>20</v>
      </c>
      <c r="K1234" t="str">
        <f>VLOOKUP($A1234,[1]Table!$A$2:$N1376,K$1,FALSE)</f>
        <v>mg/stuk</v>
      </c>
      <c r="L1234">
        <f>VLOOKUP($A1234,[1]Table!$A$2:$N1376,L$1,FALSE)</f>
        <v>10</v>
      </c>
      <c r="M1234" t="str">
        <f>VLOOKUP($A1234,[1]Table!$A$2:$N1376,M$1,FALSE)</f>
        <v>mg</v>
      </c>
      <c r="N1234" t="str">
        <f>VLOOKUP($A1234,[1]Table!$A$2:$N1376,N$1,FALSE)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4" t="str">
        <f>ConcatenateRange(AZ1234:BU1234,"||")</f>
        <v/>
      </c>
      <c r="AZ1234" t="str">
        <f t="shared" si="462"/>
        <v/>
      </c>
      <c r="BA1234" t="str">
        <f t="shared" si="463"/>
        <v/>
      </c>
      <c r="BB1234" t="str">
        <f t="shared" si="464"/>
        <v/>
      </c>
      <c r="BC1234" t="str">
        <f t="shared" si="465"/>
        <v/>
      </c>
      <c r="BD1234" t="str">
        <f t="shared" si="466"/>
        <v/>
      </c>
      <c r="BE1234" t="str">
        <f t="shared" si="467"/>
        <v/>
      </c>
      <c r="BF1234" t="str">
        <f t="shared" si="468"/>
        <v/>
      </c>
      <c r="BG1234" t="str">
        <f t="shared" si="469"/>
        <v/>
      </c>
      <c r="BH1234" t="str">
        <f t="shared" si="470"/>
        <v/>
      </c>
      <c r="BI1234" t="str">
        <f t="shared" si="471"/>
        <v/>
      </c>
      <c r="BJ1234" t="str">
        <f t="shared" si="472"/>
        <v/>
      </c>
      <c r="BK1234" t="str">
        <f t="shared" si="473"/>
        <v/>
      </c>
      <c r="BL1234" t="str">
        <f t="shared" si="474"/>
        <v/>
      </c>
      <c r="BM1234" t="str">
        <f t="shared" si="475"/>
        <v/>
      </c>
      <c r="BN1234" t="str">
        <f t="shared" si="476"/>
        <v/>
      </c>
      <c r="BO1234" t="str">
        <f t="shared" si="477"/>
        <v/>
      </c>
      <c r="BP1234" t="str">
        <f t="shared" si="478"/>
        <v/>
      </c>
      <c r="BQ1234" t="str">
        <f t="shared" si="479"/>
        <v/>
      </c>
      <c r="BR1234" t="str">
        <f t="shared" si="480"/>
        <v/>
      </c>
      <c r="BS1234" t="str">
        <f t="shared" si="481"/>
        <v/>
      </c>
      <c r="BT1234" t="str">
        <f t="shared" si="482"/>
        <v/>
      </c>
      <c r="BU1234" t="str">
        <f t="shared" si="483"/>
        <v/>
      </c>
    </row>
    <row r="1235" spans="1:73">
      <c r="A1235" s="1">
        <v>115800</v>
      </c>
      <c r="B1235" t="str">
        <f>VLOOKUP($A1235,[1]Table!$A$2:$N1377,B$1,FALSE)</f>
        <v>H02AB06</v>
      </c>
      <c r="C1235" t="str">
        <f>VLOOKUP($A1235,[1]Table!$A$2:$N1377,C$1,FALSE)</f>
        <v>CORTICOSTEROIDEN VOOR SYSTEMISCH GEBRUIK</v>
      </c>
      <c r="D1235" t="str">
        <f>VLOOKUP($A1235,[1]Table!$A$2:$N1377,D$1,FALSE)</f>
        <v>CORTICOSTEROIDEN VOOR SYSTEMISCH GEBRUIK</v>
      </c>
      <c r="E1235" t="str">
        <f>VLOOKUP($A1235,[1]Table!$A$2:$N1377,E$1,FALSE)</f>
        <v>PREDNISOLON</v>
      </c>
      <c r="F1235" t="str">
        <f>VLOOKUP($A1235,[1]Table!$A$2:$N1377,F$1,FALSE)</f>
        <v>PREDNISOLON 30 MG TABLET</v>
      </c>
      <c r="G1235" t="str">
        <f>VLOOKUP($A1235,[1]Table!$A$2:$N1377,G$1,FALSE)</f>
        <v>PREDNISOLON 30MG TABLET</v>
      </c>
      <c r="H1235" t="str">
        <f>VLOOKUP($A1235,[1]Table!$A$2:$N1377,H$1,FALSE)</f>
        <v>tablet</v>
      </c>
      <c r="I1235" t="str">
        <f>VLOOKUP($A1235,[1]Table!$A$2:$N1377,I$1,FALSE)</f>
        <v>or</v>
      </c>
      <c r="J1235">
        <f>VLOOKUP($A1235,[1]Table!$A$2:$N1377,J$1,FALSE)</f>
        <v>30</v>
      </c>
      <c r="K1235" t="str">
        <f>VLOOKUP($A1235,[1]Table!$A$2:$N1377,K$1,FALSE)</f>
        <v>mg/stuk</v>
      </c>
      <c r="L1235">
        <f>VLOOKUP($A1235,[1]Table!$A$2:$N1377,L$1,FALSE)</f>
        <v>15</v>
      </c>
      <c r="M1235" t="str">
        <f>VLOOKUP($A1235,[1]Table!$A$2:$N1377,M$1,FALSE)</f>
        <v>mg</v>
      </c>
      <c r="N1235" t="str">
        <f>VLOOKUP($A1235,[1]Table!$A$2:$N1377,N$1,FALSE)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5" t="str">
        <f>ConcatenateRange(AZ1235:BU1235,"||")</f>
        <v/>
      </c>
      <c r="AZ1235" t="str">
        <f t="shared" si="462"/>
        <v/>
      </c>
      <c r="BA1235" t="str">
        <f t="shared" si="463"/>
        <v/>
      </c>
      <c r="BB1235" t="str">
        <f t="shared" si="464"/>
        <v/>
      </c>
      <c r="BC1235" t="str">
        <f t="shared" si="465"/>
        <v/>
      </c>
      <c r="BD1235" t="str">
        <f t="shared" si="466"/>
        <v/>
      </c>
      <c r="BE1235" t="str">
        <f t="shared" si="467"/>
        <v/>
      </c>
      <c r="BF1235" t="str">
        <f t="shared" si="468"/>
        <v/>
      </c>
      <c r="BG1235" t="str">
        <f t="shared" si="469"/>
        <v/>
      </c>
      <c r="BH1235" t="str">
        <f t="shared" si="470"/>
        <v/>
      </c>
      <c r="BI1235" t="str">
        <f t="shared" si="471"/>
        <v/>
      </c>
      <c r="BJ1235" t="str">
        <f t="shared" si="472"/>
        <v/>
      </c>
      <c r="BK1235" t="str">
        <f t="shared" si="473"/>
        <v/>
      </c>
      <c r="BL1235" t="str">
        <f t="shared" si="474"/>
        <v/>
      </c>
      <c r="BM1235" t="str">
        <f t="shared" si="475"/>
        <v/>
      </c>
      <c r="BN1235" t="str">
        <f t="shared" si="476"/>
        <v/>
      </c>
      <c r="BO1235" t="str">
        <f t="shared" si="477"/>
        <v/>
      </c>
      <c r="BP1235" t="str">
        <f t="shared" si="478"/>
        <v/>
      </c>
      <c r="BQ1235" t="str">
        <f t="shared" si="479"/>
        <v/>
      </c>
      <c r="BR1235" t="str">
        <f t="shared" si="480"/>
        <v/>
      </c>
      <c r="BS1235" t="str">
        <f t="shared" si="481"/>
        <v/>
      </c>
      <c r="BT1235" t="str">
        <f t="shared" si="482"/>
        <v/>
      </c>
      <c r="BU1235" t="str">
        <f t="shared" si="483"/>
        <v/>
      </c>
    </row>
    <row r="1236" spans="1:73">
      <c r="A1236" s="1">
        <v>135704</v>
      </c>
      <c r="B1236" t="str">
        <f>VLOOKUP($A1236,[1]Table!$A$2:$N1379,B$1,FALSE)</f>
        <v>N01BB04</v>
      </c>
      <c r="C1236" t="str">
        <f>VLOOKUP($A1236,[1]Table!$A$2:$N1379,C$1,FALSE)</f>
        <v>ANAESTHETICA</v>
      </c>
      <c r="D1236" t="str">
        <f>VLOOKUP($A1236,[1]Table!$A$2:$N1379,D$1,FALSE)</f>
        <v>ANAESTHETICA, LOKALE</v>
      </c>
      <c r="E1236" t="str">
        <f>VLOOKUP($A1236,[1]Table!$A$2:$N1379,E$1,FALSE)</f>
        <v>PRILOCAINE</v>
      </c>
      <c r="F1236" t="str">
        <f>VLOOKUP($A1236,[1]Table!$A$2:$N1379,F$1,FALSE)</f>
        <v>CITANEST 10 MG/ML INJVLST FLACON 50ML</v>
      </c>
      <c r="G1236" t="str">
        <f>VLOOKUP($A1236,[1]Table!$A$2:$N1379,G$1,FALSE)</f>
        <v>PRILOCAINE 10MG/ML INJVLST</v>
      </c>
      <c r="H1236" t="str">
        <f>VLOOKUP($A1236,[1]Table!$A$2:$N1379,H$1,FALSE)</f>
        <v>injectievloeistof</v>
      </c>
      <c r="I1236" t="str">
        <f>VLOOKUP($A1236,[1]Table!$A$2:$N1379,I$1,FALSE)</f>
        <v>perineur||lokaal</v>
      </c>
      <c r="J1236">
        <f>VLOOKUP($A1236,[1]Table!$A$2:$N1379,J$1,FALSE)</f>
        <v>10</v>
      </c>
      <c r="K1236" t="str">
        <f>VLOOKUP($A1236,[1]Table!$A$2:$N1379,K$1,FALSE)</f>
        <v>mg/ml</v>
      </c>
      <c r="L1236">
        <f>VLOOKUP($A1236,[1]Table!$A$2:$N1379,L$1,FALSE)</f>
        <v>10</v>
      </c>
      <c r="M1236" t="str">
        <f>VLOOKUP($A1236,[1]Table!$A$2:$N1379,M$1,FALSE)</f>
        <v>mg</v>
      </c>
      <c r="N1236" t="str">
        <f>VLOOKUP($A1236,[1]Table!$A$2:$N1379,N$1,FALSE)</f>
        <v>Regionale anesthesie||Infiltratie-,geleidingsanesthesie</v>
      </c>
      <c r="O1236" t="str">
        <f>ConcatenateRange(AZ1236:BU1236,"||")</f>
        <v/>
      </c>
      <c r="AZ1236" t="str">
        <f t="shared" si="462"/>
        <v/>
      </c>
      <c r="BA1236" t="str">
        <f t="shared" si="463"/>
        <v/>
      </c>
      <c r="BB1236" t="str">
        <f t="shared" si="464"/>
        <v/>
      </c>
      <c r="BC1236" t="str">
        <f t="shared" si="465"/>
        <v/>
      </c>
      <c r="BD1236" t="str">
        <f t="shared" si="466"/>
        <v/>
      </c>
      <c r="BE1236" t="str">
        <f t="shared" si="467"/>
        <v/>
      </c>
      <c r="BF1236" t="str">
        <f t="shared" si="468"/>
        <v/>
      </c>
      <c r="BG1236" t="str">
        <f t="shared" si="469"/>
        <v/>
      </c>
      <c r="BH1236" t="str">
        <f t="shared" si="470"/>
        <v/>
      </c>
      <c r="BI1236" t="str">
        <f t="shared" si="471"/>
        <v/>
      </c>
      <c r="BJ1236" t="str">
        <f t="shared" si="472"/>
        <v/>
      </c>
      <c r="BK1236" t="str">
        <f t="shared" si="473"/>
        <v/>
      </c>
      <c r="BL1236" t="str">
        <f t="shared" si="474"/>
        <v/>
      </c>
      <c r="BM1236" t="str">
        <f t="shared" si="475"/>
        <v/>
      </c>
      <c r="BN1236" t="str">
        <f t="shared" si="476"/>
        <v/>
      </c>
      <c r="BO1236" t="str">
        <f t="shared" si="477"/>
        <v/>
      </c>
      <c r="BP1236" t="str">
        <f t="shared" si="478"/>
        <v/>
      </c>
      <c r="BQ1236" t="str">
        <f t="shared" si="479"/>
        <v/>
      </c>
      <c r="BR1236" t="str">
        <f t="shared" si="480"/>
        <v/>
      </c>
      <c r="BS1236" t="str">
        <f t="shared" si="481"/>
        <v/>
      </c>
      <c r="BT1236" t="str">
        <f t="shared" si="482"/>
        <v/>
      </c>
      <c r="BU1236" t="str">
        <f t="shared" si="483"/>
        <v/>
      </c>
    </row>
    <row r="1237" spans="1:73">
      <c r="A1237" s="1">
        <v>135712</v>
      </c>
      <c r="B1237" t="str">
        <f>VLOOKUP($A1237,[1]Table!$A$2:$N1378,B$1,FALSE)</f>
        <v>N01BB04</v>
      </c>
      <c r="C1237" t="str">
        <f>VLOOKUP($A1237,[1]Table!$A$2:$N1378,C$1,FALSE)</f>
        <v>ANAESTHETICA</v>
      </c>
      <c r="D1237" t="str">
        <f>VLOOKUP($A1237,[1]Table!$A$2:$N1378,D$1,FALSE)</f>
        <v>ANAESTHETICA, LOKALE</v>
      </c>
      <c r="E1237" t="str">
        <f>VLOOKUP($A1237,[1]Table!$A$2:$N1378,E$1,FALSE)</f>
        <v>PRILOCAINE</v>
      </c>
      <c r="F1237" t="str">
        <f>VLOOKUP($A1237,[1]Table!$A$2:$N1378,F$1,FALSE)</f>
        <v>CITANEST 20MG/ML FLACON 50ML</v>
      </c>
      <c r="G1237" t="str">
        <f>VLOOKUP($A1237,[1]Table!$A$2:$N1378,G$1,FALSE)</f>
        <v>PRILOCAINE 20MG/ML INJVLST</v>
      </c>
      <c r="H1237" t="str">
        <f>VLOOKUP($A1237,[1]Table!$A$2:$N1378,H$1,FALSE)</f>
        <v>injectievloeistof</v>
      </c>
      <c r="I1237" t="str">
        <f>VLOOKUP($A1237,[1]Table!$A$2:$N1378,I$1,FALSE)</f>
        <v>epidur||intrathec</v>
      </c>
      <c r="J1237">
        <f>VLOOKUP($A1237,[1]Table!$A$2:$N1378,J$1,FALSE)</f>
        <v>20</v>
      </c>
      <c r="K1237" t="str">
        <f>VLOOKUP($A1237,[1]Table!$A$2:$N1378,K$1,FALSE)</f>
        <v>mg/ml</v>
      </c>
      <c r="L1237">
        <f>VLOOKUP($A1237,[1]Table!$A$2:$N1378,L$1,FALSE)</f>
        <v>20</v>
      </c>
      <c r="M1237" t="str">
        <f>VLOOKUP($A1237,[1]Table!$A$2:$N1378,M$1,FALSE)</f>
        <v>mg</v>
      </c>
      <c r="N1237" t="str">
        <f>VLOOKUP($A1237,[1]Table!$A$2:$N1378,N$1,FALSE)</f>
        <v>Regionale anesthesie||Infiltratie-,geleidingsanesthesie</v>
      </c>
      <c r="O1237" t="str">
        <f>ConcatenateRange(AZ1237:BU1237,"||")</f>
        <v/>
      </c>
      <c r="AZ1237" t="str">
        <f t="shared" si="462"/>
        <v/>
      </c>
      <c r="BA1237" t="str">
        <f t="shared" si="463"/>
        <v/>
      </c>
      <c r="BB1237" t="str">
        <f t="shared" si="464"/>
        <v/>
      </c>
      <c r="BC1237" t="str">
        <f t="shared" si="465"/>
        <v/>
      </c>
      <c r="BD1237" t="str">
        <f t="shared" si="466"/>
        <v/>
      </c>
      <c r="BE1237" t="str">
        <f t="shared" si="467"/>
        <v/>
      </c>
      <c r="BF1237" t="str">
        <f t="shared" si="468"/>
        <v/>
      </c>
      <c r="BG1237" t="str">
        <f t="shared" si="469"/>
        <v/>
      </c>
      <c r="BH1237" t="str">
        <f t="shared" si="470"/>
        <v/>
      </c>
      <c r="BI1237" t="str">
        <f t="shared" si="471"/>
        <v/>
      </c>
      <c r="BJ1237" t="str">
        <f t="shared" si="472"/>
        <v/>
      </c>
      <c r="BK1237" t="str">
        <f t="shared" si="473"/>
        <v/>
      </c>
      <c r="BL1237" t="str">
        <f t="shared" si="474"/>
        <v/>
      </c>
      <c r="BM1237" t="str">
        <f t="shared" si="475"/>
        <v/>
      </c>
      <c r="BN1237" t="str">
        <f t="shared" si="476"/>
        <v/>
      </c>
      <c r="BO1237" t="str">
        <f t="shared" si="477"/>
        <v/>
      </c>
      <c r="BP1237" t="str">
        <f t="shared" si="478"/>
        <v/>
      </c>
      <c r="BQ1237" t="str">
        <f t="shared" si="479"/>
        <v/>
      </c>
      <c r="BR1237" t="str">
        <f t="shared" si="480"/>
        <v/>
      </c>
      <c r="BS1237" t="str">
        <f t="shared" si="481"/>
        <v/>
      </c>
      <c r="BT1237" t="str">
        <f t="shared" si="482"/>
        <v/>
      </c>
      <c r="BU1237" t="str">
        <f t="shared" si="483"/>
        <v/>
      </c>
    </row>
    <row r="1238" spans="1:73">
      <c r="A1238" s="1">
        <v>106429</v>
      </c>
      <c r="B1238" t="str">
        <f>VLOOKUP($A1238,[1]Table!$A$2:$N1380,B$1,FALSE)</f>
        <v>L01XB01</v>
      </c>
      <c r="C1238" t="str">
        <f>VLOOKUP($A1238,[1]Table!$A$2:$N1380,C$1,FALSE)</f>
        <v>ONCOLYTICA</v>
      </c>
      <c r="D1238" t="str">
        <f>VLOOKUP($A1238,[1]Table!$A$2:$N1380,D$1,FALSE)</f>
        <v>OVERIGE ONCOLYTICA</v>
      </c>
      <c r="E1238" t="str">
        <f>VLOOKUP($A1238,[1]Table!$A$2:$N1380,E$1,FALSE)</f>
        <v>PROCARBAZINE</v>
      </c>
      <c r="F1238" t="str">
        <f>VLOOKUP($A1238,[1]Table!$A$2:$N1380,F$1,FALSE)</f>
        <v>NATULAN 50 MG CAPSULE</v>
      </c>
      <c r="G1238" t="str">
        <f>VLOOKUP($A1238,[1]Table!$A$2:$N1380,G$1,FALSE)</f>
        <v>PROCARBAZINE 50MG CAPSULE</v>
      </c>
      <c r="H1238" t="str">
        <f>VLOOKUP($A1238,[1]Table!$A$2:$N1380,H$1,FALSE)</f>
        <v>capsule</v>
      </c>
      <c r="I1238" t="str">
        <f>VLOOKUP($A1238,[1]Table!$A$2:$N1380,I$1,FALSE)</f>
        <v>or</v>
      </c>
      <c r="J1238">
        <f>VLOOKUP($A1238,[1]Table!$A$2:$N1380,J$1,FALSE)</f>
        <v>50</v>
      </c>
      <c r="K1238" t="str">
        <f>VLOOKUP($A1238,[1]Table!$A$2:$N1380,K$1,FALSE)</f>
        <v>mg/stuk</v>
      </c>
      <c r="L1238">
        <f>VLOOKUP($A1238,[1]Table!$A$2:$N1380,L$1,FALSE)</f>
        <v>50</v>
      </c>
      <c r="M1238" t="str">
        <f>VLOOKUP($A1238,[1]Table!$A$2:$N1380,M$1,FALSE)</f>
        <v>mg</v>
      </c>
      <c r="N1238" t="str">
        <f>VLOOKUP($A1238,[1]Table!$A$2:$N1380,N$1,FALSE)</f>
        <v>Oncologische aandoeningen</v>
      </c>
      <c r="O1238" t="str">
        <f>ConcatenateRange(AZ1238:BU1238,"||")</f>
        <v/>
      </c>
      <c r="AZ1238" t="str">
        <f t="shared" si="462"/>
        <v/>
      </c>
      <c r="BA1238" t="str">
        <f t="shared" si="463"/>
        <v/>
      </c>
      <c r="BB1238" t="str">
        <f t="shared" si="464"/>
        <v/>
      </c>
      <c r="BC1238" t="str">
        <f t="shared" si="465"/>
        <v/>
      </c>
      <c r="BD1238" t="str">
        <f t="shared" si="466"/>
        <v/>
      </c>
      <c r="BE1238" t="str">
        <f t="shared" si="467"/>
        <v/>
      </c>
      <c r="BF1238" t="str">
        <f t="shared" si="468"/>
        <v/>
      </c>
      <c r="BG1238" t="str">
        <f t="shared" si="469"/>
        <v/>
      </c>
      <c r="BH1238" t="str">
        <f t="shared" si="470"/>
        <v/>
      </c>
      <c r="BI1238" t="str">
        <f t="shared" si="471"/>
        <v/>
      </c>
      <c r="BJ1238" t="str">
        <f t="shared" si="472"/>
        <v/>
      </c>
      <c r="BK1238" t="str">
        <f t="shared" si="473"/>
        <v/>
      </c>
      <c r="BL1238" t="str">
        <f t="shared" si="474"/>
        <v/>
      </c>
      <c r="BM1238" t="str">
        <f t="shared" si="475"/>
        <v/>
      </c>
      <c r="BN1238" t="str">
        <f t="shared" si="476"/>
        <v/>
      </c>
      <c r="BO1238" t="str">
        <f t="shared" si="477"/>
        <v/>
      </c>
      <c r="BP1238" t="str">
        <f t="shared" si="478"/>
        <v/>
      </c>
      <c r="BQ1238" t="str">
        <f t="shared" si="479"/>
        <v/>
      </c>
      <c r="BR1238" t="str">
        <f t="shared" si="480"/>
        <v/>
      </c>
      <c r="BS1238" t="str">
        <f t="shared" si="481"/>
        <v/>
      </c>
      <c r="BT1238" t="str">
        <f t="shared" si="482"/>
        <v/>
      </c>
      <c r="BU1238" t="str">
        <f t="shared" si="483"/>
        <v/>
      </c>
    </row>
    <row r="1239" spans="1:73">
      <c r="A1239" s="1">
        <v>8044</v>
      </c>
      <c r="B1239" t="str">
        <f>VLOOKUP($A1239,[1]Table!$A$2:$N1383,B$1,FALSE)</f>
        <v>R06AD02</v>
      </c>
      <c r="C1239" t="str">
        <f>VLOOKUP($A1239,[1]Table!$A$2:$N1383,C$1,FALSE)</f>
        <v>ANTIHISTAMINICA VOOR SYSTEMISCH GEBRUIK</v>
      </c>
      <c r="D1239" t="str">
        <f>VLOOKUP($A1239,[1]Table!$A$2:$N1383,D$1,FALSE)</f>
        <v>ANTIHISTAMINICA VOOR SYSTEMISCH GEBRUIK</v>
      </c>
      <c r="E1239" t="str">
        <f>VLOOKUP($A1239,[1]Table!$A$2:$N1383,E$1,FALSE)</f>
        <v>PROMETHAZINE</v>
      </c>
      <c r="F1239" t="str">
        <f>VLOOKUP($A1239,[1]Table!$A$2:$N1383,F$1,FALSE)</f>
        <v>PROMETHAZINE 25 MG/ML AMPUL 2ML</v>
      </c>
      <c r="G1239" t="str">
        <f>VLOOKUP($A1239,[1]Table!$A$2:$N1383,G$1,FALSE)</f>
        <v>PROMETHAZINE 25MG/ML INJVLS</v>
      </c>
      <c r="H1239" t="str">
        <f>VLOOKUP($A1239,[1]Table!$A$2:$N1383,H$1,FALSE)</f>
        <v>injectievloeistof</v>
      </c>
      <c r="I1239" t="str">
        <f>VLOOKUP($A1239,[1]Table!$A$2:$N1383,I$1,FALSE)</f>
        <v>im||iv</v>
      </c>
      <c r="J1239">
        <f>VLOOKUP($A1239,[1]Table!$A$2:$N1383,J$1,FALSE)</f>
        <v>25</v>
      </c>
      <c r="K1239" t="str">
        <f>VLOOKUP($A1239,[1]Table!$A$2:$N1383,K$1,FALSE)</f>
        <v>mg/ml</v>
      </c>
      <c r="L1239">
        <f>VLOOKUP($A1239,[1]Table!$A$2:$N1383,L$1,FALSE)</f>
        <v>25</v>
      </c>
      <c r="M1239" t="str">
        <f>VLOOKUP($A1239,[1]Table!$A$2:$N1383,M$1,FALSE)</f>
        <v>mg</v>
      </c>
      <c r="N1239" t="str">
        <f>VLOOKUP($A1239,[1]Table!$A$2:$N1383,N$1,FALSE)</f>
        <v>Allergische aandoeningen waarbij niet-sederende antihistaminica niet of onvoldoende effectief zijn gebleken||Als adjuvans bij andere sedativa.||Reisziekte||Hoest</v>
      </c>
      <c r="O1239" t="str">
        <f>ConcatenateRange(AZ1239:BU1239,"||")</f>
        <v/>
      </c>
      <c r="AZ1239" t="str">
        <f t="shared" si="462"/>
        <v/>
      </c>
      <c r="BA1239" t="str">
        <f t="shared" si="463"/>
        <v/>
      </c>
      <c r="BB1239" t="str">
        <f t="shared" si="464"/>
        <v/>
      </c>
      <c r="BC1239" t="str">
        <f t="shared" si="465"/>
        <v/>
      </c>
      <c r="BD1239" t="str">
        <f t="shared" si="466"/>
        <v/>
      </c>
      <c r="BE1239" t="str">
        <f t="shared" si="467"/>
        <v/>
      </c>
      <c r="BF1239" t="str">
        <f t="shared" si="468"/>
        <v/>
      </c>
      <c r="BG1239" t="str">
        <f t="shared" si="469"/>
        <v/>
      </c>
      <c r="BH1239" t="str">
        <f t="shared" si="470"/>
        <v/>
      </c>
      <c r="BI1239" t="str">
        <f t="shared" si="471"/>
        <v/>
      </c>
      <c r="BJ1239" t="str">
        <f t="shared" si="472"/>
        <v/>
      </c>
      <c r="BK1239" t="str">
        <f t="shared" si="473"/>
        <v/>
      </c>
      <c r="BL1239" t="str">
        <f t="shared" si="474"/>
        <v/>
      </c>
      <c r="BM1239" t="str">
        <f t="shared" si="475"/>
        <v/>
      </c>
      <c r="BN1239" t="str">
        <f t="shared" si="476"/>
        <v/>
      </c>
      <c r="BO1239" t="str">
        <f t="shared" si="477"/>
        <v/>
      </c>
      <c r="BP1239" t="str">
        <f t="shared" si="478"/>
        <v/>
      </c>
      <c r="BQ1239" t="str">
        <f t="shared" si="479"/>
        <v/>
      </c>
      <c r="BR1239" t="str">
        <f t="shared" si="480"/>
        <v/>
      </c>
      <c r="BS1239" t="str">
        <f t="shared" si="481"/>
        <v/>
      </c>
      <c r="BT1239" t="str">
        <f t="shared" si="482"/>
        <v/>
      </c>
      <c r="BU1239" t="str">
        <f t="shared" si="483"/>
        <v/>
      </c>
    </row>
    <row r="1240" spans="1:73">
      <c r="A1240" s="1">
        <v>106089</v>
      </c>
      <c r="B1240" t="str">
        <f>VLOOKUP($A1240,[1]Table!$A$2:$N1384,B$1,FALSE)</f>
        <v>R06AD02</v>
      </c>
      <c r="C1240" t="str">
        <f>VLOOKUP($A1240,[1]Table!$A$2:$N1384,C$1,FALSE)</f>
        <v>ANTIHISTAMINICA VOOR SYSTEMISCH GEBRUIK</v>
      </c>
      <c r="D1240" t="str">
        <f>VLOOKUP($A1240,[1]Table!$A$2:$N1384,D$1,FALSE)</f>
        <v>ANTIHISTAMINICA VOOR SYSTEMISCH GEBRUIK</v>
      </c>
      <c r="E1240" t="str">
        <f>VLOOKUP($A1240,[1]Table!$A$2:$N1384,E$1,FALSE)</f>
        <v>PROMETHAZINE</v>
      </c>
      <c r="F1240" t="str">
        <f>VLOOKUP($A1240,[1]Table!$A$2:$N1384,F$1,FALSE)</f>
        <v>PROMETHAZINE 25 MG TABLET OMHULD</v>
      </c>
      <c r="G1240" t="str">
        <f>VLOOKUP($A1240,[1]Table!$A$2:$N1384,G$1,FALSE)</f>
        <v>PROMETHAZINE 25MG TAB OMH</v>
      </c>
      <c r="H1240" t="str">
        <f>VLOOKUP($A1240,[1]Table!$A$2:$N1384,H$1,FALSE)</f>
        <v>omhulde tablet</v>
      </c>
      <c r="I1240" t="str">
        <f>VLOOKUP($A1240,[1]Table!$A$2:$N1384,I$1,FALSE)</f>
        <v>or</v>
      </c>
      <c r="J1240">
        <f>VLOOKUP($A1240,[1]Table!$A$2:$N1384,J$1,FALSE)</f>
        <v>25</v>
      </c>
      <c r="K1240" t="str">
        <f>VLOOKUP($A1240,[1]Table!$A$2:$N1384,K$1,FALSE)</f>
        <v>mg/stuk</v>
      </c>
      <c r="L1240">
        <f>VLOOKUP($A1240,[1]Table!$A$2:$N1384,L$1,FALSE)</f>
        <v>25</v>
      </c>
      <c r="M1240" t="str">
        <f>VLOOKUP($A1240,[1]Table!$A$2:$N1384,M$1,FALSE)</f>
        <v>mg</v>
      </c>
      <c r="N1240" t="str">
        <f>VLOOKUP($A1240,[1]Table!$A$2:$N1384,N$1,FALSE)</f>
        <v>Allergische aandoeningen waarbij niet-sederende antihistaminica niet of onvoldoende effectief zijn gebleken||Als adjuvans bij andere sedativa.||Reisziekte||Hoest</v>
      </c>
      <c r="O1240" t="str">
        <f>ConcatenateRange(AZ1240:BU1240,"||")</f>
        <v/>
      </c>
      <c r="AZ1240" t="str">
        <f t="shared" si="462"/>
        <v/>
      </c>
      <c r="BA1240" t="str">
        <f t="shared" si="463"/>
        <v/>
      </c>
      <c r="BB1240" t="str">
        <f t="shared" si="464"/>
        <v/>
      </c>
      <c r="BC1240" t="str">
        <f t="shared" si="465"/>
        <v/>
      </c>
      <c r="BD1240" t="str">
        <f t="shared" si="466"/>
        <v/>
      </c>
      <c r="BE1240" t="str">
        <f t="shared" si="467"/>
        <v/>
      </c>
      <c r="BF1240" t="str">
        <f t="shared" si="468"/>
        <v/>
      </c>
      <c r="BG1240" t="str">
        <f t="shared" si="469"/>
        <v/>
      </c>
      <c r="BH1240" t="str">
        <f t="shared" si="470"/>
        <v/>
      </c>
      <c r="BI1240" t="str">
        <f t="shared" si="471"/>
        <v/>
      </c>
      <c r="BJ1240" t="str">
        <f t="shared" si="472"/>
        <v/>
      </c>
      <c r="BK1240" t="str">
        <f t="shared" si="473"/>
        <v/>
      </c>
      <c r="BL1240" t="str">
        <f t="shared" si="474"/>
        <v/>
      </c>
      <c r="BM1240" t="str">
        <f t="shared" si="475"/>
        <v/>
      </c>
      <c r="BN1240" t="str">
        <f t="shared" si="476"/>
        <v/>
      </c>
      <c r="BO1240" t="str">
        <f t="shared" si="477"/>
        <v/>
      </c>
      <c r="BP1240" t="str">
        <f t="shared" si="478"/>
        <v/>
      </c>
      <c r="BQ1240" t="str">
        <f t="shared" si="479"/>
        <v/>
      </c>
      <c r="BR1240" t="str">
        <f t="shared" si="480"/>
        <v/>
      </c>
      <c r="BS1240" t="str">
        <f t="shared" si="481"/>
        <v/>
      </c>
      <c r="BT1240" t="str">
        <f t="shared" si="482"/>
        <v/>
      </c>
      <c r="BU1240" t="str">
        <f t="shared" si="483"/>
        <v/>
      </c>
    </row>
    <row r="1241" spans="1:73">
      <c r="A1241" s="1">
        <v>19038</v>
      </c>
      <c r="B1241" t="str">
        <f>VLOOKUP($A1241,[1]Table!$A$2:$N1385,B$1,FALSE)</f>
        <v>R06AD02</v>
      </c>
      <c r="C1241" t="str">
        <f>VLOOKUP($A1241,[1]Table!$A$2:$N1385,C$1,FALSE)</f>
        <v>ANTIHISTAMINICA VOOR SYSTEMISCH GEBRUIK</v>
      </c>
      <c r="D1241" t="str">
        <f>VLOOKUP($A1241,[1]Table!$A$2:$N1385,D$1,FALSE)</f>
        <v>ANTIHISTAMINICA VOOR SYSTEMISCH GEBRUIK</v>
      </c>
      <c r="E1241" t="str">
        <f>VLOOKUP($A1241,[1]Table!$A$2:$N1385,E$1,FALSE)</f>
        <v>PROMETHAZINE</v>
      </c>
      <c r="F1241" t="str">
        <f>VLOOKUP($A1241,[1]Table!$A$2:$N1385,F$1,FALSE)</f>
        <v>PROMETHAZINE 1 MG/ML STROOP 300ML</v>
      </c>
      <c r="G1241" t="str">
        <f>VLOOKUP($A1241,[1]Table!$A$2:$N1385,G$1,FALSE)</f>
        <v>PROMETHAZINE 1MG/ML STROOP</v>
      </c>
      <c r="H1241" t="str">
        <f>VLOOKUP($A1241,[1]Table!$A$2:$N1385,H$1,FALSE)</f>
        <v>stroop</v>
      </c>
      <c r="I1241" t="str">
        <f>VLOOKUP($A1241,[1]Table!$A$2:$N1385,I$1,FALSE)</f>
        <v>or</v>
      </c>
      <c r="J1241">
        <f>VLOOKUP($A1241,[1]Table!$A$2:$N1385,J$1,FALSE)</f>
        <v>1</v>
      </c>
      <c r="K1241" t="str">
        <f>VLOOKUP($A1241,[1]Table!$A$2:$N1385,K$1,FALSE)</f>
        <v>mg/ml</v>
      </c>
      <c r="L1241">
        <f>VLOOKUP($A1241,[1]Table!$A$2:$N1385,L$1,FALSE)</f>
        <v>1</v>
      </c>
      <c r="M1241" t="str">
        <f>VLOOKUP($A1241,[1]Table!$A$2:$N1385,M$1,FALSE)</f>
        <v>mg</v>
      </c>
      <c r="N1241" t="str">
        <f>VLOOKUP($A1241,[1]Table!$A$2:$N1385,N$1,FALSE)</f>
        <v>Allergische aandoeningen waarbij niet-sederende antihistaminica niet of onvoldoende effectief zijn gebleken||Als adjuvans bij andere sedativa.||Reisziekte||Hoest</v>
      </c>
      <c r="O1241" t="str">
        <f>ConcatenateRange(AZ1241:BU1241,"||")</f>
        <v/>
      </c>
      <c r="AZ1241" t="str">
        <f t="shared" si="462"/>
        <v/>
      </c>
      <c r="BA1241" t="str">
        <f t="shared" si="463"/>
        <v/>
      </c>
      <c r="BB1241" t="str">
        <f t="shared" si="464"/>
        <v/>
      </c>
      <c r="BC1241" t="str">
        <f t="shared" si="465"/>
        <v/>
      </c>
      <c r="BD1241" t="str">
        <f t="shared" si="466"/>
        <v/>
      </c>
      <c r="BE1241" t="str">
        <f t="shared" si="467"/>
        <v/>
      </c>
      <c r="BF1241" t="str">
        <f t="shared" si="468"/>
        <v/>
      </c>
      <c r="BG1241" t="str">
        <f t="shared" si="469"/>
        <v/>
      </c>
      <c r="BH1241" t="str">
        <f t="shared" si="470"/>
        <v/>
      </c>
      <c r="BI1241" t="str">
        <f t="shared" si="471"/>
        <v/>
      </c>
      <c r="BJ1241" t="str">
        <f t="shared" si="472"/>
        <v/>
      </c>
      <c r="BK1241" t="str">
        <f t="shared" si="473"/>
        <v/>
      </c>
      <c r="BL1241" t="str">
        <f t="shared" si="474"/>
        <v/>
      </c>
      <c r="BM1241" t="str">
        <f t="shared" si="475"/>
        <v/>
      </c>
      <c r="BN1241" t="str">
        <f t="shared" si="476"/>
        <v/>
      </c>
      <c r="BO1241" t="str">
        <f t="shared" si="477"/>
        <v/>
      </c>
      <c r="BP1241" t="str">
        <f t="shared" si="478"/>
        <v/>
      </c>
      <c r="BQ1241" t="str">
        <f t="shared" si="479"/>
        <v/>
      </c>
      <c r="BR1241" t="str">
        <f t="shared" si="480"/>
        <v/>
      </c>
      <c r="BS1241" t="str">
        <f t="shared" si="481"/>
        <v/>
      </c>
      <c r="BT1241" t="str">
        <f t="shared" si="482"/>
        <v/>
      </c>
      <c r="BU1241" t="str">
        <f t="shared" si="483"/>
        <v/>
      </c>
    </row>
    <row r="1242" spans="1:73">
      <c r="A1242" s="1">
        <v>104655</v>
      </c>
      <c r="B1242" t="str">
        <f>VLOOKUP($A1242,[1]Table!$A$2:$N1386,B$1,FALSE)</f>
        <v>C01BC03</v>
      </c>
      <c r="C1242" t="str">
        <f>VLOOKUP($A1242,[1]Table!$A$2:$N1386,C$1,FALSE)</f>
        <v>CARDIACA</v>
      </c>
      <c r="D1242" t="str">
        <f>VLOOKUP($A1242,[1]Table!$A$2:$N1386,D$1,FALSE)</f>
        <v>ANTI-ARITMISCHE MIDDELEN KLASSE I EN III</v>
      </c>
      <c r="E1242" t="str">
        <f>VLOOKUP($A1242,[1]Table!$A$2:$N1386,E$1,FALSE)</f>
        <v>PROPAFENON</v>
      </c>
      <c r="F1242" t="str">
        <f>VLOOKUP($A1242,[1]Table!$A$2:$N1386,F$1,FALSE)</f>
        <v>RYTMONORM 150 MG TABLET OMHULD</v>
      </c>
      <c r="G1242" t="str">
        <f>VLOOKUP($A1242,[1]Table!$A$2:$N1386,G$1,FALSE)</f>
        <v>PROPAFENON 150MG TAB OMHULD</v>
      </c>
      <c r="H1242" t="str">
        <f>VLOOKUP($A1242,[1]Table!$A$2:$N1386,H$1,FALSE)</f>
        <v>omhulde tablet</v>
      </c>
      <c r="I1242" t="str">
        <f>VLOOKUP($A1242,[1]Table!$A$2:$N1386,I$1,FALSE)</f>
        <v>or</v>
      </c>
      <c r="J1242">
        <f>VLOOKUP($A1242,[1]Table!$A$2:$N1386,J$1,FALSE)</f>
        <v>150</v>
      </c>
      <c r="K1242" t="str">
        <f>VLOOKUP($A1242,[1]Table!$A$2:$N1386,K$1,FALSE)</f>
        <v>mg/stuk</v>
      </c>
      <c r="L1242">
        <f>VLOOKUP($A1242,[1]Table!$A$2:$N1386,L$1,FALSE)</f>
        <v>150</v>
      </c>
      <c r="M1242" t="str">
        <f>VLOOKUP($A1242,[1]Table!$A$2:$N1386,M$1,FALSE)</f>
        <v>mg</v>
      </c>
      <c r="N1242" t="str">
        <f>VLOOKUP($A1242,[1]Table!$A$2:$N1386,N$1,FALSE)</f>
        <v>Ernstige therapie-resistente ventriculaire en supraventriculaire aritmieën</v>
      </c>
      <c r="O1242" t="str">
        <f>ConcatenateRange(AZ1242:BU1242,"||")</f>
        <v/>
      </c>
      <c r="AZ1242" t="str">
        <f t="shared" si="462"/>
        <v/>
      </c>
      <c r="BA1242" t="str">
        <f t="shared" si="463"/>
        <v/>
      </c>
      <c r="BB1242" t="str">
        <f t="shared" si="464"/>
        <v/>
      </c>
      <c r="BC1242" t="str">
        <f t="shared" si="465"/>
        <v/>
      </c>
      <c r="BD1242" t="str">
        <f t="shared" si="466"/>
        <v/>
      </c>
      <c r="BE1242" t="str">
        <f t="shared" si="467"/>
        <v/>
      </c>
      <c r="BF1242" t="str">
        <f t="shared" si="468"/>
        <v/>
      </c>
      <c r="BG1242" t="str">
        <f t="shared" si="469"/>
        <v/>
      </c>
      <c r="BH1242" t="str">
        <f t="shared" si="470"/>
        <v/>
      </c>
      <c r="BI1242" t="str">
        <f t="shared" si="471"/>
        <v/>
      </c>
      <c r="BJ1242" t="str">
        <f t="shared" si="472"/>
        <v/>
      </c>
      <c r="BK1242" t="str">
        <f t="shared" si="473"/>
        <v/>
      </c>
      <c r="BL1242" t="str">
        <f t="shared" si="474"/>
        <v/>
      </c>
      <c r="BM1242" t="str">
        <f t="shared" si="475"/>
        <v/>
      </c>
      <c r="BN1242" t="str">
        <f t="shared" si="476"/>
        <v/>
      </c>
      <c r="BO1242" t="str">
        <f t="shared" si="477"/>
        <v/>
      </c>
      <c r="BP1242" t="str">
        <f t="shared" si="478"/>
        <v/>
      </c>
      <c r="BQ1242" t="str">
        <f t="shared" si="479"/>
        <v/>
      </c>
      <c r="BR1242" t="str">
        <f t="shared" si="480"/>
        <v/>
      </c>
      <c r="BS1242" t="str">
        <f t="shared" si="481"/>
        <v/>
      </c>
      <c r="BT1242" t="str">
        <f t="shared" si="482"/>
        <v/>
      </c>
      <c r="BU1242" t="str">
        <f t="shared" si="483"/>
        <v/>
      </c>
    </row>
    <row r="1243" spans="1:73">
      <c r="A1243" s="1">
        <v>104663</v>
      </c>
      <c r="B1243" t="str">
        <f>VLOOKUP($A1243,[1]Table!$A$2:$N1387,B$1,FALSE)</f>
        <v>C01BC03</v>
      </c>
      <c r="C1243" t="str">
        <f>VLOOKUP($A1243,[1]Table!$A$2:$N1387,C$1,FALSE)</f>
        <v>CARDIACA</v>
      </c>
      <c r="D1243" t="str">
        <f>VLOOKUP($A1243,[1]Table!$A$2:$N1387,D$1,FALSE)</f>
        <v>ANTI-ARITMISCHE MIDDELEN KLASSE I EN III</v>
      </c>
      <c r="E1243" t="str">
        <f>VLOOKUP($A1243,[1]Table!$A$2:$N1387,E$1,FALSE)</f>
        <v>PROPAFENON</v>
      </c>
      <c r="F1243" t="str">
        <f>VLOOKUP($A1243,[1]Table!$A$2:$N1387,F$1,FALSE)</f>
        <v>RYTMONORM 300 MG TABLET OMHULD</v>
      </c>
      <c r="G1243" t="str">
        <f>VLOOKUP($A1243,[1]Table!$A$2:$N1387,G$1,FALSE)</f>
        <v>PROPAFENON 300MG TAB OMHULD</v>
      </c>
      <c r="H1243" t="str">
        <f>VLOOKUP($A1243,[1]Table!$A$2:$N1387,H$1,FALSE)</f>
        <v>omhulde tablet</v>
      </c>
      <c r="I1243" t="str">
        <f>VLOOKUP($A1243,[1]Table!$A$2:$N1387,I$1,FALSE)</f>
        <v>or</v>
      </c>
      <c r="J1243">
        <f>VLOOKUP($A1243,[1]Table!$A$2:$N1387,J$1,FALSE)</f>
        <v>300</v>
      </c>
      <c r="K1243" t="str">
        <f>VLOOKUP($A1243,[1]Table!$A$2:$N1387,K$1,FALSE)</f>
        <v>mg/stuk</v>
      </c>
      <c r="L1243">
        <f>VLOOKUP($A1243,[1]Table!$A$2:$N1387,L$1,FALSE)</f>
        <v>300</v>
      </c>
      <c r="M1243" t="str">
        <f>VLOOKUP($A1243,[1]Table!$A$2:$N1387,M$1,FALSE)</f>
        <v>mg</v>
      </c>
      <c r="N1243" t="str">
        <f>VLOOKUP($A1243,[1]Table!$A$2:$N1387,N$1,FALSE)</f>
        <v>Ernstige therapie-resistente ventriculaire en supraventriculaire aritmieën</v>
      </c>
      <c r="O1243" t="str">
        <f>ConcatenateRange(AZ1243:BU1243,"||")</f>
        <v/>
      </c>
      <c r="AZ1243" t="str">
        <f t="shared" si="462"/>
        <v/>
      </c>
      <c r="BA1243" t="str">
        <f t="shared" si="463"/>
        <v/>
      </c>
      <c r="BB1243" t="str">
        <f t="shared" si="464"/>
        <v/>
      </c>
      <c r="BC1243" t="str">
        <f t="shared" si="465"/>
        <v/>
      </c>
      <c r="BD1243" t="str">
        <f t="shared" si="466"/>
        <v/>
      </c>
      <c r="BE1243" t="str">
        <f t="shared" si="467"/>
        <v/>
      </c>
      <c r="BF1243" t="str">
        <f t="shared" si="468"/>
        <v/>
      </c>
      <c r="BG1243" t="str">
        <f t="shared" si="469"/>
        <v/>
      </c>
      <c r="BH1243" t="str">
        <f t="shared" si="470"/>
        <v/>
      </c>
      <c r="BI1243" t="str">
        <f t="shared" si="471"/>
        <v/>
      </c>
      <c r="BJ1243" t="str">
        <f t="shared" si="472"/>
        <v/>
      </c>
      <c r="BK1243" t="str">
        <f t="shared" si="473"/>
        <v/>
      </c>
      <c r="BL1243" t="str">
        <f t="shared" si="474"/>
        <v/>
      </c>
      <c r="BM1243" t="str">
        <f t="shared" si="475"/>
        <v/>
      </c>
      <c r="BN1243" t="str">
        <f t="shared" si="476"/>
        <v/>
      </c>
      <c r="BO1243" t="str">
        <f t="shared" si="477"/>
        <v/>
      </c>
      <c r="BP1243" t="str">
        <f t="shared" si="478"/>
        <v/>
      </c>
      <c r="BQ1243" t="str">
        <f t="shared" si="479"/>
        <v/>
      </c>
      <c r="BR1243" t="str">
        <f t="shared" si="480"/>
        <v/>
      </c>
      <c r="BS1243" t="str">
        <f t="shared" si="481"/>
        <v/>
      </c>
      <c r="BT1243" t="str">
        <f t="shared" si="482"/>
        <v/>
      </c>
      <c r="BU1243" t="str">
        <f t="shared" si="483"/>
        <v/>
      </c>
    </row>
    <row r="1244" spans="1:73">
      <c r="A1244" s="1">
        <v>110892</v>
      </c>
      <c r="B1244" t="str">
        <f>VLOOKUP($A1244,[1]Table!$A$2:$N1388,B$1,FALSE)</f>
        <v>N01AX10</v>
      </c>
      <c r="C1244" t="str">
        <f>VLOOKUP($A1244,[1]Table!$A$2:$N1388,C$1,FALSE)</f>
        <v>ANAESTHETICA</v>
      </c>
      <c r="D1244" t="str">
        <f>VLOOKUP($A1244,[1]Table!$A$2:$N1388,D$1,FALSE)</f>
        <v>ALGEMENE ANAESTHETICA</v>
      </c>
      <c r="E1244" t="str">
        <f>VLOOKUP($A1244,[1]Table!$A$2:$N1388,E$1,FALSE)</f>
        <v>PROPOFOL</v>
      </c>
      <c r="F1244" t="str">
        <f>VLOOKUP($A1244,[1]Table!$A$2:$N1388,F$1,FALSE)</f>
        <v>PROPOFOL MCT/LCT 10 MG/ML AMPUL 20 ML</v>
      </c>
      <c r="G1244" t="str">
        <f>VLOOKUP($A1244,[1]Table!$A$2:$N1388,G$1,FALSE)</f>
        <v>PROPOFOL 10MG/ML INJ.EMULSI</v>
      </c>
      <c r="H1244" t="str">
        <f>VLOOKUP($A1244,[1]Table!$A$2:$N1388,H$1,FALSE)</f>
        <v>emulsie voor injectie</v>
      </c>
      <c r="I1244" t="str">
        <f>VLOOKUP($A1244,[1]Table!$A$2:$N1388,I$1,FALSE)</f>
        <v>iv</v>
      </c>
      <c r="J1244">
        <f>VLOOKUP($A1244,[1]Table!$A$2:$N1388,J$1,FALSE)</f>
        <v>10</v>
      </c>
      <c r="K1244" t="str">
        <f>VLOOKUP($A1244,[1]Table!$A$2:$N1388,K$1,FALSE)</f>
        <v>mg/ml</v>
      </c>
      <c r="L1244">
        <f>VLOOKUP($A1244,[1]Table!$A$2:$N1388,L$1,FALSE)</f>
        <v>10</v>
      </c>
      <c r="M1244" t="str">
        <f>VLOOKUP($A1244,[1]Table!$A$2:$N1388,M$1,FALSE)</f>
        <v>mg</v>
      </c>
      <c r="N1244" t="str">
        <f>VLOOKUP($A1244,[1]Table!$A$2:$N1388,N$1,FALSE)</f>
        <v>Anesthesie: inleiding||Anesthesie, algemeen</v>
      </c>
      <c r="O1244" t="str">
        <f>ConcatenateRange(AZ1244:BU1244,"||")</f>
        <v/>
      </c>
      <c r="AZ1244" t="str">
        <f t="shared" si="462"/>
        <v/>
      </c>
      <c r="BA1244" t="str">
        <f t="shared" si="463"/>
        <v/>
      </c>
      <c r="BB1244" t="str">
        <f t="shared" si="464"/>
        <v/>
      </c>
      <c r="BC1244" t="str">
        <f t="shared" si="465"/>
        <v/>
      </c>
      <c r="BD1244" t="str">
        <f t="shared" si="466"/>
        <v/>
      </c>
      <c r="BE1244" t="str">
        <f t="shared" si="467"/>
        <v/>
      </c>
      <c r="BF1244" t="str">
        <f t="shared" si="468"/>
        <v/>
      </c>
      <c r="BG1244" t="str">
        <f t="shared" si="469"/>
        <v/>
      </c>
      <c r="BH1244" t="str">
        <f t="shared" si="470"/>
        <v/>
      </c>
      <c r="BI1244" t="str">
        <f t="shared" si="471"/>
        <v/>
      </c>
      <c r="BJ1244" t="str">
        <f t="shared" si="472"/>
        <v/>
      </c>
      <c r="BK1244" t="str">
        <f t="shared" si="473"/>
        <v/>
      </c>
      <c r="BL1244" t="str">
        <f t="shared" si="474"/>
        <v/>
      </c>
      <c r="BM1244" t="str">
        <f t="shared" si="475"/>
        <v/>
      </c>
      <c r="BN1244" t="str">
        <f t="shared" si="476"/>
        <v/>
      </c>
      <c r="BO1244" t="str">
        <f t="shared" si="477"/>
        <v/>
      </c>
      <c r="BP1244" t="str">
        <f t="shared" si="478"/>
        <v/>
      </c>
      <c r="BQ1244" t="str">
        <f t="shared" si="479"/>
        <v/>
      </c>
      <c r="BR1244" t="str">
        <f t="shared" si="480"/>
        <v/>
      </c>
      <c r="BS1244" t="str">
        <f t="shared" si="481"/>
        <v/>
      </c>
      <c r="BT1244" t="str">
        <f t="shared" si="482"/>
        <v/>
      </c>
      <c r="BU1244" t="str">
        <f t="shared" si="483"/>
        <v/>
      </c>
    </row>
    <row r="1245" spans="1:73">
      <c r="A1245" s="1">
        <v>110884</v>
      </c>
      <c r="B1245" t="str">
        <f>VLOOKUP($A1245,[1]Table!$A$2:$N1389,B$1,FALSE)</f>
        <v>N01AX10</v>
      </c>
      <c r="C1245" t="str">
        <f>VLOOKUP($A1245,[1]Table!$A$2:$N1389,C$1,FALSE)</f>
        <v>ANAESTHETICA</v>
      </c>
      <c r="D1245" t="str">
        <f>VLOOKUP($A1245,[1]Table!$A$2:$N1389,D$1,FALSE)</f>
        <v>ALGEMENE ANAESTHETICA</v>
      </c>
      <c r="E1245" t="str">
        <f>VLOOKUP($A1245,[1]Table!$A$2:$N1389,E$1,FALSE)</f>
        <v>PROPOFOL</v>
      </c>
      <c r="F1245" t="str">
        <f>VLOOKUP($A1245,[1]Table!$A$2:$N1389,F$1,FALSE)</f>
        <v>PROPOFOL MCT/LCT 20 MG/ML INJ EMULSIE FLACON 50 ML</v>
      </c>
      <c r="G1245" t="str">
        <f>VLOOKUP($A1245,[1]Table!$A$2:$N1389,G$1,FALSE)</f>
        <v>PROPOFOL 20MG/ML INJ.EMULSI</v>
      </c>
      <c r="H1245" t="str">
        <f>VLOOKUP($A1245,[1]Table!$A$2:$N1389,H$1,FALSE)</f>
        <v>emulsie voor injectie</v>
      </c>
      <c r="I1245" t="str">
        <f>VLOOKUP($A1245,[1]Table!$A$2:$N1389,I$1,FALSE)</f>
        <v>iv</v>
      </c>
      <c r="J1245">
        <f>VLOOKUP($A1245,[1]Table!$A$2:$N1389,J$1,FALSE)</f>
        <v>20</v>
      </c>
      <c r="K1245" t="str">
        <f>VLOOKUP($A1245,[1]Table!$A$2:$N1389,K$1,FALSE)</f>
        <v>mg/ml</v>
      </c>
      <c r="L1245">
        <f>VLOOKUP($A1245,[1]Table!$A$2:$N1389,L$1,FALSE)</f>
        <v>20</v>
      </c>
      <c r="M1245" t="str">
        <f>VLOOKUP($A1245,[1]Table!$A$2:$N1389,M$1,FALSE)</f>
        <v>mg</v>
      </c>
      <c r="N1245" t="str">
        <f>VLOOKUP($A1245,[1]Table!$A$2:$N1389,N$1,FALSE)</f>
        <v>Anesthesie: inleiding||Anesthesie, algemeen</v>
      </c>
      <c r="O1245" t="str">
        <f>ConcatenateRange(AZ1245:BU1245,"||")</f>
        <v/>
      </c>
      <c r="AZ1245" t="str">
        <f t="shared" si="462"/>
        <v/>
      </c>
      <c r="BA1245" t="str">
        <f t="shared" si="463"/>
        <v/>
      </c>
      <c r="BB1245" t="str">
        <f t="shared" si="464"/>
        <v/>
      </c>
      <c r="BC1245" t="str">
        <f t="shared" si="465"/>
        <v/>
      </c>
      <c r="BD1245" t="str">
        <f t="shared" si="466"/>
        <v/>
      </c>
      <c r="BE1245" t="str">
        <f t="shared" si="467"/>
        <v/>
      </c>
      <c r="BF1245" t="str">
        <f t="shared" si="468"/>
        <v/>
      </c>
      <c r="BG1245" t="str">
        <f t="shared" si="469"/>
        <v/>
      </c>
      <c r="BH1245" t="str">
        <f t="shared" si="470"/>
        <v/>
      </c>
      <c r="BI1245" t="str">
        <f t="shared" si="471"/>
        <v/>
      </c>
      <c r="BJ1245" t="str">
        <f t="shared" si="472"/>
        <v/>
      </c>
      <c r="BK1245" t="str">
        <f t="shared" si="473"/>
        <v/>
      </c>
      <c r="BL1245" t="str">
        <f t="shared" si="474"/>
        <v/>
      </c>
      <c r="BM1245" t="str">
        <f t="shared" si="475"/>
        <v/>
      </c>
      <c r="BN1245" t="str">
        <f t="shared" si="476"/>
        <v/>
      </c>
      <c r="BO1245" t="str">
        <f t="shared" si="477"/>
        <v/>
      </c>
      <c r="BP1245" t="str">
        <f t="shared" si="478"/>
        <v/>
      </c>
      <c r="BQ1245" t="str">
        <f t="shared" si="479"/>
        <v/>
      </c>
      <c r="BR1245" t="str">
        <f t="shared" si="480"/>
        <v/>
      </c>
      <c r="BS1245" t="str">
        <f t="shared" si="481"/>
        <v/>
      </c>
      <c r="BT1245" t="str">
        <f t="shared" si="482"/>
        <v/>
      </c>
      <c r="BU1245" t="str">
        <f t="shared" si="483"/>
        <v/>
      </c>
    </row>
    <row r="1246" spans="1:73">
      <c r="A1246" s="1">
        <v>50970</v>
      </c>
      <c r="B1246" t="str">
        <f>VLOOKUP($A1246,[1]Table!$A$2:$N1390,B$1,FALSE)</f>
        <v>C07AA05</v>
      </c>
      <c r="C1246" t="str">
        <f>VLOOKUP($A1246,[1]Table!$A$2:$N1390,C$1,FALSE)</f>
        <v>BETA-BLOKKERS</v>
      </c>
      <c r="D1246" t="str">
        <f>VLOOKUP($A1246,[1]Table!$A$2:$N1390,D$1,FALSE)</f>
        <v>BETA-BLOKKERS</v>
      </c>
      <c r="E1246" t="s">
        <v>118</v>
      </c>
      <c r="F1246" t="str">
        <f>VLOOKUP($A1246,[1]Table!$A$2:$N1390,F$1,FALSE)</f>
        <v>PROPRANOLOL HCL 80 MG CAPSULE MGA  (RETARD)</v>
      </c>
      <c r="G1246" t="str">
        <f>VLOOKUP($A1246,[1]Table!$A$2:$N1390,G$1,FALSE)</f>
        <v>PROPRANOLOL 80MG CAPS MGA</v>
      </c>
      <c r="H1246" t="str">
        <f>VLOOKUP($A1246,[1]Table!$A$2:$N1390,H$1,FALSE)</f>
        <v>capsule met gereguleerde afgifte</v>
      </c>
      <c r="I1246" t="str">
        <f>VLOOKUP($A1246,[1]Table!$A$2:$N1390,I$1,FALSE)</f>
        <v>or</v>
      </c>
      <c r="J1246">
        <f>VLOOKUP($A1246,[1]Table!$A$2:$N1390,J$1,FALSE)</f>
        <v>80</v>
      </c>
      <c r="K1246" t="str">
        <f>VLOOKUP($A1246,[1]Table!$A$2:$N1390,K$1,FALSE)</f>
        <v>mg/stuk</v>
      </c>
      <c r="L1246">
        <f>VLOOKUP($A1246,[1]Table!$A$2:$N1390,L$1,FALSE)</f>
        <v>80</v>
      </c>
      <c r="M1246" t="str">
        <f>VLOOKUP($A1246,[1]Table!$A$2:$N1390,M$1,FALSE)</f>
        <v>mg</v>
      </c>
      <c r="N1246" t="str">
        <f>VLOOKUP($A1246,[1]Table!$A$2:$N1390,N$1,FALSE)</f>
        <v>Hypertensie||Migraine profylaxe||Hemangioma: poliklinisch||Hemangioma: klinisch||Verlengd QT syndroom of preventie cyanotic spell bij tetralogie van Fallot||Oppervlakkige hemangiomen</v>
      </c>
      <c r="O1246" t="str">
        <f>ConcatenateRange(AZ1246:BU1246,"||")</f>
        <v/>
      </c>
      <c r="AZ1246" t="str">
        <f t="shared" si="462"/>
        <v/>
      </c>
      <c r="BA1246" t="str">
        <f t="shared" si="463"/>
        <v/>
      </c>
      <c r="BB1246" t="str">
        <f t="shared" si="464"/>
        <v/>
      </c>
      <c r="BC1246" t="str">
        <f t="shared" si="465"/>
        <v/>
      </c>
      <c r="BD1246" t="str">
        <f t="shared" si="466"/>
        <v/>
      </c>
      <c r="BE1246" t="str">
        <f t="shared" si="467"/>
        <v/>
      </c>
      <c r="BF1246" t="str">
        <f t="shared" si="468"/>
        <v/>
      </c>
      <c r="BG1246" t="str">
        <f t="shared" si="469"/>
        <v/>
      </c>
      <c r="BH1246" t="str">
        <f t="shared" si="470"/>
        <v/>
      </c>
      <c r="BI1246" t="str">
        <f t="shared" si="471"/>
        <v/>
      </c>
      <c r="BJ1246" t="str">
        <f t="shared" si="472"/>
        <v/>
      </c>
      <c r="BK1246" t="str">
        <f t="shared" si="473"/>
        <v/>
      </c>
      <c r="BL1246" t="str">
        <f t="shared" si="474"/>
        <v/>
      </c>
      <c r="BM1246" t="str">
        <f t="shared" si="475"/>
        <v/>
      </c>
      <c r="BN1246" t="str">
        <f t="shared" si="476"/>
        <v/>
      </c>
      <c r="BO1246" t="str">
        <f t="shared" si="477"/>
        <v/>
      </c>
      <c r="BP1246" t="str">
        <f t="shared" si="478"/>
        <v/>
      </c>
      <c r="BQ1246" t="str">
        <f t="shared" si="479"/>
        <v/>
      </c>
      <c r="BR1246" t="str">
        <f t="shared" si="480"/>
        <v/>
      </c>
      <c r="BS1246" t="str">
        <f t="shared" si="481"/>
        <v/>
      </c>
      <c r="BT1246" t="str">
        <f t="shared" si="482"/>
        <v/>
      </c>
      <c r="BU1246" t="str">
        <f t="shared" si="483"/>
        <v/>
      </c>
    </row>
    <row r="1247" spans="1:73">
      <c r="A1247" s="1">
        <v>16330</v>
      </c>
      <c r="B1247" t="str">
        <f>VLOOKUP($A1247,[1]Table!$A$2:$N1390,B$1,FALSE)</f>
        <v>C07AA05</v>
      </c>
      <c r="C1247" t="str">
        <f>VLOOKUP($A1247,[1]Table!$A$2:$N1390,C$1,FALSE)</f>
        <v>BETA-BLOKKERS</v>
      </c>
      <c r="D1247" t="str">
        <f>VLOOKUP($A1247,[1]Table!$A$2:$N1390,D$1,FALSE)</f>
        <v>BETA-BLOKKERS</v>
      </c>
      <c r="E1247" t="s">
        <v>118</v>
      </c>
      <c r="F1247" t="str">
        <f>VLOOKUP($A1247,[1]Table!$A$2:$N1390,F$1,FALSE)</f>
        <v>PROPRANOLOL 160 MG CAPSULE MGA (RETARD)</v>
      </c>
      <c r="G1247" t="str">
        <f>VLOOKUP($A1247,[1]Table!$A$2:$N1390,G$1,FALSE)</f>
        <v>PROPRANOLOL 160MG CAPS MGA</v>
      </c>
      <c r="H1247" t="str">
        <f>VLOOKUP($A1247,[1]Table!$A$2:$N1390,H$1,FALSE)</f>
        <v>capsule met gereguleerde afgifte</v>
      </c>
      <c r="I1247" t="str">
        <f>VLOOKUP($A1247,[1]Table!$A$2:$N1390,I$1,FALSE)</f>
        <v>or</v>
      </c>
      <c r="J1247">
        <f>VLOOKUP($A1247,[1]Table!$A$2:$N1390,J$1,FALSE)</f>
        <v>160</v>
      </c>
      <c r="K1247" t="str">
        <f>VLOOKUP($A1247,[1]Table!$A$2:$N1390,K$1,FALSE)</f>
        <v>mg/stuk</v>
      </c>
      <c r="L1247">
        <f>VLOOKUP($A1247,[1]Table!$A$2:$N1390,L$1,FALSE)</f>
        <v>160</v>
      </c>
      <c r="M1247" t="str">
        <f>VLOOKUP($A1247,[1]Table!$A$2:$N1390,M$1,FALSE)</f>
        <v>mg</v>
      </c>
      <c r="N1247" t="str">
        <f>VLOOKUP($A1247,[1]Table!$A$2:$N1390,N$1,FALSE)</f>
        <v>Hypertensie||Migraine profylaxe||Hemangioma: poliklinisch||Hemangioma: klinisch||Verlengd QT syndroom of preventie cyanotic spell bij tetralogie van Fallot||Oppervlakkige hemangiomen</v>
      </c>
      <c r="O1247" t="str">
        <f>ConcatenateRange(AZ1247:BU1247,"||")</f>
        <v/>
      </c>
      <c r="AZ1247" t="str">
        <f t="shared" si="462"/>
        <v/>
      </c>
      <c r="BA1247" t="str">
        <f t="shared" si="463"/>
        <v/>
      </c>
      <c r="BB1247" t="str">
        <f t="shared" si="464"/>
        <v/>
      </c>
      <c r="BC1247" t="str">
        <f t="shared" si="465"/>
        <v/>
      </c>
      <c r="BD1247" t="str">
        <f t="shared" si="466"/>
        <v/>
      </c>
      <c r="BE1247" t="str">
        <f t="shared" si="467"/>
        <v/>
      </c>
      <c r="BF1247" t="str">
        <f t="shared" si="468"/>
        <v/>
      </c>
      <c r="BG1247" t="str">
        <f t="shared" si="469"/>
        <v/>
      </c>
      <c r="BH1247" t="str">
        <f t="shared" si="470"/>
        <v/>
      </c>
      <c r="BI1247" t="str">
        <f t="shared" si="471"/>
        <v/>
      </c>
      <c r="BJ1247" t="str">
        <f t="shared" si="472"/>
        <v/>
      </c>
      <c r="BK1247" t="str">
        <f t="shared" si="473"/>
        <v/>
      </c>
      <c r="BL1247" t="str">
        <f t="shared" si="474"/>
        <v/>
      </c>
      <c r="BM1247" t="str">
        <f t="shared" si="475"/>
        <v/>
      </c>
      <c r="BN1247" t="str">
        <f t="shared" si="476"/>
        <v/>
      </c>
      <c r="BO1247" t="str">
        <f t="shared" si="477"/>
        <v/>
      </c>
      <c r="BP1247" t="str">
        <f t="shared" si="478"/>
        <v/>
      </c>
      <c r="BQ1247" t="str">
        <f t="shared" si="479"/>
        <v/>
      </c>
      <c r="BR1247" t="str">
        <f t="shared" si="480"/>
        <v/>
      </c>
      <c r="BS1247" t="str">
        <f t="shared" si="481"/>
        <v/>
      </c>
      <c r="BT1247" t="str">
        <f t="shared" si="482"/>
        <v/>
      </c>
      <c r="BU1247" t="str">
        <f t="shared" si="483"/>
        <v/>
      </c>
    </row>
    <row r="1248" spans="1:73">
      <c r="A1248" s="1">
        <v>139718</v>
      </c>
      <c r="B1248" t="str">
        <f>VLOOKUP($A1248,[1]Table!$A$2:$N1391,B$1,FALSE)</f>
        <v>C07AA05</v>
      </c>
      <c r="C1248" t="str">
        <f>VLOOKUP($A1248,[1]Table!$A$2:$N1391,C$1,FALSE)</f>
        <v>BETA-BLOKKERS</v>
      </c>
      <c r="D1248" t="str">
        <f>VLOOKUP($A1248,[1]Table!$A$2:$N1391,D$1,FALSE)</f>
        <v>BETA-BLOKKERS</v>
      </c>
      <c r="E1248" t="str">
        <f>VLOOKUP($A1248,[1]Table!$A$2:$N1391,E$1,FALSE)</f>
        <v>PROPRANOLOL</v>
      </c>
      <c r="F1248" t="str">
        <f>VLOOKUP($A1248,[1]Table!$A$2:$N1391,F$1,FALSE)</f>
        <v>PROPRANOLOL HCL 1 MG/ML DRANK 200 ML</v>
      </c>
      <c r="G1248" t="str">
        <f>VLOOKUP($A1248,[1]Table!$A$2:$N1391,G$1,FALSE)</f>
        <v>PROPRANOLOL 1MG/ML DRANK</v>
      </c>
      <c r="H1248" t="str">
        <f>VLOOKUP($A1248,[1]Table!$A$2:$N1391,H$1,FALSE)</f>
        <v>drank</v>
      </c>
      <c r="I1248" t="str">
        <f>VLOOKUP($A1248,[1]Table!$A$2:$N1391,I$1,FALSE)</f>
        <v>or</v>
      </c>
      <c r="J1248">
        <f>VLOOKUP($A1248,[1]Table!$A$2:$N1391,J$1,FALSE)</f>
        <v>1</v>
      </c>
      <c r="K1248" t="str">
        <f>VLOOKUP($A1248,[1]Table!$A$2:$N1391,K$1,FALSE)</f>
        <v>mg/ml</v>
      </c>
      <c r="L1248">
        <f>VLOOKUP($A1248,[1]Table!$A$2:$N1391,L$1,FALSE)</f>
        <v>1</v>
      </c>
      <c r="M1248" t="str">
        <f>VLOOKUP($A1248,[1]Table!$A$2:$N1391,M$1,FALSE)</f>
        <v>mg</v>
      </c>
      <c r="N1248" t="str">
        <f>VLOOKUP($A1248,[1]Table!$A$2:$N1391,N$1,FALSE)</f>
        <v>Hypertensie||Migraine profylaxe||Hemangioma: poliklinisch||Hemangioma: klinisch||Verlengd QT syndroom of preventie cyanotic spell bij tetralogie van Fallot||Oppervlakkige hemangiomen</v>
      </c>
      <c r="O1248" t="str">
        <f>ConcatenateRange(AZ1248:BU1248,"||")</f>
        <v/>
      </c>
      <c r="AZ1248" t="str">
        <f t="shared" si="462"/>
        <v/>
      </c>
      <c r="BA1248" t="str">
        <f t="shared" si="463"/>
        <v/>
      </c>
      <c r="BB1248" t="str">
        <f t="shared" si="464"/>
        <v/>
      </c>
      <c r="BC1248" t="str">
        <f t="shared" si="465"/>
        <v/>
      </c>
      <c r="BD1248" t="str">
        <f t="shared" si="466"/>
        <v/>
      </c>
      <c r="BE1248" t="str">
        <f t="shared" si="467"/>
        <v/>
      </c>
      <c r="BF1248" t="str">
        <f t="shared" si="468"/>
        <v/>
      </c>
      <c r="BG1248" t="str">
        <f t="shared" si="469"/>
        <v/>
      </c>
      <c r="BH1248" t="str">
        <f t="shared" si="470"/>
        <v/>
      </c>
      <c r="BI1248" t="str">
        <f t="shared" si="471"/>
        <v/>
      </c>
      <c r="BJ1248" t="str">
        <f t="shared" si="472"/>
        <v/>
      </c>
      <c r="BK1248" t="str">
        <f t="shared" si="473"/>
        <v/>
      </c>
      <c r="BL1248" t="str">
        <f t="shared" si="474"/>
        <v/>
      </c>
      <c r="BM1248" t="str">
        <f t="shared" si="475"/>
        <v/>
      </c>
      <c r="BN1248" t="str">
        <f t="shared" si="476"/>
        <v/>
      </c>
      <c r="BO1248" t="str">
        <f t="shared" si="477"/>
        <v/>
      </c>
      <c r="BP1248" t="str">
        <f t="shared" si="478"/>
        <v/>
      </c>
      <c r="BQ1248" t="str">
        <f t="shared" si="479"/>
        <v/>
      </c>
      <c r="BR1248" t="str">
        <f t="shared" si="480"/>
        <v/>
      </c>
      <c r="BS1248" t="str">
        <f t="shared" si="481"/>
        <v/>
      </c>
      <c r="BT1248" t="str">
        <f t="shared" si="482"/>
        <v/>
      </c>
      <c r="BU1248" t="str">
        <f t="shared" si="483"/>
        <v/>
      </c>
    </row>
    <row r="1249" spans="1:73">
      <c r="A1249" s="1">
        <v>16306</v>
      </c>
      <c r="B1249" t="str">
        <f>VLOOKUP($A1249,[1]Table!$A$2:$N1392,B$1,FALSE)</f>
        <v>C07AA05</v>
      </c>
      <c r="C1249" t="str">
        <f>VLOOKUP($A1249,[1]Table!$A$2:$N1392,C$1,FALSE)</f>
        <v>BETA-BLOKKERS</v>
      </c>
      <c r="D1249" t="str">
        <f>VLOOKUP($A1249,[1]Table!$A$2:$N1392,D$1,FALSE)</f>
        <v>BETA-BLOKKERS</v>
      </c>
      <c r="E1249" t="str">
        <f>VLOOKUP($A1249,[1]Table!$A$2:$N1392,E$1,FALSE)</f>
        <v>PROPRANOLOL</v>
      </c>
      <c r="F1249" t="str">
        <f>VLOOKUP($A1249,[1]Table!$A$2:$N1392,F$1,FALSE)</f>
        <v>PROPRANOLOL 10 MG TABLET</v>
      </c>
      <c r="G1249" t="str">
        <f>VLOOKUP($A1249,[1]Table!$A$2:$N1392,G$1,FALSE)</f>
        <v>PROPRANOLOL 10MG TABLET</v>
      </c>
      <c r="H1249" t="str">
        <f>VLOOKUP($A1249,[1]Table!$A$2:$N1392,H$1,FALSE)</f>
        <v>tablet</v>
      </c>
      <c r="I1249" t="str">
        <f>VLOOKUP($A1249,[1]Table!$A$2:$N1392,I$1,FALSE)</f>
        <v>or</v>
      </c>
      <c r="J1249">
        <f>VLOOKUP($A1249,[1]Table!$A$2:$N1392,J$1,FALSE)</f>
        <v>10</v>
      </c>
      <c r="K1249" t="str">
        <f>VLOOKUP($A1249,[1]Table!$A$2:$N1392,K$1,FALSE)</f>
        <v>mg/stuk</v>
      </c>
      <c r="L1249">
        <f>VLOOKUP($A1249,[1]Table!$A$2:$N1392,L$1,FALSE)</f>
        <v>5</v>
      </c>
      <c r="M1249" t="str">
        <f>VLOOKUP($A1249,[1]Table!$A$2:$N1392,M$1,FALSE)</f>
        <v>mg</v>
      </c>
      <c r="N1249" t="str">
        <f>VLOOKUP($A1249,[1]Table!$A$2:$N1392,N$1,FALSE)</f>
        <v>Hypertensie||Migraine profylaxe||Hemangioma: poliklinisch||Hemangioma: klinisch||Verlengd QT syndroom of preventie cyanotic spell bij tetralogie van Fallot||Oppervlakkige hemangiomen</v>
      </c>
      <c r="O1249" t="str">
        <f>ConcatenateRange(AZ1249:BU1249,"||")</f>
        <v/>
      </c>
      <c r="AZ1249" t="str">
        <f t="shared" si="462"/>
        <v/>
      </c>
      <c r="BA1249" t="str">
        <f t="shared" si="463"/>
        <v/>
      </c>
      <c r="BB1249" t="str">
        <f t="shared" si="464"/>
        <v/>
      </c>
      <c r="BC1249" t="str">
        <f t="shared" si="465"/>
        <v/>
      </c>
      <c r="BD1249" t="str">
        <f t="shared" si="466"/>
        <v/>
      </c>
      <c r="BE1249" t="str">
        <f t="shared" si="467"/>
        <v/>
      </c>
      <c r="BF1249" t="str">
        <f t="shared" si="468"/>
        <v/>
      </c>
      <c r="BG1249" t="str">
        <f t="shared" si="469"/>
        <v/>
      </c>
      <c r="BH1249" t="str">
        <f t="shared" si="470"/>
        <v/>
      </c>
      <c r="BI1249" t="str">
        <f t="shared" si="471"/>
        <v/>
      </c>
      <c r="BJ1249" t="str">
        <f t="shared" si="472"/>
        <v/>
      </c>
      <c r="BK1249" t="str">
        <f t="shared" si="473"/>
        <v/>
      </c>
      <c r="BL1249" t="str">
        <f t="shared" si="474"/>
        <v/>
      </c>
      <c r="BM1249" t="str">
        <f t="shared" si="475"/>
        <v/>
      </c>
      <c r="BN1249" t="str">
        <f t="shared" si="476"/>
        <v/>
      </c>
      <c r="BO1249" t="str">
        <f t="shared" si="477"/>
        <v/>
      </c>
      <c r="BP1249" t="str">
        <f t="shared" si="478"/>
        <v/>
      </c>
      <c r="BQ1249" t="str">
        <f t="shared" si="479"/>
        <v/>
      </c>
      <c r="BR1249" t="str">
        <f t="shared" si="480"/>
        <v/>
      </c>
      <c r="BS1249" t="str">
        <f t="shared" si="481"/>
        <v/>
      </c>
      <c r="BT1249" t="str">
        <f t="shared" si="482"/>
        <v/>
      </c>
      <c r="BU1249" t="str">
        <f t="shared" si="483"/>
        <v/>
      </c>
    </row>
    <row r="1250" spans="1:73">
      <c r="A1250" s="1">
        <v>16314</v>
      </c>
      <c r="B1250" t="str">
        <f>VLOOKUP($A1250,[1]Table!$A$2:$N1393,B$1,FALSE)</f>
        <v>C07AA05</v>
      </c>
      <c r="C1250" t="str">
        <f>VLOOKUP($A1250,[1]Table!$A$2:$N1393,C$1,FALSE)</f>
        <v>BETA-BLOKKERS</v>
      </c>
      <c r="D1250" t="str">
        <f>VLOOKUP($A1250,[1]Table!$A$2:$N1393,D$1,FALSE)</f>
        <v>BETA-BLOKKERS</v>
      </c>
      <c r="E1250" t="str">
        <f>VLOOKUP($A1250,[1]Table!$A$2:$N1393,E$1,FALSE)</f>
        <v>PROPRANOLOL</v>
      </c>
      <c r="F1250" t="str">
        <f>VLOOKUP($A1250,[1]Table!$A$2:$N1393,F$1,FALSE)</f>
        <v>PROPRANOLOL 40 MG TABLET</v>
      </c>
      <c r="G1250" t="str">
        <f>VLOOKUP($A1250,[1]Table!$A$2:$N1393,G$1,FALSE)</f>
        <v>PROPRANOLOL 40MG TABLET</v>
      </c>
      <c r="H1250" t="str">
        <f>VLOOKUP($A1250,[1]Table!$A$2:$N1393,H$1,FALSE)</f>
        <v>tablet</v>
      </c>
      <c r="I1250" t="str">
        <f>VLOOKUP($A1250,[1]Table!$A$2:$N1393,I$1,FALSE)</f>
        <v>or</v>
      </c>
      <c r="J1250">
        <f>VLOOKUP($A1250,[1]Table!$A$2:$N1393,J$1,FALSE)</f>
        <v>40</v>
      </c>
      <c r="K1250" t="str">
        <f>VLOOKUP($A1250,[1]Table!$A$2:$N1393,K$1,FALSE)</f>
        <v>mg/stuk</v>
      </c>
      <c r="L1250">
        <f>VLOOKUP($A1250,[1]Table!$A$2:$N1393,L$1,FALSE)</f>
        <v>20</v>
      </c>
      <c r="M1250" t="str">
        <f>VLOOKUP($A1250,[1]Table!$A$2:$N1393,M$1,FALSE)</f>
        <v>mg</v>
      </c>
      <c r="N1250" t="str">
        <f>VLOOKUP($A1250,[1]Table!$A$2:$N1393,N$1,FALSE)</f>
        <v>Hypertensie||Migraine profylaxe||Hemangioma: poliklinisch||Hemangioma: klinisch||Verlengd QT syndroom of preventie cyanotic spell bij tetralogie van Fallot||Oppervlakkige hemangiomen</v>
      </c>
      <c r="O1250" t="str">
        <f>ConcatenateRange(AZ1250:BU1250,"||")</f>
        <v/>
      </c>
      <c r="AZ1250" t="str">
        <f t="shared" si="462"/>
        <v/>
      </c>
      <c r="BA1250" t="str">
        <f t="shared" si="463"/>
        <v/>
      </c>
      <c r="BB1250" t="str">
        <f t="shared" si="464"/>
        <v/>
      </c>
      <c r="BC1250" t="str">
        <f t="shared" si="465"/>
        <v/>
      </c>
      <c r="BD1250" t="str">
        <f t="shared" si="466"/>
        <v/>
      </c>
      <c r="BE1250" t="str">
        <f t="shared" si="467"/>
        <v/>
      </c>
      <c r="BF1250" t="str">
        <f t="shared" si="468"/>
        <v/>
      </c>
      <c r="BG1250" t="str">
        <f t="shared" si="469"/>
        <v/>
      </c>
      <c r="BH1250" t="str">
        <f t="shared" si="470"/>
        <v/>
      </c>
      <c r="BI1250" t="str">
        <f t="shared" si="471"/>
        <v/>
      </c>
      <c r="BJ1250" t="str">
        <f t="shared" si="472"/>
        <v/>
      </c>
      <c r="BK1250" t="str">
        <f t="shared" si="473"/>
        <v/>
      </c>
      <c r="BL1250" t="str">
        <f t="shared" si="474"/>
        <v/>
      </c>
      <c r="BM1250" t="str">
        <f t="shared" si="475"/>
        <v/>
      </c>
      <c r="BN1250" t="str">
        <f t="shared" si="476"/>
        <v/>
      </c>
      <c r="BO1250" t="str">
        <f t="shared" si="477"/>
        <v/>
      </c>
      <c r="BP1250" t="str">
        <f t="shared" si="478"/>
        <v/>
      </c>
      <c r="BQ1250" t="str">
        <f t="shared" si="479"/>
        <v/>
      </c>
      <c r="BR1250" t="str">
        <f t="shared" si="480"/>
        <v/>
      </c>
      <c r="BS1250" t="str">
        <f t="shared" si="481"/>
        <v/>
      </c>
      <c r="BT1250" t="str">
        <f t="shared" si="482"/>
        <v/>
      </c>
      <c r="BU1250" t="str">
        <f t="shared" si="483"/>
        <v/>
      </c>
    </row>
    <row r="1251" spans="1:73">
      <c r="A1251" s="1">
        <v>16322</v>
      </c>
      <c r="B1251" t="str">
        <f>VLOOKUP($A1251,[1]Table!$A$2:$N1394,B$1,FALSE)</f>
        <v>C07AA05</v>
      </c>
      <c r="C1251" t="str">
        <f>VLOOKUP($A1251,[1]Table!$A$2:$N1394,C$1,FALSE)</f>
        <v>BETA-BLOKKERS</v>
      </c>
      <c r="D1251" t="str">
        <f>VLOOKUP($A1251,[1]Table!$A$2:$N1394,D$1,FALSE)</f>
        <v>BETA-BLOKKERS</v>
      </c>
      <c r="E1251" t="str">
        <f>VLOOKUP($A1251,[1]Table!$A$2:$N1394,E$1,FALSE)</f>
        <v>PROPRANOLOL</v>
      </c>
      <c r="F1251" t="str">
        <f>VLOOKUP($A1251,[1]Table!$A$2:$N1394,F$1,FALSE)</f>
        <v>PROPRANOLOL 80 MG TABLET</v>
      </c>
      <c r="G1251" t="str">
        <f>VLOOKUP($A1251,[1]Table!$A$2:$N1394,G$1,FALSE)</f>
        <v>PROPRANOLOL 80MG TABLET</v>
      </c>
      <c r="H1251" t="str">
        <f>VLOOKUP($A1251,[1]Table!$A$2:$N1394,H$1,FALSE)</f>
        <v>tablet</v>
      </c>
      <c r="I1251" t="str">
        <f>VLOOKUP($A1251,[1]Table!$A$2:$N1394,I$1,FALSE)</f>
        <v>or</v>
      </c>
      <c r="J1251">
        <f>VLOOKUP($A1251,[1]Table!$A$2:$N1394,J$1,FALSE)</f>
        <v>80</v>
      </c>
      <c r="K1251" t="str">
        <f>VLOOKUP($A1251,[1]Table!$A$2:$N1394,K$1,FALSE)</f>
        <v>mg/stuk</v>
      </c>
      <c r="L1251">
        <f>VLOOKUP($A1251,[1]Table!$A$2:$N1394,L$1,FALSE)</f>
        <v>40</v>
      </c>
      <c r="M1251" t="str">
        <f>VLOOKUP($A1251,[1]Table!$A$2:$N1394,M$1,FALSE)</f>
        <v>mg</v>
      </c>
      <c r="N1251" t="str">
        <f>VLOOKUP($A1251,[1]Table!$A$2:$N1394,N$1,FALSE)</f>
        <v>Hypertensie||Migraine profylaxe||Hemangioma: poliklinisch||Hemangioma: klinisch||Verlengd QT syndroom of preventie cyanotic spell bij tetralogie van Fallot||Oppervlakkige hemangiomen</v>
      </c>
      <c r="O1251" t="str">
        <f>ConcatenateRange(AZ1251:BU1251,"||")</f>
        <v/>
      </c>
      <c r="AZ1251" t="str">
        <f t="shared" si="462"/>
        <v/>
      </c>
      <c r="BA1251" t="str">
        <f t="shared" si="463"/>
        <v/>
      </c>
      <c r="BB1251" t="str">
        <f t="shared" si="464"/>
        <v/>
      </c>
      <c r="BC1251" t="str">
        <f t="shared" si="465"/>
        <v/>
      </c>
      <c r="BD1251" t="str">
        <f t="shared" si="466"/>
        <v/>
      </c>
      <c r="BE1251" t="str">
        <f t="shared" si="467"/>
        <v/>
      </c>
      <c r="BF1251" t="str">
        <f t="shared" si="468"/>
        <v/>
      </c>
      <c r="BG1251" t="str">
        <f t="shared" si="469"/>
        <v/>
      </c>
      <c r="BH1251" t="str">
        <f t="shared" si="470"/>
        <v/>
      </c>
      <c r="BI1251" t="str">
        <f t="shared" si="471"/>
        <v/>
      </c>
      <c r="BJ1251" t="str">
        <f t="shared" si="472"/>
        <v/>
      </c>
      <c r="BK1251" t="str">
        <f t="shared" si="473"/>
        <v/>
      </c>
      <c r="BL1251" t="str">
        <f t="shared" si="474"/>
        <v/>
      </c>
      <c r="BM1251" t="str">
        <f t="shared" si="475"/>
        <v/>
      </c>
      <c r="BN1251" t="str">
        <f t="shared" si="476"/>
        <v/>
      </c>
      <c r="BO1251" t="str">
        <f t="shared" si="477"/>
        <v/>
      </c>
      <c r="BP1251" t="str">
        <f t="shared" si="478"/>
        <v/>
      </c>
      <c r="BQ1251" t="str">
        <f t="shared" si="479"/>
        <v/>
      </c>
      <c r="BR1251" t="str">
        <f t="shared" si="480"/>
        <v/>
      </c>
      <c r="BS1251" t="str">
        <f t="shared" si="481"/>
        <v/>
      </c>
      <c r="BT1251" t="str">
        <f t="shared" si="482"/>
        <v/>
      </c>
      <c r="BU1251" t="str">
        <f t="shared" si="483"/>
        <v/>
      </c>
    </row>
    <row r="1252" spans="1:73">
      <c r="A1252" s="1">
        <v>23825</v>
      </c>
      <c r="B1252" t="str">
        <f>VLOOKUP($A1252,[1]Table!$A$2:$N1395,B$1,FALSE)</f>
        <v>H03BA02</v>
      </c>
      <c r="C1252" t="str">
        <f>VLOOKUP($A1252,[1]Table!$A$2:$N1395,C$1,FALSE)</f>
        <v>SCHILDKLIERMIDDELEN</v>
      </c>
      <c r="D1252" t="str">
        <f>VLOOKUP($A1252,[1]Table!$A$2:$N1395,D$1,FALSE)</f>
        <v>THYREOSTATICA</v>
      </c>
      <c r="E1252" t="str">
        <f>VLOOKUP($A1252,[1]Table!$A$2:$N1395,E$1,FALSE)</f>
        <v>PROPYLTHIOURACIL</v>
      </c>
      <c r="F1252" t="str">
        <f>VLOOKUP($A1252,[1]Table!$A$2:$N1395,F$1,FALSE)</f>
        <v>PROPYLTHIOURACIL 50 MG TABLET</v>
      </c>
      <c r="G1252" t="str">
        <f>VLOOKUP($A1252,[1]Table!$A$2:$N1395,G$1,FALSE)</f>
        <v>PROPYLTHIOURACIL 50MG TAB</v>
      </c>
      <c r="H1252" t="str">
        <f>VLOOKUP($A1252,[1]Table!$A$2:$N1395,H$1,FALSE)</f>
        <v>tablet</v>
      </c>
      <c r="I1252" t="str">
        <f>VLOOKUP($A1252,[1]Table!$A$2:$N1395,I$1,FALSE)</f>
        <v>or</v>
      </c>
      <c r="J1252">
        <f>VLOOKUP($A1252,[1]Table!$A$2:$N1395,J$1,FALSE)</f>
        <v>50</v>
      </c>
      <c r="K1252" t="str">
        <f>VLOOKUP($A1252,[1]Table!$A$2:$N1395,K$1,FALSE)</f>
        <v>mg/stuk</v>
      </c>
      <c r="L1252">
        <f>VLOOKUP($A1252,[1]Table!$A$2:$N1395,L$1,FALSE)</f>
        <v>50</v>
      </c>
      <c r="M1252" t="str">
        <f>VLOOKUP($A1252,[1]Table!$A$2:$N1395,M$1,FALSE)</f>
        <v>mg</v>
      </c>
      <c r="N1252" t="str">
        <f>VLOOKUP($A1252,[1]Table!$A$2:$N1395,N$1,FALSE)</f>
        <v>Hyperthyreoïdie indien alternatief niet mogelijk is</v>
      </c>
      <c r="O1252" t="str">
        <f>ConcatenateRange(AZ1252:BU1252,"||")</f>
        <v/>
      </c>
      <c r="AZ1252" t="str">
        <f t="shared" si="462"/>
        <v/>
      </c>
      <c r="BA1252" t="str">
        <f t="shared" si="463"/>
        <v/>
      </c>
      <c r="BB1252" t="str">
        <f t="shared" si="464"/>
        <v/>
      </c>
      <c r="BC1252" t="str">
        <f t="shared" si="465"/>
        <v/>
      </c>
      <c r="BD1252" t="str">
        <f t="shared" si="466"/>
        <v/>
      </c>
      <c r="BE1252" t="str">
        <f t="shared" si="467"/>
        <v/>
      </c>
      <c r="BF1252" t="str">
        <f t="shared" si="468"/>
        <v/>
      </c>
      <c r="BG1252" t="str">
        <f t="shared" si="469"/>
        <v/>
      </c>
      <c r="BH1252" t="str">
        <f t="shared" si="470"/>
        <v/>
      </c>
      <c r="BI1252" t="str">
        <f t="shared" si="471"/>
        <v/>
      </c>
      <c r="BJ1252" t="str">
        <f t="shared" si="472"/>
        <v/>
      </c>
      <c r="BK1252" t="str">
        <f t="shared" si="473"/>
        <v/>
      </c>
      <c r="BL1252" t="str">
        <f t="shared" si="474"/>
        <v/>
      </c>
      <c r="BM1252" t="str">
        <f t="shared" si="475"/>
        <v/>
      </c>
      <c r="BN1252" t="str">
        <f t="shared" si="476"/>
        <v/>
      </c>
      <c r="BO1252" t="str">
        <f t="shared" si="477"/>
        <v/>
      </c>
      <c r="BP1252" t="str">
        <f t="shared" si="478"/>
        <v/>
      </c>
      <c r="BQ1252" t="str">
        <f t="shared" si="479"/>
        <v/>
      </c>
      <c r="BR1252" t="str">
        <f t="shared" si="480"/>
        <v/>
      </c>
      <c r="BS1252" t="str">
        <f t="shared" si="481"/>
        <v/>
      </c>
      <c r="BT1252" t="str">
        <f t="shared" si="482"/>
        <v/>
      </c>
      <c r="BU1252" t="str">
        <f t="shared" si="483"/>
        <v/>
      </c>
    </row>
    <row r="1253" spans="1:73">
      <c r="A1253" s="1">
        <v>133469</v>
      </c>
      <c r="B1253" t="str">
        <f>VLOOKUP($A1253,[1]Table!$A$2:$N1396,B$1,FALSE)</f>
        <v>V03AB14</v>
      </c>
      <c r="C1253" t="str">
        <f>VLOOKUP($A1253,[1]Table!$A$2:$N1396,C$1,FALSE)</f>
        <v>ALLE OVERIGE THERAPEUTISCHE MIDDELEN</v>
      </c>
      <c r="D1253" t="str">
        <f>VLOOKUP($A1253,[1]Table!$A$2:$N1396,D$1,FALSE)</f>
        <v>ALLE OVERIGE THERAPEUTISCHE MIDDELEN</v>
      </c>
      <c r="E1253" t="str">
        <f>VLOOKUP($A1253,[1]Table!$A$2:$N1396,E$1,FALSE)</f>
        <v>PROTAMINE HCL</v>
      </c>
      <c r="F1253" t="str">
        <f>VLOOKUP($A1253,[1]Table!$A$2:$N1396,F$1,FALSE)</f>
        <v>PROTAMINE 1000 IE/ML AMPUL 5ML</v>
      </c>
      <c r="G1253" t="str">
        <f>VLOOKUP($A1253,[1]Table!$A$2:$N1396,G$1,FALSE)</f>
        <v>PROTAMINEHCL 1000IE/ML INJ</v>
      </c>
      <c r="H1253" t="str">
        <f>VLOOKUP($A1253,[1]Table!$A$2:$N1396,H$1,FALSE)</f>
        <v>injectievloeistof</v>
      </c>
      <c r="I1253" t="str">
        <f>VLOOKUP($A1253,[1]Table!$A$2:$N1396,I$1,FALSE)</f>
        <v>iv</v>
      </c>
      <c r="J1253">
        <f>VLOOKUP($A1253,[1]Table!$A$2:$N1396,J$1,FALSE)</f>
        <v>1000</v>
      </c>
      <c r="K1253" t="str">
        <f>VLOOKUP($A1253,[1]Table!$A$2:$N1396,K$1,FALSE)</f>
        <v>IE/ml</v>
      </c>
      <c r="L1253">
        <f>VLOOKUP($A1253,[1]Table!$A$2:$N1396,L$1,FALSE)</f>
        <v>1000</v>
      </c>
      <c r="M1253" t="str">
        <f>VLOOKUP($A1253,[1]Table!$A$2:$N1396,M$1,FALSE)</f>
        <v>IE</v>
      </c>
      <c r="N1253" t="str">
        <f>VLOOKUP($A1253,[1]Table!$A$2:$N1396,N$1,FALSE)</f>
        <v>Heparine overdosering</v>
      </c>
      <c r="O1253" t="str">
        <f>ConcatenateRange(AZ1253:BU1253,"||")</f>
        <v/>
      </c>
      <c r="AZ1253" t="str">
        <f t="shared" si="462"/>
        <v/>
      </c>
      <c r="BA1253" t="str">
        <f t="shared" si="463"/>
        <v/>
      </c>
      <c r="BB1253" t="str">
        <f t="shared" si="464"/>
        <v/>
      </c>
      <c r="BC1253" t="str">
        <f t="shared" si="465"/>
        <v/>
      </c>
      <c r="BD1253" t="str">
        <f t="shared" si="466"/>
        <v/>
      </c>
      <c r="BE1253" t="str">
        <f t="shared" si="467"/>
        <v/>
      </c>
      <c r="BF1253" t="str">
        <f t="shared" si="468"/>
        <v/>
      </c>
      <c r="BG1253" t="str">
        <f t="shared" si="469"/>
        <v/>
      </c>
      <c r="BH1253" t="str">
        <f t="shared" si="470"/>
        <v/>
      </c>
      <c r="BI1253" t="str">
        <f t="shared" si="471"/>
        <v/>
      </c>
      <c r="BJ1253" t="str">
        <f t="shared" si="472"/>
        <v/>
      </c>
      <c r="BK1253" t="str">
        <f t="shared" si="473"/>
        <v/>
      </c>
      <c r="BL1253" t="str">
        <f t="shared" si="474"/>
        <v/>
      </c>
      <c r="BM1253" t="str">
        <f t="shared" si="475"/>
        <v/>
      </c>
      <c r="BN1253" t="str">
        <f t="shared" si="476"/>
        <v/>
      </c>
      <c r="BO1253" t="str">
        <f t="shared" si="477"/>
        <v/>
      </c>
      <c r="BP1253" t="str">
        <f t="shared" si="478"/>
        <v/>
      </c>
      <c r="BQ1253" t="str">
        <f t="shared" si="479"/>
        <v/>
      </c>
      <c r="BR1253" t="str">
        <f t="shared" si="480"/>
        <v/>
      </c>
      <c r="BS1253" t="str">
        <f t="shared" si="481"/>
        <v/>
      </c>
      <c r="BT1253" t="str">
        <f t="shared" si="482"/>
        <v/>
      </c>
      <c r="BU1253" t="str">
        <f t="shared" si="483"/>
        <v/>
      </c>
    </row>
    <row r="1254" spans="1:73">
      <c r="A1254" s="1">
        <v>46507</v>
      </c>
      <c r="B1254" t="str">
        <f>VLOOKUP($A1254,[1]Table!$A$2:$N1397,B$1,FALSE)</f>
        <v>J04AK01</v>
      </c>
      <c r="C1254" t="str">
        <f>VLOOKUP($A1254,[1]Table!$A$2:$N1397,C$1,FALSE)</f>
        <v>ANTIMYCOBACTERIELE MIDDELEN</v>
      </c>
      <c r="D1254" t="str">
        <f>VLOOKUP($A1254,[1]Table!$A$2:$N1397,D$1,FALSE)</f>
        <v>TUBERCULOSEMIDDELEN</v>
      </c>
      <c r="E1254" t="str">
        <f>VLOOKUP($A1254,[1]Table!$A$2:$N1397,E$1,FALSE)</f>
        <v>PYRAZINAMIDE</v>
      </c>
      <c r="F1254" t="str">
        <f>VLOOKUP($A1254,[1]Table!$A$2:$N1397,F$1,FALSE)</f>
        <v>PYRAZINAMIDUM 500MG TABLET</v>
      </c>
      <c r="G1254" t="str">
        <f>VLOOKUP($A1254,[1]Table!$A$2:$N1397,G$1,FALSE)</f>
        <v>PYRAZINAMIDE 500MG TABLET</v>
      </c>
      <c r="H1254" t="str">
        <f>VLOOKUP($A1254,[1]Table!$A$2:$N1397,H$1,FALSE)</f>
        <v>tablet</v>
      </c>
      <c r="I1254" t="str">
        <f>VLOOKUP($A1254,[1]Table!$A$2:$N1397,I$1,FALSE)</f>
        <v>or</v>
      </c>
      <c r="J1254">
        <f>VLOOKUP($A1254,[1]Table!$A$2:$N1397,J$1,FALSE)</f>
        <v>500</v>
      </c>
      <c r="K1254" t="str">
        <f>VLOOKUP($A1254,[1]Table!$A$2:$N1397,K$1,FALSE)</f>
        <v>mg/stuk</v>
      </c>
      <c r="L1254">
        <f>VLOOKUP($A1254,[1]Table!$A$2:$N1397,L$1,FALSE)</f>
        <v>250</v>
      </c>
      <c r="M1254" t="str">
        <f>VLOOKUP($A1254,[1]Table!$A$2:$N1397,M$1,FALSE)</f>
        <v>mg</v>
      </c>
      <c r="N1254" t="str">
        <f>VLOOKUP($A1254,[1]Table!$A$2:$N1397,N$1,FALSE)</f>
        <v>Tuberculose (in combinatie met andere tuberculose middelen)||Latente tuberculose infectie</v>
      </c>
      <c r="O1254" t="str">
        <f>ConcatenateRange(AZ1254:BU1254,"||")</f>
        <v/>
      </c>
      <c r="AZ1254" t="str">
        <f t="shared" si="462"/>
        <v/>
      </c>
      <c r="BA1254" t="str">
        <f t="shared" si="463"/>
        <v/>
      </c>
      <c r="BB1254" t="str">
        <f t="shared" si="464"/>
        <v/>
      </c>
      <c r="BC1254" t="str">
        <f t="shared" si="465"/>
        <v/>
      </c>
      <c r="BD1254" t="str">
        <f t="shared" si="466"/>
        <v/>
      </c>
      <c r="BE1254" t="str">
        <f t="shared" si="467"/>
        <v/>
      </c>
      <c r="BF1254" t="str">
        <f t="shared" si="468"/>
        <v/>
      </c>
      <c r="BG1254" t="str">
        <f t="shared" si="469"/>
        <v/>
      </c>
      <c r="BH1254" t="str">
        <f t="shared" si="470"/>
        <v/>
      </c>
      <c r="BI1254" t="str">
        <f t="shared" si="471"/>
        <v/>
      </c>
      <c r="BJ1254" t="str">
        <f t="shared" si="472"/>
        <v/>
      </c>
      <c r="BK1254" t="str">
        <f t="shared" si="473"/>
        <v/>
      </c>
      <c r="BL1254" t="str">
        <f t="shared" si="474"/>
        <v/>
      </c>
      <c r="BM1254" t="str">
        <f t="shared" si="475"/>
        <v/>
      </c>
      <c r="BN1254" t="str">
        <f t="shared" si="476"/>
        <v/>
      </c>
      <c r="BO1254" t="str">
        <f t="shared" si="477"/>
        <v/>
      </c>
      <c r="BP1254" t="str">
        <f t="shared" si="478"/>
        <v/>
      </c>
      <c r="BQ1254" t="str">
        <f t="shared" si="479"/>
        <v/>
      </c>
      <c r="BR1254" t="str">
        <f t="shared" si="480"/>
        <v/>
      </c>
      <c r="BS1254" t="str">
        <f t="shared" si="481"/>
        <v/>
      </c>
      <c r="BT1254" t="str">
        <f t="shared" si="482"/>
        <v/>
      </c>
      <c r="BU1254" t="str">
        <f t="shared" si="483"/>
        <v/>
      </c>
    </row>
    <row r="1255" spans="1:73">
      <c r="A1255" s="1">
        <v>23884</v>
      </c>
      <c r="B1255" t="str">
        <f>VLOOKUP($A1255,[1]Table!$A$2:$N1398,B$1,FALSE)</f>
        <v>A11HA02</v>
      </c>
      <c r="C1255" t="str">
        <f>VLOOKUP($A1255,[1]Table!$A$2:$N1398,C$1,FALSE)</f>
        <v>VITAMINEN</v>
      </c>
      <c r="D1255" t="str">
        <f>VLOOKUP($A1255,[1]Table!$A$2:$N1398,D$1,FALSE)</f>
        <v>OVERIGE ENKELVOUDIGE VITAMINEPREPARATEN</v>
      </c>
      <c r="E1255" t="str">
        <f>VLOOKUP($A1255,[1]Table!$A$2:$N1398,E$1,FALSE)</f>
        <v>PYRIDOXINE</v>
      </c>
      <c r="F1255" t="str">
        <f>VLOOKUP($A1255,[1]Table!$A$2:$N1398,F$1,FALSE)</f>
        <v>PYRIDOXINI HCL 20 MG TABLET</v>
      </c>
      <c r="G1255" t="str">
        <f>VLOOKUP($A1255,[1]Table!$A$2:$N1398,G$1,FALSE)</f>
        <v>PYRIDOXINE 20MG TABLET</v>
      </c>
      <c r="H1255" t="str">
        <f>VLOOKUP($A1255,[1]Table!$A$2:$N1398,H$1,FALSE)</f>
        <v>tablet</v>
      </c>
      <c r="I1255" t="str">
        <f>VLOOKUP($A1255,[1]Table!$A$2:$N1398,I$1,FALSE)</f>
        <v>or</v>
      </c>
      <c r="J1255">
        <f>VLOOKUP($A1255,[1]Table!$A$2:$N1398,J$1,FALSE)</f>
        <v>20</v>
      </c>
      <c r="K1255" t="str">
        <f>VLOOKUP($A1255,[1]Table!$A$2:$N1398,K$1,FALSE)</f>
        <v>mg/stuk</v>
      </c>
      <c r="L1255">
        <f>VLOOKUP($A1255,[1]Table!$A$2:$N1398,L$1,FALSE)</f>
        <v>10</v>
      </c>
      <c r="M1255" t="str">
        <f>VLOOKUP($A1255,[1]Table!$A$2:$N1398,M$1,FALSE)</f>
        <v>mg</v>
      </c>
      <c r="N1255" t="str">
        <f>VLOOKUP($A1255,[1]Table!$A$2:$N1398,N$1,FALSE)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5" t="str">
        <f>ConcatenateRange(AZ1255:BU1255,"||")</f>
        <v/>
      </c>
      <c r="AZ1255" t="str">
        <f t="shared" si="462"/>
        <v/>
      </c>
      <c r="BA1255" t="str">
        <f t="shared" si="463"/>
        <v/>
      </c>
      <c r="BB1255" t="str">
        <f t="shared" si="464"/>
        <v/>
      </c>
      <c r="BC1255" t="str">
        <f t="shared" si="465"/>
        <v/>
      </c>
      <c r="BD1255" t="str">
        <f t="shared" si="466"/>
        <v/>
      </c>
      <c r="BE1255" t="str">
        <f t="shared" si="467"/>
        <v/>
      </c>
      <c r="BF1255" t="str">
        <f t="shared" si="468"/>
        <v/>
      </c>
      <c r="BG1255" t="str">
        <f t="shared" si="469"/>
        <v/>
      </c>
      <c r="BH1255" t="str">
        <f t="shared" si="470"/>
        <v/>
      </c>
      <c r="BI1255" t="str">
        <f t="shared" si="471"/>
        <v/>
      </c>
      <c r="BJ1255" t="str">
        <f t="shared" si="472"/>
        <v/>
      </c>
      <c r="BK1255" t="str">
        <f t="shared" si="473"/>
        <v/>
      </c>
      <c r="BL1255" t="str">
        <f t="shared" si="474"/>
        <v/>
      </c>
      <c r="BM1255" t="str">
        <f t="shared" si="475"/>
        <v/>
      </c>
      <c r="BN1255" t="str">
        <f t="shared" si="476"/>
        <v/>
      </c>
      <c r="BO1255" t="str">
        <f t="shared" si="477"/>
        <v/>
      </c>
      <c r="BP1255" t="str">
        <f t="shared" si="478"/>
        <v/>
      </c>
      <c r="BQ1255" t="str">
        <f t="shared" si="479"/>
        <v/>
      </c>
      <c r="BR1255" t="str">
        <f t="shared" si="480"/>
        <v/>
      </c>
      <c r="BS1255" t="str">
        <f t="shared" si="481"/>
        <v/>
      </c>
      <c r="BT1255" t="str">
        <f t="shared" si="482"/>
        <v/>
      </c>
      <c r="BU1255" t="str">
        <f t="shared" si="483"/>
        <v/>
      </c>
    </row>
    <row r="1256" spans="1:73">
      <c r="A1256" s="1">
        <v>49042</v>
      </c>
      <c r="B1256" t="str">
        <f>VLOOKUP($A1256,[1]Table!$A$2:$N1399,B$1,FALSE)</f>
        <v>A11HA02</v>
      </c>
      <c r="C1256" t="str">
        <f>VLOOKUP($A1256,[1]Table!$A$2:$N1399,C$1,FALSE)</f>
        <v>VITAMINEN</v>
      </c>
      <c r="D1256" t="str">
        <f>VLOOKUP($A1256,[1]Table!$A$2:$N1399,D$1,FALSE)</f>
        <v>OVERIGE ENKELVOUDIGE VITAMINEPREPARATEN</v>
      </c>
      <c r="E1256" t="str">
        <f>VLOOKUP($A1256,[1]Table!$A$2:$N1399,E$1,FALSE)</f>
        <v>PYRIDOXINE</v>
      </c>
      <c r="F1256" t="str">
        <f>VLOOKUP($A1256,[1]Table!$A$2:$N1399,F$1,FALSE)</f>
        <v>PYRIDOXINE HCL 50 MG TABLET</v>
      </c>
      <c r="G1256" t="str">
        <f>VLOOKUP($A1256,[1]Table!$A$2:$N1399,G$1,FALSE)</f>
        <v>PYRIDOXINE 50MG TABLET</v>
      </c>
      <c r="H1256" t="str">
        <f>VLOOKUP($A1256,[1]Table!$A$2:$N1399,H$1,FALSE)</f>
        <v>tablet</v>
      </c>
      <c r="I1256" t="str">
        <f>VLOOKUP($A1256,[1]Table!$A$2:$N1399,I$1,FALSE)</f>
        <v>or</v>
      </c>
      <c r="J1256">
        <f>VLOOKUP($A1256,[1]Table!$A$2:$N1399,J$1,FALSE)</f>
        <v>50</v>
      </c>
      <c r="K1256" t="str">
        <f>VLOOKUP($A1256,[1]Table!$A$2:$N1399,K$1,FALSE)</f>
        <v>mg/stuk</v>
      </c>
      <c r="L1256">
        <f>VLOOKUP($A1256,[1]Table!$A$2:$N1399,L$1,FALSE)</f>
        <v>50</v>
      </c>
      <c r="M1256" t="str">
        <f>VLOOKUP($A1256,[1]Table!$A$2:$N1399,M$1,FALSE)</f>
        <v>mg</v>
      </c>
      <c r="N1256" t="str">
        <f>VLOOKUP($A1256,[1]Table!$A$2:$N1399,N$1,FALSE)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6" t="str">
        <f>ConcatenateRange(AZ1256:BU1256,"||")</f>
        <v/>
      </c>
      <c r="AZ1256" t="str">
        <f t="shared" si="462"/>
        <v/>
      </c>
      <c r="BA1256" t="str">
        <f t="shared" si="463"/>
        <v/>
      </c>
      <c r="BB1256" t="str">
        <f t="shared" si="464"/>
        <v/>
      </c>
      <c r="BC1256" t="str">
        <f t="shared" si="465"/>
        <v/>
      </c>
      <c r="BD1256" t="str">
        <f t="shared" si="466"/>
        <v/>
      </c>
      <c r="BE1256" t="str">
        <f t="shared" si="467"/>
        <v/>
      </c>
      <c r="BF1256" t="str">
        <f t="shared" si="468"/>
        <v/>
      </c>
      <c r="BG1256" t="str">
        <f t="shared" si="469"/>
        <v/>
      </c>
      <c r="BH1256" t="str">
        <f t="shared" si="470"/>
        <v/>
      </c>
      <c r="BI1256" t="str">
        <f t="shared" si="471"/>
        <v/>
      </c>
      <c r="BJ1256" t="str">
        <f t="shared" si="472"/>
        <v/>
      </c>
      <c r="BK1256" t="str">
        <f t="shared" si="473"/>
        <v/>
      </c>
      <c r="BL1256" t="str">
        <f t="shared" si="474"/>
        <v/>
      </c>
      <c r="BM1256" t="str">
        <f t="shared" si="475"/>
        <v/>
      </c>
      <c r="BN1256" t="str">
        <f t="shared" si="476"/>
        <v/>
      </c>
      <c r="BO1256" t="str">
        <f t="shared" si="477"/>
        <v/>
      </c>
      <c r="BP1256" t="str">
        <f t="shared" si="478"/>
        <v/>
      </c>
      <c r="BQ1256" t="str">
        <f t="shared" si="479"/>
        <v/>
      </c>
      <c r="BR1256" t="str">
        <f t="shared" si="480"/>
        <v/>
      </c>
      <c r="BS1256" t="str">
        <f t="shared" si="481"/>
        <v/>
      </c>
      <c r="BT1256" t="str">
        <f t="shared" si="482"/>
        <v/>
      </c>
      <c r="BU1256" t="str">
        <f t="shared" si="483"/>
        <v/>
      </c>
    </row>
    <row r="1257" spans="1:73">
      <c r="A1257" s="1">
        <v>49050</v>
      </c>
      <c r="B1257" t="str">
        <f>VLOOKUP($A1257,[1]Table!$A$2:$N1400,B$1,FALSE)</f>
        <v>A11HA02</v>
      </c>
      <c r="C1257" t="str">
        <f>VLOOKUP($A1257,[1]Table!$A$2:$N1400,C$1,FALSE)</f>
        <v>VITAMINEN</v>
      </c>
      <c r="D1257" t="str">
        <f>VLOOKUP($A1257,[1]Table!$A$2:$N1400,D$1,FALSE)</f>
        <v>OVERIGE ENKELVOUDIGE VITAMINEPREPARATEN</v>
      </c>
      <c r="E1257" t="str">
        <f>VLOOKUP($A1257,[1]Table!$A$2:$N1400,E$1,FALSE)</f>
        <v>PYRIDOXINE</v>
      </c>
      <c r="F1257" t="str">
        <f>VLOOKUP($A1257,[1]Table!$A$2:$N1400,F$1,FALSE)</f>
        <v>PYRIDOXINE HCL 100 MG TABLET</v>
      </c>
      <c r="G1257" t="str">
        <f>VLOOKUP($A1257,[1]Table!$A$2:$N1400,G$1,FALSE)</f>
        <v>PYRIDOXINE 100MG TABLET</v>
      </c>
      <c r="H1257" t="str">
        <f>VLOOKUP($A1257,[1]Table!$A$2:$N1400,H$1,FALSE)</f>
        <v>tablet</v>
      </c>
      <c r="I1257" t="str">
        <f>VLOOKUP($A1257,[1]Table!$A$2:$N1400,I$1,FALSE)</f>
        <v>or</v>
      </c>
      <c r="J1257">
        <f>VLOOKUP($A1257,[1]Table!$A$2:$N1400,J$1,FALSE)</f>
        <v>100</v>
      </c>
      <c r="K1257" t="str">
        <f>VLOOKUP($A1257,[1]Table!$A$2:$N1400,K$1,FALSE)</f>
        <v>mg/stuk</v>
      </c>
      <c r="L1257">
        <f>VLOOKUP($A1257,[1]Table!$A$2:$N1400,L$1,FALSE)</f>
        <v>100</v>
      </c>
      <c r="M1257" t="str">
        <f>VLOOKUP($A1257,[1]Table!$A$2:$N1400,M$1,FALSE)</f>
        <v>mg</v>
      </c>
      <c r="N1257" t="str">
        <f>VLOOKUP($A1257,[1]Table!$A$2:$N1400,N$1,FALSE)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7" t="str">
        <f>ConcatenateRange(AZ1257:BU1257,"||")</f>
        <v/>
      </c>
      <c r="AZ1257" t="str">
        <f t="shared" si="462"/>
        <v/>
      </c>
      <c r="BA1257" t="str">
        <f t="shared" si="463"/>
        <v/>
      </c>
      <c r="BB1257" t="str">
        <f t="shared" si="464"/>
        <v/>
      </c>
      <c r="BC1257" t="str">
        <f t="shared" si="465"/>
        <v/>
      </c>
      <c r="BD1257" t="str">
        <f t="shared" si="466"/>
        <v/>
      </c>
      <c r="BE1257" t="str">
        <f t="shared" si="467"/>
        <v/>
      </c>
      <c r="BF1257" t="str">
        <f t="shared" si="468"/>
        <v/>
      </c>
      <c r="BG1257" t="str">
        <f t="shared" si="469"/>
        <v/>
      </c>
      <c r="BH1257" t="str">
        <f t="shared" si="470"/>
        <v/>
      </c>
      <c r="BI1257" t="str">
        <f t="shared" si="471"/>
        <v/>
      </c>
      <c r="BJ1257" t="str">
        <f t="shared" si="472"/>
        <v/>
      </c>
      <c r="BK1257" t="str">
        <f t="shared" si="473"/>
        <v/>
      </c>
      <c r="BL1257" t="str">
        <f t="shared" si="474"/>
        <v/>
      </c>
      <c r="BM1257" t="str">
        <f t="shared" si="475"/>
        <v/>
      </c>
      <c r="BN1257" t="str">
        <f t="shared" si="476"/>
        <v/>
      </c>
      <c r="BO1257" t="str">
        <f t="shared" si="477"/>
        <v/>
      </c>
      <c r="BP1257" t="str">
        <f t="shared" si="478"/>
        <v/>
      </c>
      <c r="BQ1257" t="str">
        <f t="shared" si="479"/>
        <v/>
      </c>
      <c r="BR1257" t="str">
        <f t="shared" si="480"/>
        <v/>
      </c>
      <c r="BS1257" t="str">
        <f t="shared" si="481"/>
        <v/>
      </c>
      <c r="BT1257" t="str">
        <f t="shared" si="482"/>
        <v/>
      </c>
      <c r="BU1257" t="str">
        <f t="shared" si="483"/>
        <v/>
      </c>
    </row>
    <row r="1258" spans="1:73">
      <c r="A1258" s="1">
        <v>2356</v>
      </c>
      <c r="B1258" t="str">
        <f>VLOOKUP($A1258,[1]Table!$A$2:$N1401,B$1,FALSE)</f>
        <v>P01BD01</v>
      </c>
      <c r="C1258" t="str">
        <f>VLOOKUP($A1258,[1]Table!$A$2:$N1401,C$1,FALSE)</f>
        <v>ANTIPROTOZOICA</v>
      </c>
      <c r="D1258" t="str">
        <f>VLOOKUP($A1258,[1]Table!$A$2:$N1401,D$1,FALSE)</f>
        <v>MALARIAMIDDELEN</v>
      </c>
      <c r="E1258" t="str">
        <f>VLOOKUP($A1258,[1]Table!$A$2:$N1401,E$1,FALSE)</f>
        <v>PYRIMETHAMINE</v>
      </c>
      <c r="F1258" t="str">
        <f>VLOOKUP($A1258,[1]Table!$A$2:$N1401,F$1,FALSE)</f>
        <v>DARAPRIM 25 MG TABLET</v>
      </c>
      <c r="G1258" t="str">
        <f>VLOOKUP($A1258,[1]Table!$A$2:$N1401,G$1,FALSE)</f>
        <v>PYRIMETHAMINE 25MG TABLET</v>
      </c>
      <c r="H1258" t="str">
        <f>VLOOKUP($A1258,[1]Table!$A$2:$N1401,H$1,FALSE)</f>
        <v>tablet</v>
      </c>
      <c r="I1258" t="str">
        <f>VLOOKUP($A1258,[1]Table!$A$2:$N1401,I$1,FALSE)</f>
        <v>or</v>
      </c>
      <c r="J1258">
        <f>VLOOKUP($A1258,[1]Table!$A$2:$N1401,J$1,FALSE)</f>
        <v>25</v>
      </c>
      <c r="K1258" t="str">
        <f>VLOOKUP($A1258,[1]Table!$A$2:$N1401,K$1,FALSE)</f>
        <v>mg/stuk</v>
      </c>
      <c r="L1258">
        <f>VLOOKUP($A1258,[1]Table!$A$2:$N1401,L$1,FALSE)</f>
        <v>25</v>
      </c>
      <c r="M1258" t="str">
        <f>VLOOKUP($A1258,[1]Table!$A$2:$N1401,M$1,FALSE)</f>
        <v>mg</v>
      </c>
      <c r="N1258" t="str">
        <f>VLOOKUP($A1258,[1]Table!$A$2:$N1401,N$1,FALSE)</f>
        <v>Toxoplasmose, congenitaal ||Toxoplasmose, postnataal</v>
      </c>
      <c r="O1258" t="str">
        <f>ConcatenateRange(AZ1258:BU1258,"||")</f>
        <v/>
      </c>
      <c r="AZ1258" t="str">
        <f t="shared" si="462"/>
        <v/>
      </c>
      <c r="BA1258" t="str">
        <f t="shared" si="463"/>
        <v/>
      </c>
      <c r="BB1258" t="str">
        <f t="shared" si="464"/>
        <v/>
      </c>
      <c r="BC1258" t="str">
        <f t="shared" si="465"/>
        <v/>
      </c>
      <c r="BD1258" t="str">
        <f t="shared" si="466"/>
        <v/>
      </c>
      <c r="BE1258" t="str">
        <f t="shared" si="467"/>
        <v/>
      </c>
      <c r="BF1258" t="str">
        <f t="shared" si="468"/>
        <v/>
      </c>
      <c r="BG1258" t="str">
        <f t="shared" si="469"/>
        <v/>
      </c>
      <c r="BH1258" t="str">
        <f t="shared" si="470"/>
        <v/>
      </c>
      <c r="BI1258" t="str">
        <f t="shared" si="471"/>
        <v/>
      </c>
      <c r="BJ1258" t="str">
        <f t="shared" si="472"/>
        <v/>
      </c>
      <c r="BK1258" t="str">
        <f t="shared" si="473"/>
        <v/>
      </c>
      <c r="BL1258" t="str">
        <f t="shared" si="474"/>
        <v/>
      </c>
      <c r="BM1258" t="str">
        <f t="shared" si="475"/>
        <v/>
      </c>
      <c r="BN1258" t="str">
        <f t="shared" si="476"/>
        <v/>
      </c>
      <c r="BO1258" t="str">
        <f t="shared" si="477"/>
        <v/>
      </c>
      <c r="BP1258" t="str">
        <f t="shared" si="478"/>
        <v/>
      </c>
      <c r="BQ1258" t="str">
        <f t="shared" si="479"/>
        <v/>
      </c>
      <c r="BR1258" t="str">
        <f t="shared" si="480"/>
        <v/>
      </c>
      <c r="BS1258" t="str">
        <f t="shared" si="481"/>
        <v/>
      </c>
      <c r="BT1258" t="str">
        <f t="shared" si="482"/>
        <v/>
      </c>
      <c r="BU1258" t="str">
        <f t="shared" si="483"/>
        <v/>
      </c>
    </row>
    <row r="1259" spans="1:73">
      <c r="A1259" s="1">
        <v>113980</v>
      </c>
      <c r="B1259" t="str">
        <f>VLOOKUP($A1259,[1]Table!$A$2:$N1402,B$1,FALSE)</f>
        <v>N05AH04</v>
      </c>
      <c r="C1259" t="str">
        <f>VLOOKUP($A1259,[1]Table!$A$2:$N1402,C$1,FALSE)</f>
        <v>PSYCHOLEPTICA</v>
      </c>
      <c r="D1259" t="str">
        <f>VLOOKUP($A1259,[1]Table!$A$2:$N1402,D$1,FALSE)</f>
        <v>ANTIPSYCHOTICA</v>
      </c>
      <c r="E1259" t="str">
        <f>VLOOKUP($A1259,[1]Table!$A$2:$N1402,E$1,FALSE)</f>
        <v>QUETIAPINE</v>
      </c>
      <c r="F1259" t="str">
        <f>VLOOKUP($A1259,[1]Table!$A$2:$N1402,F$1,FALSE)</f>
        <v>QUETIAPINE 25 MG TABLET FILMOMHULD</v>
      </c>
      <c r="G1259" t="str">
        <f>VLOOKUP($A1259,[1]Table!$A$2:$N1402,G$1,FALSE)</f>
        <v>QUETIAPINE 25MG TABLET FO</v>
      </c>
      <c r="H1259" t="str">
        <f>VLOOKUP($A1259,[1]Table!$A$2:$N1402,H$1,FALSE)</f>
        <v>filmomhulde tablet</v>
      </c>
      <c r="I1259" t="str">
        <f>VLOOKUP($A1259,[1]Table!$A$2:$N1402,I$1,FALSE)</f>
        <v>or</v>
      </c>
      <c r="J1259">
        <f>VLOOKUP($A1259,[1]Table!$A$2:$N1402,J$1,FALSE)</f>
        <v>25</v>
      </c>
      <c r="K1259" t="str">
        <f>VLOOKUP($A1259,[1]Table!$A$2:$N1402,K$1,FALSE)</f>
        <v>mg/stuk</v>
      </c>
      <c r="L1259">
        <f>VLOOKUP($A1259,[1]Table!$A$2:$N1402,L$1,FALSE)</f>
        <v>25</v>
      </c>
      <c r="M1259" t="str">
        <f>VLOOKUP($A1259,[1]Table!$A$2:$N1402,M$1,FALSE)</f>
        <v>mg</v>
      </c>
      <c r="N1259" t="str">
        <f>VLOOKUP($A1259,[1]Table!$A$2:$N1402,N$1,FALSE)</f>
        <v xml:space="preserve">Psychose ||Bipolaire stoornis type 1||Gedragsstoornissen en agressie </v>
      </c>
      <c r="O1259" t="str">
        <f>ConcatenateRange(AZ1259:BU1259,"||")</f>
        <v/>
      </c>
      <c r="AZ1259" t="str">
        <f t="shared" si="462"/>
        <v/>
      </c>
      <c r="BA1259" t="str">
        <f t="shared" si="463"/>
        <v/>
      </c>
      <c r="BB1259" t="str">
        <f t="shared" si="464"/>
        <v/>
      </c>
      <c r="BC1259" t="str">
        <f t="shared" si="465"/>
        <v/>
      </c>
      <c r="BD1259" t="str">
        <f t="shared" si="466"/>
        <v/>
      </c>
      <c r="BE1259" t="str">
        <f t="shared" si="467"/>
        <v/>
      </c>
      <c r="BF1259" t="str">
        <f t="shared" si="468"/>
        <v/>
      </c>
      <c r="BG1259" t="str">
        <f t="shared" si="469"/>
        <v/>
      </c>
      <c r="BH1259" t="str">
        <f t="shared" si="470"/>
        <v/>
      </c>
      <c r="BI1259" t="str">
        <f t="shared" si="471"/>
        <v/>
      </c>
      <c r="BJ1259" t="str">
        <f t="shared" si="472"/>
        <v/>
      </c>
      <c r="BK1259" t="str">
        <f t="shared" si="473"/>
        <v/>
      </c>
      <c r="BL1259" t="str">
        <f t="shared" si="474"/>
        <v/>
      </c>
      <c r="BM1259" t="str">
        <f t="shared" si="475"/>
        <v/>
      </c>
      <c r="BN1259" t="str">
        <f t="shared" si="476"/>
        <v/>
      </c>
      <c r="BO1259" t="str">
        <f t="shared" si="477"/>
        <v/>
      </c>
      <c r="BP1259" t="str">
        <f t="shared" si="478"/>
        <v/>
      </c>
      <c r="BQ1259" t="str">
        <f t="shared" si="479"/>
        <v/>
      </c>
      <c r="BR1259" t="str">
        <f t="shared" si="480"/>
        <v/>
      </c>
      <c r="BS1259" t="str">
        <f t="shared" si="481"/>
        <v/>
      </c>
      <c r="BT1259" t="str">
        <f t="shared" si="482"/>
        <v/>
      </c>
      <c r="BU1259" t="str">
        <f t="shared" si="483"/>
        <v/>
      </c>
    </row>
    <row r="1260" spans="1:73">
      <c r="A1260" s="1">
        <v>113972</v>
      </c>
      <c r="B1260" t="str">
        <f>VLOOKUP($A1260,[1]Table!$A$2:$N1403,B$1,FALSE)</f>
        <v>N05AH04</v>
      </c>
      <c r="C1260" t="str">
        <f>VLOOKUP($A1260,[1]Table!$A$2:$N1403,C$1,FALSE)</f>
        <v>PSYCHOLEPTICA</v>
      </c>
      <c r="D1260" t="str">
        <f>VLOOKUP($A1260,[1]Table!$A$2:$N1403,D$1,FALSE)</f>
        <v>ANTIPSYCHOTICA</v>
      </c>
      <c r="E1260" t="str">
        <f>VLOOKUP($A1260,[1]Table!$A$2:$N1403,E$1,FALSE)</f>
        <v>QUETIAPINE</v>
      </c>
      <c r="F1260" t="str">
        <f>VLOOKUP($A1260,[1]Table!$A$2:$N1403,F$1,FALSE)</f>
        <v>QUETIAPINE 100 MG TABLET FILMOMHULD</v>
      </c>
      <c r="G1260" t="str">
        <f>VLOOKUP($A1260,[1]Table!$A$2:$N1403,G$1,FALSE)</f>
        <v>QUETIAPINE 100MG TABLET FO</v>
      </c>
      <c r="H1260" t="str">
        <f>VLOOKUP($A1260,[1]Table!$A$2:$N1403,H$1,FALSE)</f>
        <v>filmomhulde tablet</v>
      </c>
      <c r="I1260" t="str">
        <f>VLOOKUP($A1260,[1]Table!$A$2:$N1403,I$1,FALSE)</f>
        <v>or</v>
      </c>
      <c r="J1260">
        <f>VLOOKUP($A1260,[1]Table!$A$2:$N1403,J$1,FALSE)</f>
        <v>100</v>
      </c>
      <c r="K1260" t="str">
        <f>VLOOKUP($A1260,[1]Table!$A$2:$N1403,K$1,FALSE)</f>
        <v>mg/stuk</v>
      </c>
      <c r="L1260">
        <f>VLOOKUP($A1260,[1]Table!$A$2:$N1403,L$1,FALSE)</f>
        <v>100</v>
      </c>
      <c r="M1260" t="str">
        <f>VLOOKUP($A1260,[1]Table!$A$2:$N1403,M$1,FALSE)</f>
        <v>mg</v>
      </c>
      <c r="N1260" t="str">
        <f>VLOOKUP($A1260,[1]Table!$A$2:$N1403,N$1,FALSE)</f>
        <v xml:space="preserve">Psychose ||Bipolaire stoornis type 1||Gedragsstoornissen en agressie </v>
      </c>
      <c r="O1260" t="str">
        <f>ConcatenateRange(AZ1260:BU1260,"||")</f>
        <v/>
      </c>
      <c r="AZ1260" t="str">
        <f t="shared" si="462"/>
        <v/>
      </c>
      <c r="BA1260" t="str">
        <f t="shared" si="463"/>
        <v/>
      </c>
      <c r="BB1260" t="str">
        <f t="shared" si="464"/>
        <v/>
      </c>
      <c r="BC1260" t="str">
        <f t="shared" si="465"/>
        <v/>
      </c>
      <c r="BD1260" t="str">
        <f t="shared" si="466"/>
        <v/>
      </c>
      <c r="BE1260" t="str">
        <f t="shared" si="467"/>
        <v/>
      </c>
      <c r="BF1260" t="str">
        <f t="shared" si="468"/>
        <v/>
      </c>
      <c r="BG1260" t="str">
        <f t="shared" si="469"/>
        <v/>
      </c>
      <c r="BH1260" t="str">
        <f t="shared" si="470"/>
        <v/>
      </c>
      <c r="BI1260" t="str">
        <f t="shared" si="471"/>
        <v/>
      </c>
      <c r="BJ1260" t="str">
        <f t="shared" si="472"/>
        <v/>
      </c>
      <c r="BK1260" t="str">
        <f t="shared" si="473"/>
        <v/>
      </c>
      <c r="BL1260" t="str">
        <f t="shared" si="474"/>
        <v/>
      </c>
      <c r="BM1260" t="str">
        <f t="shared" si="475"/>
        <v/>
      </c>
      <c r="BN1260" t="str">
        <f t="shared" si="476"/>
        <v/>
      </c>
      <c r="BO1260" t="str">
        <f t="shared" si="477"/>
        <v/>
      </c>
      <c r="BP1260" t="str">
        <f t="shared" si="478"/>
        <v/>
      </c>
      <c r="BQ1260" t="str">
        <f t="shared" si="479"/>
        <v/>
      </c>
      <c r="BR1260" t="str">
        <f t="shared" si="480"/>
        <v/>
      </c>
      <c r="BS1260" t="str">
        <f t="shared" si="481"/>
        <v/>
      </c>
      <c r="BT1260" t="str">
        <f t="shared" si="482"/>
        <v/>
      </c>
      <c r="BU1260" t="str">
        <f t="shared" si="483"/>
        <v/>
      </c>
    </row>
    <row r="1261" spans="1:73">
      <c r="A1261" s="1">
        <v>113964</v>
      </c>
      <c r="B1261" t="str">
        <f>VLOOKUP($A1261,[1]Table!$A$2:$N1404,B$1,FALSE)</f>
        <v>N05AH04</v>
      </c>
      <c r="C1261" t="str">
        <f>VLOOKUP($A1261,[1]Table!$A$2:$N1404,C$1,FALSE)</f>
        <v>PSYCHOLEPTICA</v>
      </c>
      <c r="D1261" t="str">
        <f>VLOOKUP($A1261,[1]Table!$A$2:$N1404,D$1,FALSE)</f>
        <v>ANTIPSYCHOTICA</v>
      </c>
      <c r="E1261" t="str">
        <f>VLOOKUP($A1261,[1]Table!$A$2:$N1404,E$1,FALSE)</f>
        <v>QUETIAPINE</v>
      </c>
      <c r="F1261" t="str">
        <f>VLOOKUP($A1261,[1]Table!$A$2:$N1404,F$1,FALSE)</f>
        <v>QUETIAPINE 200 MG TABLET FILMOMHULD</v>
      </c>
      <c r="G1261" t="str">
        <f>VLOOKUP($A1261,[1]Table!$A$2:$N1404,G$1,FALSE)</f>
        <v>QUETIAPINE 200MG TABLET FO</v>
      </c>
      <c r="H1261" t="str">
        <f>VLOOKUP($A1261,[1]Table!$A$2:$N1404,H$1,FALSE)</f>
        <v>filmomhulde tablet</v>
      </c>
      <c r="I1261" t="str">
        <f>VLOOKUP($A1261,[1]Table!$A$2:$N1404,I$1,FALSE)</f>
        <v>or</v>
      </c>
      <c r="J1261">
        <f>VLOOKUP($A1261,[1]Table!$A$2:$N1404,J$1,FALSE)</f>
        <v>200</v>
      </c>
      <c r="K1261" t="str">
        <f>VLOOKUP($A1261,[1]Table!$A$2:$N1404,K$1,FALSE)</f>
        <v>mg/stuk</v>
      </c>
      <c r="L1261">
        <f>VLOOKUP($A1261,[1]Table!$A$2:$N1404,L$1,FALSE)</f>
        <v>200</v>
      </c>
      <c r="M1261" t="str">
        <f>VLOOKUP($A1261,[1]Table!$A$2:$N1404,M$1,FALSE)</f>
        <v>mg</v>
      </c>
      <c r="N1261" t="str">
        <f>VLOOKUP($A1261,[1]Table!$A$2:$N1404,N$1,FALSE)</f>
        <v xml:space="preserve">Psychose ||Bipolaire stoornis type 1||Gedragsstoornissen en agressie </v>
      </c>
      <c r="O1261" t="str">
        <f>ConcatenateRange(AZ1261:BU1261,"||")</f>
        <v/>
      </c>
      <c r="AZ1261" t="str">
        <f t="shared" si="462"/>
        <v/>
      </c>
      <c r="BA1261" t="str">
        <f t="shared" si="463"/>
        <v/>
      </c>
      <c r="BB1261" t="str">
        <f t="shared" si="464"/>
        <v/>
      </c>
      <c r="BC1261" t="str">
        <f t="shared" si="465"/>
        <v/>
      </c>
      <c r="BD1261" t="str">
        <f t="shared" si="466"/>
        <v/>
      </c>
      <c r="BE1261" t="str">
        <f t="shared" si="467"/>
        <v/>
      </c>
      <c r="BF1261" t="str">
        <f t="shared" si="468"/>
        <v/>
      </c>
      <c r="BG1261" t="str">
        <f t="shared" si="469"/>
        <v/>
      </c>
      <c r="BH1261" t="str">
        <f t="shared" si="470"/>
        <v/>
      </c>
      <c r="BI1261" t="str">
        <f t="shared" si="471"/>
        <v/>
      </c>
      <c r="BJ1261" t="str">
        <f t="shared" si="472"/>
        <v/>
      </c>
      <c r="BK1261" t="str">
        <f t="shared" si="473"/>
        <v/>
      </c>
      <c r="BL1261" t="str">
        <f t="shared" si="474"/>
        <v/>
      </c>
      <c r="BM1261" t="str">
        <f t="shared" si="475"/>
        <v/>
      </c>
      <c r="BN1261" t="str">
        <f t="shared" si="476"/>
        <v/>
      </c>
      <c r="BO1261" t="str">
        <f t="shared" si="477"/>
        <v/>
      </c>
      <c r="BP1261" t="str">
        <f t="shared" si="478"/>
        <v/>
      </c>
      <c r="BQ1261" t="str">
        <f t="shared" si="479"/>
        <v/>
      </c>
      <c r="BR1261" t="str">
        <f t="shared" si="480"/>
        <v/>
      </c>
      <c r="BS1261" t="str">
        <f t="shared" si="481"/>
        <v/>
      </c>
      <c r="BT1261" t="str">
        <f t="shared" si="482"/>
        <v/>
      </c>
      <c r="BU1261" t="str">
        <f t="shared" si="483"/>
        <v/>
      </c>
    </row>
    <row r="1262" spans="1:73">
      <c r="A1262" s="1">
        <v>113956</v>
      </c>
      <c r="B1262" t="str">
        <f>VLOOKUP($A1262,[1]Table!$A$2:$N1405,B$1,FALSE)</f>
        <v>N05AH04</v>
      </c>
      <c r="C1262" t="str">
        <f>VLOOKUP($A1262,[1]Table!$A$2:$N1405,C$1,FALSE)</f>
        <v>PSYCHOLEPTICA</v>
      </c>
      <c r="D1262" t="str">
        <f>VLOOKUP($A1262,[1]Table!$A$2:$N1405,D$1,FALSE)</f>
        <v>ANTIPSYCHOTICA</v>
      </c>
      <c r="E1262" t="str">
        <f>VLOOKUP($A1262,[1]Table!$A$2:$N1405,E$1,FALSE)</f>
        <v>QUETIAPINE</v>
      </c>
      <c r="F1262" t="str">
        <f>VLOOKUP($A1262,[1]Table!$A$2:$N1405,F$1,FALSE)</f>
        <v>QUETIAPINE 300 MG TABLET FILMOMHULD</v>
      </c>
      <c r="G1262" t="str">
        <f>VLOOKUP($A1262,[1]Table!$A$2:$N1405,G$1,FALSE)</f>
        <v>QUETIAPINE 300MG TABLET FO</v>
      </c>
      <c r="H1262" t="str">
        <f>VLOOKUP($A1262,[1]Table!$A$2:$N1405,H$1,FALSE)</f>
        <v>filmomhulde tablet</v>
      </c>
      <c r="I1262" t="str">
        <f>VLOOKUP($A1262,[1]Table!$A$2:$N1405,I$1,FALSE)</f>
        <v>or</v>
      </c>
      <c r="J1262">
        <f>VLOOKUP($A1262,[1]Table!$A$2:$N1405,J$1,FALSE)</f>
        <v>300</v>
      </c>
      <c r="K1262" t="str">
        <f>VLOOKUP($A1262,[1]Table!$A$2:$N1405,K$1,FALSE)</f>
        <v>mg/stuk</v>
      </c>
      <c r="L1262">
        <f>VLOOKUP($A1262,[1]Table!$A$2:$N1405,L$1,FALSE)</f>
        <v>150</v>
      </c>
      <c r="M1262" t="str">
        <f>VLOOKUP($A1262,[1]Table!$A$2:$N1405,M$1,FALSE)</f>
        <v>mg</v>
      </c>
      <c r="N1262" t="str">
        <f>VLOOKUP($A1262,[1]Table!$A$2:$N1405,N$1,FALSE)</f>
        <v xml:space="preserve">Psychose ||Bipolaire stoornis type 1||Gedragsstoornissen en agressie </v>
      </c>
      <c r="O1262" t="str">
        <f>ConcatenateRange(AZ1262:BU1262,"||")</f>
        <v/>
      </c>
      <c r="AZ1262" t="str">
        <f t="shared" si="462"/>
        <v/>
      </c>
      <c r="BA1262" t="str">
        <f t="shared" si="463"/>
        <v/>
      </c>
      <c r="BB1262" t="str">
        <f t="shared" si="464"/>
        <v/>
      </c>
      <c r="BC1262" t="str">
        <f t="shared" si="465"/>
        <v/>
      </c>
      <c r="BD1262" t="str">
        <f t="shared" si="466"/>
        <v/>
      </c>
      <c r="BE1262" t="str">
        <f t="shared" si="467"/>
        <v/>
      </c>
      <c r="BF1262" t="str">
        <f t="shared" si="468"/>
        <v/>
      </c>
      <c r="BG1262" t="str">
        <f t="shared" si="469"/>
        <v/>
      </c>
      <c r="BH1262" t="str">
        <f t="shared" si="470"/>
        <v/>
      </c>
      <c r="BI1262" t="str">
        <f t="shared" si="471"/>
        <v/>
      </c>
      <c r="BJ1262" t="str">
        <f t="shared" si="472"/>
        <v/>
      </c>
      <c r="BK1262" t="str">
        <f t="shared" si="473"/>
        <v/>
      </c>
      <c r="BL1262" t="str">
        <f t="shared" si="474"/>
        <v/>
      </c>
      <c r="BM1262" t="str">
        <f t="shared" si="475"/>
        <v/>
      </c>
      <c r="BN1262" t="str">
        <f t="shared" si="476"/>
        <v/>
      </c>
      <c r="BO1262" t="str">
        <f t="shared" si="477"/>
        <v/>
      </c>
      <c r="BP1262" t="str">
        <f t="shared" si="478"/>
        <v/>
      </c>
      <c r="BQ1262" t="str">
        <f t="shared" si="479"/>
        <v/>
      </c>
      <c r="BR1262" t="str">
        <f t="shared" si="480"/>
        <v/>
      </c>
      <c r="BS1262" t="str">
        <f t="shared" si="481"/>
        <v/>
      </c>
      <c r="BT1262" t="str">
        <f t="shared" si="482"/>
        <v/>
      </c>
      <c r="BU1262" t="str">
        <f t="shared" si="483"/>
        <v/>
      </c>
    </row>
    <row r="1263" spans="1:73">
      <c r="A1263" s="1">
        <v>127817</v>
      </c>
      <c r="B1263" t="str">
        <f>VLOOKUP($A1263,[1]Table!$A$2:$N1406,B$1,FALSE)</f>
        <v>N05AH04</v>
      </c>
      <c r="C1263" t="str">
        <f>VLOOKUP($A1263,[1]Table!$A$2:$N1406,C$1,FALSE)</f>
        <v>PSYCHOLEPTICA</v>
      </c>
      <c r="D1263" t="str">
        <f>VLOOKUP($A1263,[1]Table!$A$2:$N1406,D$1,FALSE)</f>
        <v>ANTIPSYCHOTICA</v>
      </c>
      <c r="E1263" t="s">
        <v>119</v>
      </c>
      <c r="F1263" t="str">
        <f>VLOOKUP($A1263,[1]Table!$A$2:$N1406,F$1,FALSE)</f>
        <v>SEROQUEL XR 50 MG TABLET MVA (RETARD)</v>
      </c>
      <c r="G1263" t="str">
        <f>VLOOKUP($A1263,[1]Table!$A$2:$N1406,G$1,FALSE)</f>
        <v>QUETIAPINE 50MG TABLET MGA</v>
      </c>
      <c r="H1263" t="str">
        <f>VLOOKUP($A1263,[1]Table!$A$2:$N1406,H$1,FALSE)</f>
        <v>tablet met gereguleerde afgifte</v>
      </c>
      <c r="I1263" t="str">
        <f>VLOOKUP($A1263,[1]Table!$A$2:$N1406,I$1,FALSE)</f>
        <v>or</v>
      </c>
      <c r="J1263">
        <f>VLOOKUP($A1263,[1]Table!$A$2:$N1406,J$1,FALSE)</f>
        <v>50</v>
      </c>
      <c r="K1263" t="str">
        <f>VLOOKUP($A1263,[1]Table!$A$2:$N1406,K$1,FALSE)</f>
        <v>mg/stuk</v>
      </c>
      <c r="L1263">
        <f>VLOOKUP($A1263,[1]Table!$A$2:$N1406,L$1,FALSE)</f>
        <v>50</v>
      </c>
      <c r="M1263" t="str">
        <f>VLOOKUP($A1263,[1]Table!$A$2:$N1406,M$1,FALSE)</f>
        <v>mg</v>
      </c>
      <c r="N1263" t="str">
        <f>VLOOKUP($A1263,[1]Table!$A$2:$N1406,N$1,FALSE)</f>
        <v xml:space="preserve">Psychose ||Bipolaire stoornis type 1||Gedragsstoornissen en agressie </v>
      </c>
      <c r="O1263" t="str">
        <f>ConcatenateRange(AZ1263:BU1263,"||")</f>
        <v/>
      </c>
      <c r="AZ1263" t="str">
        <f t="shared" si="462"/>
        <v/>
      </c>
      <c r="BA1263" t="str">
        <f t="shared" si="463"/>
        <v/>
      </c>
      <c r="BB1263" t="str">
        <f t="shared" si="464"/>
        <v/>
      </c>
      <c r="BC1263" t="str">
        <f t="shared" si="465"/>
        <v/>
      </c>
      <c r="BD1263" t="str">
        <f t="shared" si="466"/>
        <v/>
      </c>
      <c r="BE1263" t="str">
        <f t="shared" si="467"/>
        <v/>
      </c>
      <c r="BF1263" t="str">
        <f t="shared" si="468"/>
        <v/>
      </c>
      <c r="BG1263" t="str">
        <f t="shared" si="469"/>
        <v/>
      </c>
      <c r="BH1263" t="str">
        <f t="shared" si="470"/>
        <v/>
      </c>
      <c r="BI1263" t="str">
        <f t="shared" si="471"/>
        <v/>
      </c>
      <c r="BJ1263" t="str">
        <f t="shared" si="472"/>
        <v/>
      </c>
      <c r="BK1263" t="str">
        <f t="shared" si="473"/>
        <v/>
      </c>
      <c r="BL1263" t="str">
        <f t="shared" si="474"/>
        <v/>
      </c>
      <c r="BM1263" t="str">
        <f t="shared" si="475"/>
        <v/>
      </c>
      <c r="BN1263" t="str">
        <f t="shared" si="476"/>
        <v/>
      </c>
      <c r="BO1263" t="str">
        <f t="shared" si="477"/>
        <v/>
      </c>
      <c r="BP1263" t="str">
        <f t="shared" si="478"/>
        <v/>
      </c>
      <c r="BQ1263" t="str">
        <f t="shared" si="479"/>
        <v/>
      </c>
      <c r="BR1263" t="str">
        <f t="shared" si="480"/>
        <v/>
      </c>
      <c r="BS1263" t="str">
        <f t="shared" si="481"/>
        <v/>
      </c>
      <c r="BT1263" t="str">
        <f t="shared" si="482"/>
        <v/>
      </c>
      <c r="BU1263" t="str">
        <f t="shared" si="483"/>
        <v/>
      </c>
    </row>
    <row r="1264" spans="1:73">
      <c r="A1264" s="1">
        <v>127825</v>
      </c>
      <c r="B1264" t="str">
        <f>VLOOKUP($A1264,[1]Table!$A$2:$N1407,B$1,FALSE)</f>
        <v>N05AH04</v>
      </c>
      <c r="C1264" t="str">
        <f>VLOOKUP($A1264,[1]Table!$A$2:$N1407,C$1,FALSE)</f>
        <v>PSYCHOLEPTICA</v>
      </c>
      <c r="D1264" t="str">
        <f>VLOOKUP($A1264,[1]Table!$A$2:$N1407,D$1,FALSE)</f>
        <v>ANTIPSYCHOTICA</v>
      </c>
      <c r="E1264" t="s">
        <v>119</v>
      </c>
      <c r="F1264" t="str">
        <f>VLOOKUP($A1264,[1]Table!$A$2:$N1407,F$1,FALSE)</f>
        <v>QUETIAPINE 200 MG TABLET MVA (RETARD)</v>
      </c>
      <c r="G1264" t="str">
        <f>VLOOKUP($A1264,[1]Table!$A$2:$N1407,G$1,FALSE)</f>
        <v>QUETIAPINE 200MG TABLET MGA</v>
      </c>
      <c r="H1264" t="str">
        <f>VLOOKUP($A1264,[1]Table!$A$2:$N1407,H$1,FALSE)</f>
        <v>tablet met gereguleerde afgifte</v>
      </c>
      <c r="I1264" t="str">
        <f>VLOOKUP($A1264,[1]Table!$A$2:$N1407,I$1,FALSE)</f>
        <v>or</v>
      </c>
      <c r="J1264">
        <f>VLOOKUP($A1264,[1]Table!$A$2:$N1407,J$1,FALSE)</f>
        <v>200</v>
      </c>
      <c r="K1264" t="str">
        <f>VLOOKUP($A1264,[1]Table!$A$2:$N1407,K$1,FALSE)</f>
        <v>mg/stuk</v>
      </c>
      <c r="L1264">
        <f>VLOOKUP($A1264,[1]Table!$A$2:$N1407,L$1,FALSE)</f>
        <v>200</v>
      </c>
      <c r="M1264" t="str">
        <f>VLOOKUP($A1264,[1]Table!$A$2:$N1407,M$1,FALSE)</f>
        <v>mg</v>
      </c>
      <c r="N1264" t="str">
        <f>VLOOKUP($A1264,[1]Table!$A$2:$N1407,N$1,FALSE)</f>
        <v xml:space="preserve">Psychose ||Bipolaire stoornis type 1||Gedragsstoornissen en agressie </v>
      </c>
      <c r="O1264" t="str">
        <f>ConcatenateRange(AZ1264:BU1264,"||")</f>
        <v/>
      </c>
      <c r="AZ1264" t="str">
        <f t="shared" si="462"/>
        <v/>
      </c>
      <c r="BA1264" t="str">
        <f t="shared" si="463"/>
        <v/>
      </c>
      <c r="BB1264" t="str">
        <f t="shared" si="464"/>
        <v/>
      </c>
      <c r="BC1264" t="str">
        <f t="shared" si="465"/>
        <v/>
      </c>
      <c r="BD1264" t="str">
        <f t="shared" si="466"/>
        <v/>
      </c>
      <c r="BE1264" t="str">
        <f t="shared" si="467"/>
        <v/>
      </c>
      <c r="BF1264" t="str">
        <f t="shared" si="468"/>
        <v/>
      </c>
      <c r="BG1264" t="str">
        <f t="shared" si="469"/>
        <v/>
      </c>
      <c r="BH1264" t="str">
        <f t="shared" si="470"/>
        <v/>
      </c>
      <c r="BI1264" t="str">
        <f t="shared" si="471"/>
        <v/>
      </c>
      <c r="BJ1264" t="str">
        <f t="shared" si="472"/>
        <v/>
      </c>
      <c r="BK1264" t="str">
        <f t="shared" si="473"/>
        <v/>
      </c>
      <c r="BL1264" t="str">
        <f t="shared" si="474"/>
        <v/>
      </c>
      <c r="BM1264" t="str">
        <f t="shared" si="475"/>
        <v/>
      </c>
      <c r="BN1264" t="str">
        <f t="shared" si="476"/>
        <v/>
      </c>
      <c r="BO1264" t="str">
        <f t="shared" si="477"/>
        <v/>
      </c>
      <c r="BP1264" t="str">
        <f t="shared" si="478"/>
        <v/>
      </c>
      <c r="BQ1264" t="str">
        <f t="shared" si="479"/>
        <v/>
      </c>
      <c r="BR1264" t="str">
        <f t="shared" si="480"/>
        <v/>
      </c>
      <c r="BS1264" t="str">
        <f t="shared" si="481"/>
        <v/>
      </c>
      <c r="BT1264" t="str">
        <f t="shared" si="482"/>
        <v/>
      </c>
      <c r="BU1264" t="str">
        <f t="shared" si="483"/>
        <v/>
      </c>
    </row>
    <row r="1265" spans="1:73">
      <c r="A1265" s="1">
        <v>127833</v>
      </c>
      <c r="B1265" t="str">
        <f>VLOOKUP($A1265,[1]Table!$A$2:$N1408,B$1,FALSE)</f>
        <v>N05AH04</v>
      </c>
      <c r="C1265" t="str">
        <f>VLOOKUP($A1265,[1]Table!$A$2:$N1408,C$1,FALSE)</f>
        <v>PSYCHOLEPTICA</v>
      </c>
      <c r="D1265" t="str">
        <f>VLOOKUP($A1265,[1]Table!$A$2:$N1408,D$1,FALSE)</f>
        <v>ANTIPSYCHOTICA</v>
      </c>
      <c r="E1265" t="s">
        <v>119</v>
      </c>
      <c r="F1265" t="str">
        <f>VLOOKUP($A1265,[1]Table!$A$2:$N1408,F$1,FALSE)</f>
        <v>SEROQUEL XR 300 MG TABLET MGA (RETARD)</v>
      </c>
      <c r="G1265" t="str">
        <f>VLOOKUP($A1265,[1]Table!$A$2:$N1408,G$1,FALSE)</f>
        <v>QUETIAPINE 300MG TABLET MGA</v>
      </c>
      <c r="H1265" t="str">
        <f>VLOOKUP($A1265,[1]Table!$A$2:$N1408,H$1,FALSE)</f>
        <v>tablet met gereguleerde afgifte</v>
      </c>
      <c r="I1265" t="str">
        <f>VLOOKUP($A1265,[1]Table!$A$2:$N1408,I$1,FALSE)</f>
        <v>or</v>
      </c>
      <c r="J1265">
        <f>VLOOKUP($A1265,[1]Table!$A$2:$N1408,J$1,FALSE)</f>
        <v>300</v>
      </c>
      <c r="K1265" t="str">
        <f>VLOOKUP($A1265,[1]Table!$A$2:$N1408,K$1,FALSE)</f>
        <v>mg/stuk</v>
      </c>
      <c r="L1265">
        <f>VLOOKUP($A1265,[1]Table!$A$2:$N1408,L$1,FALSE)</f>
        <v>300</v>
      </c>
      <c r="M1265" t="str">
        <f>VLOOKUP($A1265,[1]Table!$A$2:$N1408,M$1,FALSE)</f>
        <v>mg</v>
      </c>
      <c r="N1265" t="str">
        <f>VLOOKUP($A1265,[1]Table!$A$2:$N1408,N$1,FALSE)</f>
        <v xml:space="preserve">Psychose ||Bipolaire stoornis type 1||Gedragsstoornissen en agressie </v>
      </c>
      <c r="O1265" t="str">
        <f>ConcatenateRange(AZ1265:BU1265,"||")</f>
        <v/>
      </c>
      <c r="AZ1265" t="str">
        <f t="shared" si="462"/>
        <v/>
      </c>
      <c r="BA1265" t="str">
        <f t="shared" si="463"/>
        <v/>
      </c>
      <c r="BB1265" t="str">
        <f t="shared" si="464"/>
        <v/>
      </c>
      <c r="BC1265" t="str">
        <f t="shared" si="465"/>
        <v/>
      </c>
      <c r="BD1265" t="str">
        <f t="shared" si="466"/>
        <v/>
      </c>
      <c r="BE1265" t="str">
        <f t="shared" si="467"/>
        <v/>
      </c>
      <c r="BF1265" t="str">
        <f t="shared" si="468"/>
        <v/>
      </c>
      <c r="BG1265" t="str">
        <f t="shared" si="469"/>
        <v/>
      </c>
      <c r="BH1265" t="str">
        <f t="shared" si="470"/>
        <v/>
      </c>
      <c r="BI1265" t="str">
        <f t="shared" si="471"/>
        <v/>
      </c>
      <c r="BJ1265" t="str">
        <f t="shared" si="472"/>
        <v/>
      </c>
      <c r="BK1265" t="str">
        <f t="shared" si="473"/>
        <v/>
      </c>
      <c r="BL1265" t="str">
        <f t="shared" si="474"/>
        <v/>
      </c>
      <c r="BM1265" t="str">
        <f t="shared" si="475"/>
        <v/>
      </c>
      <c r="BN1265" t="str">
        <f t="shared" si="476"/>
        <v/>
      </c>
      <c r="BO1265" t="str">
        <f t="shared" si="477"/>
        <v/>
      </c>
      <c r="BP1265" t="str">
        <f t="shared" si="478"/>
        <v/>
      </c>
      <c r="BQ1265" t="str">
        <f t="shared" si="479"/>
        <v/>
      </c>
      <c r="BR1265" t="str">
        <f t="shared" si="480"/>
        <v/>
      </c>
      <c r="BS1265" t="str">
        <f t="shared" si="481"/>
        <v/>
      </c>
      <c r="BT1265" t="str">
        <f t="shared" si="482"/>
        <v/>
      </c>
      <c r="BU1265" t="str">
        <f t="shared" si="483"/>
        <v/>
      </c>
    </row>
    <row r="1266" spans="1:73">
      <c r="A1266" s="1">
        <v>127841</v>
      </c>
      <c r="B1266" t="str">
        <f>VLOOKUP($A1266,[1]Table!$A$2:$N1409,B$1,FALSE)</f>
        <v>N05AH04</v>
      </c>
      <c r="C1266" t="str">
        <f>VLOOKUP($A1266,[1]Table!$A$2:$N1409,C$1,FALSE)</f>
        <v>PSYCHOLEPTICA</v>
      </c>
      <c r="D1266" t="str">
        <f>VLOOKUP($A1266,[1]Table!$A$2:$N1409,D$1,FALSE)</f>
        <v>ANTIPSYCHOTICA</v>
      </c>
      <c r="E1266" t="s">
        <v>119</v>
      </c>
      <c r="F1266" t="str">
        <f>VLOOKUP($A1266,[1]Table!$A$2:$N1409,F$1,FALSE)</f>
        <v>SEROQUEL XR 400 MG TABLET MGA (RETARD)</v>
      </c>
      <c r="G1266" t="str">
        <f>VLOOKUP($A1266,[1]Table!$A$2:$N1409,G$1,FALSE)</f>
        <v>QUETIAPINE 400MG TABLET MGA</v>
      </c>
      <c r="H1266" t="str">
        <f>VLOOKUP($A1266,[1]Table!$A$2:$N1409,H$1,FALSE)</f>
        <v>tablet met gereguleerde afgifte</v>
      </c>
      <c r="I1266" t="str">
        <f>VLOOKUP($A1266,[1]Table!$A$2:$N1409,I$1,FALSE)</f>
        <v>or</v>
      </c>
      <c r="J1266">
        <f>VLOOKUP($A1266,[1]Table!$A$2:$N1409,J$1,FALSE)</f>
        <v>400</v>
      </c>
      <c r="K1266" t="str">
        <f>VLOOKUP($A1266,[1]Table!$A$2:$N1409,K$1,FALSE)</f>
        <v>mg/stuk</v>
      </c>
      <c r="L1266">
        <f>VLOOKUP($A1266,[1]Table!$A$2:$N1409,L$1,FALSE)</f>
        <v>400</v>
      </c>
      <c r="M1266" t="str">
        <f>VLOOKUP($A1266,[1]Table!$A$2:$N1409,M$1,FALSE)</f>
        <v>mg</v>
      </c>
      <c r="N1266" t="str">
        <f>VLOOKUP($A1266,[1]Table!$A$2:$N1409,N$1,FALSE)</f>
        <v xml:space="preserve">Psychose ||Bipolaire stoornis type 1||Gedragsstoornissen en agressie </v>
      </c>
      <c r="O1266" t="str">
        <f>ConcatenateRange(AZ1266:BU1266,"||")</f>
        <v/>
      </c>
      <c r="AZ1266" t="str">
        <f t="shared" si="462"/>
        <v/>
      </c>
      <c r="BA1266" t="str">
        <f t="shared" si="463"/>
        <v/>
      </c>
      <c r="BB1266" t="str">
        <f t="shared" si="464"/>
        <v/>
      </c>
      <c r="BC1266" t="str">
        <f t="shared" si="465"/>
        <v/>
      </c>
      <c r="BD1266" t="str">
        <f t="shared" si="466"/>
        <v/>
      </c>
      <c r="BE1266" t="str">
        <f t="shared" si="467"/>
        <v/>
      </c>
      <c r="BF1266" t="str">
        <f t="shared" si="468"/>
        <v/>
      </c>
      <c r="BG1266" t="str">
        <f t="shared" si="469"/>
        <v/>
      </c>
      <c r="BH1266" t="str">
        <f t="shared" si="470"/>
        <v/>
      </c>
      <c r="BI1266" t="str">
        <f t="shared" si="471"/>
        <v/>
      </c>
      <c r="BJ1266" t="str">
        <f t="shared" si="472"/>
        <v/>
      </c>
      <c r="BK1266" t="str">
        <f t="shared" si="473"/>
        <v/>
      </c>
      <c r="BL1266" t="str">
        <f t="shared" si="474"/>
        <v/>
      </c>
      <c r="BM1266" t="str">
        <f t="shared" si="475"/>
        <v/>
      </c>
      <c r="BN1266" t="str">
        <f t="shared" si="476"/>
        <v/>
      </c>
      <c r="BO1266" t="str">
        <f t="shared" si="477"/>
        <v/>
      </c>
      <c r="BP1266" t="str">
        <f t="shared" si="478"/>
        <v/>
      </c>
      <c r="BQ1266" t="str">
        <f t="shared" si="479"/>
        <v/>
      </c>
      <c r="BR1266" t="str">
        <f t="shared" si="480"/>
        <v/>
      </c>
      <c r="BS1266" t="str">
        <f t="shared" si="481"/>
        <v/>
      </c>
      <c r="BT1266" t="str">
        <f t="shared" si="482"/>
        <v/>
      </c>
      <c r="BU1266" t="str">
        <f t="shared" si="483"/>
        <v/>
      </c>
    </row>
    <row r="1267" spans="1:73">
      <c r="A1267" s="1">
        <v>128902</v>
      </c>
      <c r="B1267" t="str">
        <f>VLOOKUP($A1267,[1]Table!$A$2:$N1410,B$1,FALSE)</f>
        <v>J05AX08</v>
      </c>
      <c r="C1267" t="str">
        <f>VLOOKUP($A1267,[1]Table!$A$2:$N1410,C$1,FALSE)</f>
        <v>ANTIVIRALE MIDDELEN VOOR SYSTEMISCH GEBRUIK</v>
      </c>
      <c r="D1267" t="str">
        <f>VLOOKUP($A1267,[1]Table!$A$2:$N1410,D$1,FALSE)</f>
        <v>DIRECT WERKENDE ANTIVIRALE MIDDELEN</v>
      </c>
      <c r="E1267" t="str">
        <f>VLOOKUP($A1267,[1]Table!$A$2:$N1410,E$1,FALSE)</f>
        <v>RALTEGRAVIR</v>
      </c>
      <c r="F1267" t="str">
        <f>VLOOKUP($A1267,[1]Table!$A$2:$N1410,F$1,FALSE)</f>
        <v>ISENTRESS 400 MG TABLET FILMOMHULD</v>
      </c>
      <c r="G1267" t="str">
        <f>VLOOKUP($A1267,[1]Table!$A$2:$N1410,G$1,FALSE)</f>
        <v>RALTEGRAVIR 400MG TABLET</v>
      </c>
      <c r="H1267" t="str">
        <f>VLOOKUP($A1267,[1]Table!$A$2:$N1410,H$1,FALSE)</f>
        <v>tablet</v>
      </c>
      <c r="I1267" t="str">
        <f>VLOOKUP($A1267,[1]Table!$A$2:$N1410,I$1,FALSE)</f>
        <v>or</v>
      </c>
      <c r="J1267">
        <f>VLOOKUP($A1267,[1]Table!$A$2:$N1410,J$1,FALSE)</f>
        <v>400</v>
      </c>
      <c r="K1267" t="str">
        <f>VLOOKUP($A1267,[1]Table!$A$2:$N1410,K$1,FALSE)</f>
        <v>mg/stuk</v>
      </c>
      <c r="L1267">
        <f>VLOOKUP($A1267,[1]Table!$A$2:$N1410,L$1,FALSE)</f>
        <v>400</v>
      </c>
      <c r="M1267" t="str">
        <f>VLOOKUP($A1267,[1]Table!$A$2:$N1410,M$1,FALSE)</f>
        <v>mg</v>
      </c>
      <c r="N1267" t="str">
        <f>VLOOKUP($A1267,[1]Table!$A$2:$N1410,N$1,FALSE)</f>
        <v>HIV</v>
      </c>
      <c r="O1267" t="str">
        <f>ConcatenateRange(AZ1267:BU1267,"||")</f>
        <v/>
      </c>
      <c r="AZ1267" t="str">
        <f t="shared" si="462"/>
        <v/>
      </c>
      <c r="BA1267" t="str">
        <f t="shared" si="463"/>
        <v/>
      </c>
      <c r="BB1267" t="str">
        <f t="shared" si="464"/>
        <v/>
      </c>
      <c r="BC1267" t="str">
        <f t="shared" si="465"/>
        <v/>
      </c>
      <c r="BD1267" t="str">
        <f t="shared" si="466"/>
        <v/>
      </c>
      <c r="BE1267" t="str">
        <f t="shared" si="467"/>
        <v/>
      </c>
      <c r="BF1267" t="str">
        <f t="shared" si="468"/>
        <v/>
      </c>
      <c r="BG1267" t="str">
        <f t="shared" si="469"/>
        <v/>
      </c>
      <c r="BH1267" t="str">
        <f t="shared" si="470"/>
        <v/>
      </c>
      <c r="BI1267" t="str">
        <f t="shared" si="471"/>
        <v/>
      </c>
      <c r="BJ1267" t="str">
        <f t="shared" si="472"/>
        <v/>
      </c>
      <c r="BK1267" t="str">
        <f t="shared" si="473"/>
        <v/>
      </c>
      <c r="BL1267" t="str">
        <f t="shared" si="474"/>
        <v/>
      </c>
      <c r="BM1267" t="str">
        <f t="shared" si="475"/>
        <v/>
      </c>
      <c r="BN1267" t="str">
        <f t="shared" si="476"/>
        <v/>
      </c>
      <c r="BO1267" t="str">
        <f t="shared" si="477"/>
        <v/>
      </c>
      <c r="BP1267" t="str">
        <f t="shared" si="478"/>
        <v/>
      </c>
      <c r="BQ1267" t="str">
        <f t="shared" si="479"/>
        <v/>
      </c>
      <c r="BR1267" t="str">
        <f t="shared" si="480"/>
        <v/>
      </c>
      <c r="BS1267" t="str">
        <f t="shared" si="481"/>
        <v/>
      </c>
      <c r="BT1267" t="str">
        <f t="shared" si="482"/>
        <v/>
      </c>
      <c r="BU1267" t="str">
        <f t="shared" si="483"/>
        <v/>
      </c>
    </row>
    <row r="1268" spans="1:73">
      <c r="A1268" s="1">
        <v>105295</v>
      </c>
      <c r="B1268" t="str">
        <f>VLOOKUP($A1268,[1]Table!$A$2:$N1411,B$1,FALSE)</f>
        <v>C09AA05</v>
      </c>
      <c r="C1268" t="str">
        <f>VLOOKUP($A1268,[1]Table!$A$2:$N1411,C$1,FALSE)</f>
        <v>MIDDELEN AANGRIJPEND OP HET RENINE-ANGIOTENSINESYSTEEM</v>
      </c>
      <c r="D1268" t="str">
        <f>VLOOKUP($A1268,[1]Table!$A$2:$N1411,D$1,FALSE)</f>
        <v>ACE-REMMERS</v>
      </c>
      <c r="E1268" t="str">
        <f>VLOOKUP($A1268,[1]Table!$A$2:$N1411,E$1,FALSE)</f>
        <v>RAMIPRIL</v>
      </c>
      <c r="F1268" t="str">
        <f>VLOOKUP($A1268,[1]Table!$A$2:$N1411,F$1,FALSE)</f>
        <v>RAMIPRIL 1,25 MG TABLET</v>
      </c>
      <c r="G1268" t="str">
        <f>VLOOKUP($A1268,[1]Table!$A$2:$N1411,G$1,FALSE)</f>
        <v>RAMIPRIL 1,25MG TABLET</v>
      </c>
      <c r="H1268" t="str">
        <f>VLOOKUP($A1268,[1]Table!$A$2:$N1411,H$1,FALSE)</f>
        <v>tablet</v>
      </c>
      <c r="I1268" t="str">
        <f>VLOOKUP($A1268,[1]Table!$A$2:$N1411,I$1,FALSE)</f>
        <v>or</v>
      </c>
      <c r="J1268">
        <f>VLOOKUP($A1268,[1]Table!$A$2:$N1411,J$1,FALSE)</f>
        <v>1.25</v>
      </c>
      <c r="K1268" t="str">
        <f>VLOOKUP($A1268,[1]Table!$A$2:$N1411,K$1,FALSE)</f>
        <v>mg/stuk</v>
      </c>
      <c r="L1268">
        <f>VLOOKUP($A1268,[1]Table!$A$2:$N1411,L$1,FALSE)</f>
        <v>1.25</v>
      </c>
      <c r="M1268" t="str">
        <f>VLOOKUP($A1268,[1]Table!$A$2:$N1411,M$1,FALSE)</f>
        <v>mg</v>
      </c>
      <c r="N1268" t="s">
        <v>62</v>
      </c>
      <c r="O1268" t="str">
        <f>ConcatenateRange(AZ1268:BU1268,"||")</f>
        <v/>
      </c>
      <c r="AZ1268" t="str">
        <f t="shared" si="462"/>
        <v/>
      </c>
      <c r="BA1268" t="str">
        <f t="shared" si="463"/>
        <v/>
      </c>
      <c r="BB1268" t="str">
        <f t="shared" si="464"/>
        <v/>
      </c>
      <c r="BC1268" t="str">
        <f t="shared" si="465"/>
        <v/>
      </c>
      <c r="BD1268" t="str">
        <f t="shared" si="466"/>
        <v/>
      </c>
      <c r="BE1268" t="str">
        <f t="shared" si="467"/>
        <v/>
      </c>
      <c r="BF1268" t="str">
        <f t="shared" si="468"/>
        <v/>
      </c>
      <c r="BG1268" t="str">
        <f t="shared" si="469"/>
        <v/>
      </c>
      <c r="BH1268" t="str">
        <f t="shared" si="470"/>
        <v/>
      </c>
      <c r="BI1268" t="str">
        <f t="shared" si="471"/>
        <v/>
      </c>
      <c r="BJ1268" t="str">
        <f t="shared" si="472"/>
        <v/>
      </c>
      <c r="BK1268" t="str">
        <f t="shared" si="473"/>
        <v/>
      </c>
      <c r="BL1268" t="str">
        <f t="shared" si="474"/>
        <v/>
      </c>
      <c r="BM1268" t="str">
        <f t="shared" si="475"/>
        <v/>
      </c>
      <c r="BN1268" t="str">
        <f t="shared" si="476"/>
        <v/>
      </c>
      <c r="BO1268" t="str">
        <f t="shared" si="477"/>
        <v/>
      </c>
      <c r="BP1268" t="str">
        <f t="shared" si="478"/>
        <v/>
      </c>
      <c r="BQ1268" t="str">
        <f t="shared" si="479"/>
        <v/>
      </c>
      <c r="BR1268" t="str">
        <f t="shared" si="480"/>
        <v/>
      </c>
      <c r="BS1268" t="str">
        <f t="shared" si="481"/>
        <v/>
      </c>
      <c r="BT1268" t="str">
        <f t="shared" si="482"/>
        <v/>
      </c>
      <c r="BU1268" t="str">
        <f t="shared" si="483"/>
        <v/>
      </c>
    </row>
    <row r="1269" spans="1:73">
      <c r="A1269" s="1">
        <v>104388</v>
      </c>
      <c r="B1269" t="str">
        <f>VLOOKUP($A1269,[1]Table!$A$2:$N1412,B$1,FALSE)</f>
        <v>C09AA05</v>
      </c>
      <c r="C1269" t="str">
        <f>VLOOKUP($A1269,[1]Table!$A$2:$N1412,C$1,FALSE)</f>
        <v>MIDDELEN AANGRIJPEND OP HET RENINE-ANGIOTENSINESYSTEEM</v>
      </c>
      <c r="D1269" t="str">
        <f>VLOOKUP($A1269,[1]Table!$A$2:$N1412,D$1,FALSE)</f>
        <v>ACE-REMMERS</v>
      </c>
      <c r="E1269" t="str">
        <f>VLOOKUP($A1269,[1]Table!$A$2:$N1412,E$1,FALSE)</f>
        <v>RAMIPRIL</v>
      </c>
      <c r="F1269" t="str">
        <f>VLOOKUP($A1269,[1]Table!$A$2:$N1412,F$1,FALSE)</f>
        <v>RAMIPRIL 2,5 MG TABLET</v>
      </c>
      <c r="G1269" t="str">
        <f>VLOOKUP($A1269,[1]Table!$A$2:$N1412,G$1,FALSE)</f>
        <v>RAMIPRIL 2,5MG TABLET</v>
      </c>
      <c r="H1269" t="str">
        <f>VLOOKUP($A1269,[1]Table!$A$2:$N1412,H$1,FALSE)</f>
        <v>tablet</v>
      </c>
      <c r="I1269" t="str">
        <f>VLOOKUP($A1269,[1]Table!$A$2:$N1412,I$1,FALSE)</f>
        <v>or</v>
      </c>
      <c r="J1269">
        <f>VLOOKUP($A1269,[1]Table!$A$2:$N1412,J$1,FALSE)</f>
        <v>2.5</v>
      </c>
      <c r="K1269" t="str">
        <f>VLOOKUP($A1269,[1]Table!$A$2:$N1412,K$1,FALSE)</f>
        <v>mg/stuk</v>
      </c>
      <c r="L1269">
        <f>VLOOKUP($A1269,[1]Table!$A$2:$N1412,L$1,FALSE)</f>
        <v>1.25</v>
      </c>
      <c r="M1269" t="str">
        <f>VLOOKUP($A1269,[1]Table!$A$2:$N1412,M$1,FALSE)</f>
        <v>mg</v>
      </c>
      <c r="N1269" t="s">
        <v>62</v>
      </c>
      <c r="O1269" t="str">
        <f>ConcatenateRange(AZ1269:BU1269,"||")</f>
        <v/>
      </c>
      <c r="AZ1269" t="str">
        <f t="shared" si="462"/>
        <v/>
      </c>
      <c r="BA1269" t="str">
        <f t="shared" si="463"/>
        <v/>
      </c>
      <c r="BB1269" t="str">
        <f t="shared" si="464"/>
        <v/>
      </c>
      <c r="BC1269" t="str">
        <f t="shared" si="465"/>
        <v/>
      </c>
      <c r="BD1269" t="str">
        <f t="shared" si="466"/>
        <v/>
      </c>
      <c r="BE1269" t="str">
        <f t="shared" si="467"/>
        <v/>
      </c>
      <c r="BF1269" t="str">
        <f t="shared" si="468"/>
        <v/>
      </c>
      <c r="BG1269" t="str">
        <f t="shared" si="469"/>
        <v/>
      </c>
      <c r="BH1269" t="str">
        <f t="shared" si="470"/>
        <v/>
      </c>
      <c r="BI1269" t="str">
        <f t="shared" si="471"/>
        <v/>
      </c>
      <c r="BJ1269" t="str">
        <f t="shared" si="472"/>
        <v/>
      </c>
      <c r="BK1269" t="str">
        <f t="shared" si="473"/>
        <v/>
      </c>
      <c r="BL1269" t="str">
        <f t="shared" si="474"/>
        <v/>
      </c>
      <c r="BM1269" t="str">
        <f t="shared" si="475"/>
        <v/>
      </c>
      <c r="BN1269" t="str">
        <f t="shared" si="476"/>
        <v/>
      </c>
      <c r="BO1269" t="str">
        <f t="shared" si="477"/>
        <v/>
      </c>
      <c r="BP1269" t="str">
        <f t="shared" si="478"/>
        <v/>
      </c>
      <c r="BQ1269" t="str">
        <f t="shared" si="479"/>
        <v/>
      </c>
      <c r="BR1269" t="str">
        <f t="shared" si="480"/>
        <v/>
      </c>
      <c r="BS1269" t="str">
        <f t="shared" si="481"/>
        <v/>
      </c>
      <c r="BT1269" t="str">
        <f t="shared" si="482"/>
        <v/>
      </c>
      <c r="BU1269" t="str">
        <f t="shared" si="483"/>
        <v/>
      </c>
    </row>
    <row r="1270" spans="1:73">
      <c r="A1270" s="1">
        <v>104396</v>
      </c>
      <c r="B1270" t="str">
        <f>VLOOKUP($A1270,[1]Table!$A$2:$N1413,B$1,FALSE)</f>
        <v>C09AA05</v>
      </c>
      <c r="C1270" t="str">
        <f>VLOOKUP($A1270,[1]Table!$A$2:$N1413,C$1,FALSE)</f>
        <v>MIDDELEN AANGRIJPEND OP HET RENINE-ANGIOTENSINESYSTEEM</v>
      </c>
      <c r="D1270" t="str">
        <f>VLOOKUP($A1270,[1]Table!$A$2:$N1413,D$1,FALSE)</f>
        <v>ACE-REMMERS</v>
      </c>
      <c r="E1270" t="str">
        <f>VLOOKUP($A1270,[1]Table!$A$2:$N1413,E$1,FALSE)</f>
        <v>RAMIPRIL</v>
      </c>
      <c r="F1270" t="str">
        <f>VLOOKUP($A1270,[1]Table!$A$2:$N1413,F$1,FALSE)</f>
        <v>RAMIPRIL 5 MG TABLET</v>
      </c>
      <c r="G1270" t="str">
        <f>VLOOKUP($A1270,[1]Table!$A$2:$N1413,G$1,FALSE)</f>
        <v>RAMIPRIL 5MG TABLET</v>
      </c>
      <c r="H1270" t="str">
        <f>VLOOKUP($A1270,[1]Table!$A$2:$N1413,H$1,FALSE)</f>
        <v>tablet</v>
      </c>
      <c r="I1270" t="str">
        <f>VLOOKUP($A1270,[1]Table!$A$2:$N1413,I$1,FALSE)</f>
        <v>or</v>
      </c>
      <c r="J1270">
        <f>VLOOKUP($A1270,[1]Table!$A$2:$N1413,J$1,FALSE)</f>
        <v>5</v>
      </c>
      <c r="K1270" t="str">
        <f>VLOOKUP($A1270,[1]Table!$A$2:$N1413,K$1,FALSE)</f>
        <v>mg/stuk</v>
      </c>
      <c r="L1270">
        <f>VLOOKUP($A1270,[1]Table!$A$2:$N1413,L$1,FALSE)</f>
        <v>2.5</v>
      </c>
      <c r="M1270" t="str">
        <f>VLOOKUP($A1270,[1]Table!$A$2:$N1413,M$1,FALSE)</f>
        <v>mg</v>
      </c>
      <c r="N1270" t="s">
        <v>62</v>
      </c>
      <c r="O1270" t="str">
        <f>ConcatenateRange(AZ1270:BU1270,"||")</f>
        <v/>
      </c>
      <c r="AZ1270" t="str">
        <f t="shared" si="462"/>
        <v/>
      </c>
      <c r="BA1270" t="str">
        <f t="shared" si="463"/>
        <v/>
      </c>
      <c r="BB1270" t="str">
        <f t="shared" si="464"/>
        <v/>
      </c>
      <c r="BC1270" t="str">
        <f t="shared" si="465"/>
        <v/>
      </c>
      <c r="BD1270" t="str">
        <f t="shared" si="466"/>
        <v/>
      </c>
      <c r="BE1270" t="str">
        <f t="shared" si="467"/>
        <v/>
      </c>
      <c r="BF1270" t="str">
        <f t="shared" si="468"/>
        <v/>
      </c>
      <c r="BG1270" t="str">
        <f t="shared" si="469"/>
        <v/>
      </c>
      <c r="BH1270" t="str">
        <f t="shared" si="470"/>
        <v/>
      </c>
      <c r="BI1270" t="str">
        <f t="shared" si="471"/>
        <v/>
      </c>
      <c r="BJ1270" t="str">
        <f t="shared" si="472"/>
        <v/>
      </c>
      <c r="BK1270" t="str">
        <f t="shared" si="473"/>
        <v/>
      </c>
      <c r="BL1270" t="str">
        <f t="shared" si="474"/>
        <v/>
      </c>
      <c r="BM1270" t="str">
        <f t="shared" si="475"/>
        <v/>
      </c>
      <c r="BN1270" t="str">
        <f t="shared" si="476"/>
        <v/>
      </c>
      <c r="BO1270" t="str">
        <f t="shared" si="477"/>
        <v/>
      </c>
      <c r="BP1270" t="str">
        <f t="shared" si="478"/>
        <v/>
      </c>
      <c r="BQ1270" t="str">
        <f t="shared" si="479"/>
        <v/>
      </c>
      <c r="BR1270" t="str">
        <f t="shared" si="480"/>
        <v/>
      </c>
      <c r="BS1270" t="str">
        <f t="shared" si="481"/>
        <v/>
      </c>
      <c r="BT1270" t="str">
        <f t="shared" si="482"/>
        <v/>
      </c>
      <c r="BU1270" t="str">
        <f t="shared" si="483"/>
        <v/>
      </c>
    </row>
    <row r="1271" spans="1:73">
      <c r="A1271" s="1">
        <v>112216</v>
      </c>
      <c r="B1271" t="str">
        <f>VLOOKUP($A1271,[1]Table!$A$2:$N1414,B$1,FALSE)</f>
        <v>C09AA05</v>
      </c>
      <c r="C1271" t="str">
        <f>VLOOKUP($A1271,[1]Table!$A$2:$N1414,C$1,FALSE)</f>
        <v>MIDDELEN AANGRIJPEND OP HET RENINE-ANGIOTENSINESYSTEEM</v>
      </c>
      <c r="D1271" t="str">
        <f>VLOOKUP($A1271,[1]Table!$A$2:$N1414,D$1,FALSE)</f>
        <v>ACE-REMMERS</v>
      </c>
      <c r="E1271" t="str">
        <f>VLOOKUP($A1271,[1]Table!$A$2:$N1414,E$1,FALSE)</f>
        <v>RAMIPRIL</v>
      </c>
      <c r="F1271" t="str">
        <f>VLOOKUP($A1271,[1]Table!$A$2:$N1414,F$1,FALSE)</f>
        <v>RAMIPRIL 10 MG TABLET</v>
      </c>
      <c r="G1271" t="str">
        <f>VLOOKUP($A1271,[1]Table!$A$2:$N1414,G$1,FALSE)</f>
        <v>RAMIPRIL 10MG TABLET</v>
      </c>
      <c r="H1271" t="str">
        <f>VLOOKUP($A1271,[1]Table!$A$2:$N1414,H$1,FALSE)</f>
        <v>tablet</v>
      </c>
      <c r="I1271" t="str">
        <f>VLOOKUP($A1271,[1]Table!$A$2:$N1414,I$1,FALSE)</f>
        <v>or</v>
      </c>
      <c r="J1271">
        <f>VLOOKUP($A1271,[1]Table!$A$2:$N1414,J$1,FALSE)</f>
        <v>10</v>
      </c>
      <c r="K1271" t="str">
        <f>VLOOKUP($A1271,[1]Table!$A$2:$N1414,K$1,FALSE)</f>
        <v>mg/stuk</v>
      </c>
      <c r="L1271">
        <f>VLOOKUP($A1271,[1]Table!$A$2:$N1414,L$1,FALSE)</f>
        <v>10</v>
      </c>
      <c r="M1271" t="str">
        <f>VLOOKUP($A1271,[1]Table!$A$2:$N1414,M$1,FALSE)</f>
        <v>mg</v>
      </c>
      <c r="N1271" t="s">
        <v>62</v>
      </c>
      <c r="O1271" t="str">
        <f>ConcatenateRange(AZ1271:BU1271,"||")</f>
        <v/>
      </c>
      <c r="AZ1271" t="str">
        <f t="shared" si="462"/>
        <v/>
      </c>
      <c r="BA1271" t="str">
        <f t="shared" si="463"/>
        <v/>
      </c>
      <c r="BB1271" t="str">
        <f t="shared" si="464"/>
        <v/>
      </c>
      <c r="BC1271" t="str">
        <f t="shared" si="465"/>
        <v/>
      </c>
      <c r="BD1271" t="str">
        <f t="shared" si="466"/>
        <v/>
      </c>
      <c r="BE1271" t="str">
        <f t="shared" si="467"/>
        <v/>
      </c>
      <c r="BF1271" t="str">
        <f t="shared" si="468"/>
        <v/>
      </c>
      <c r="BG1271" t="str">
        <f t="shared" si="469"/>
        <v/>
      </c>
      <c r="BH1271" t="str">
        <f t="shared" si="470"/>
        <v/>
      </c>
      <c r="BI1271" t="str">
        <f t="shared" si="471"/>
        <v/>
      </c>
      <c r="BJ1271" t="str">
        <f t="shared" si="472"/>
        <v/>
      </c>
      <c r="BK1271" t="str">
        <f t="shared" si="473"/>
        <v/>
      </c>
      <c r="BL1271" t="str">
        <f t="shared" si="474"/>
        <v/>
      </c>
      <c r="BM1271" t="str">
        <f t="shared" si="475"/>
        <v/>
      </c>
      <c r="BN1271" t="str">
        <f t="shared" si="476"/>
        <v/>
      </c>
      <c r="BO1271" t="str">
        <f t="shared" si="477"/>
        <v/>
      </c>
      <c r="BP1271" t="str">
        <f t="shared" si="478"/>
        <v/>
      </c>
      <c r="BQ1271" t="str">
        <f t="shared" si="479"/>
        <v/>
      </c>
      <c r="BR1271" t="str">
        <f t="shared" si="480"/>
        <v/>
      </c>
      <c r="BS1271" t="str">
        <f t="shared" si="481"/>
        <v/>
      </c>
      <c r="BT1271" t="str">
        <f t="shared" si="482"/>
        <v/>
      </c>
      <c r="BU1271" t="str">
        <f t="shared" si="483"/>
        <v/>
      </c>
    </row>
    <row r="1272" spans="1:73">
      <c r="A1272" s="1">
        <v>81604</v>
      </c>
      <c r="B1272" t="str">
        <f>VLOOKUP($A1272,[1]Table!$A$2:$N1415,B$1,FALSE)</f>
        <v>A02BA02</v>
      </c>
      <c r="C1272" t="str">
        <f>VLOOKUP($A1272,[1]Table!$A$2:$N1415,C$1,FALSE)</f>
        <v>MIDDELEN BIJ ZUURGERELATEERDE AFWIJKINGEN</v>
      </c>
      <c r="D1272" t="str">
        <f>VLOOKUP($A1272,[1]Table!$A$2:$N1415,D$1,FALSE)</f>
        <v>MIDDELEN BIJ ULCUS PEPTICUM EN GASTRO-OESOFAGEALE REFLUX</v>
      </c>
      <c r="E1272" t="str">
        <f>VLOOKUP($A1272,[1]Table!$A$2:$N1415,E$1,FALSE)</f>
        <v>RANITIDINE</v>
      </c>
      <c r="F1272" t="str">
        <f>VLOOKUP($A1272,[1]Table!$A$2:$N1415,F$1,FALSE)</f>
        <v>RANITIDINE 150 MG BRUISTABLET</v>
      </c>
      <c r="G1272" t="str">
        <f>VLOOKUP($A1272,[1]Table!$A$2:$N1415,G$1,FALSE)</f>
        <v>RANITIDINE 150MG BRUISTABLE</v>
      </c>
      <c r="H1272" t="str">
        <f>VLOOKUP($A1272,[1]Table!$A$2:$N1415,H$1,FALSE)</f>
        <v>bruistablet</v>
      </c>
      <c r="I1272" t="str">
        <f>VLOOKUP($A1272,[1]Table!$A$2:$N1415,I$1,FALSE)</f>
        <v>or</v>
      </c>
      <c r="J1272">
        <f>VLOOKUP($A1272,[1]Table!$A$2:$N1415,J$1,FALSE)</f>
        <v>150</v>
      </c>
      <c r="K1272" t="str">
        <f>VLOOKUP($A1272,[1]Table!$A$2:$N1415,K$1,FALSE)</f>
        <v>mg/stuk</v>
      </c>
      <c r="L1272">
        <f>VLOOKUP($A1272,[1]Table!$A$2:$N1415,L$1,FALSE)</f>
        <v>150</v>
      </c>
      <c r="M1272" t="str">
        <f>VLOOKUP($A1272,[1]Table!$A$2:$N1415,M$1,FALSE)</f>
        <v>mg</v>
      </c>
      <c r="N1272" t="str">
        <f>VLOOKUP($A1272,[1]Table!$A$2:$N1415,N$1,FALSE)</f>
        <v>Preventie van stress-ulcera en als ondersteuning bij de behandeling van gastro-intestinale bloedingen||Gastro-oesofageale reflux, ulcus duodeni en ulcus ventriculi</v>
      </c>
      <c r="O1272" t="str">
        <f>ConcatenateRange(AZ1272:BU1272,"||")</f>
        <v/>
      </c>
      <c r="AZ1272" t="str">
        <f t="shared" si="462"/>
        <v/>
      </c>
      <c r="BA1272" t="str">
        <f t="shared" si="463"/>
        <v/>
      </c>
      <c r="BB1272" t="str">
        <f t="shared" si="464"/>
        <v/>
      </c>
      <c r="BC1272" t="str">
        <f t="shared" si="465"/>
        <v/>
      </c>
      <c r="BD1272" t="str">
        <f t="shared" si="466"/>
        <v/>
      </c>
      <c r="BE1272" t="str">
        <f t="shared" si="467"/>
        <v/>
      </c>
      <c r="BF1272" t="str">
        <f t="shared" si="468"/>
        <v/>
      </c>
      <c r="BG1272" t="str">
        <f t="shared" si="469"/>
        <v/>
      </c>
      <c r="BH1272" t="str">
        <f t="shared" si="470"/>
        <v/>
      </c>
      <c r="BI1272" t="str">
        <f t="shared" si="471"/>
        <v/>
      </c>
      <c r="BJ1272" t="str">
        <f t="shared" si="472"/>
        <v/>
      </c>
      <c r="BK1272" t="str">
        <f t="shared" si="473"/>
        <v/>
      </c>
      <c r="BL1272" t="str">
        <f t="shared" si="474"/>
        <v/>
      </c>
      <c r="BM1272" t="str">
        <f t="shared" si="475"/>
        <v/>
      </c>
      <c r="BN1272" t="str">
        <f t="shared" si="476"/>
        <v/>
      </c>
      <c r="BO1272" t="str">
        <f t="shared" si="477"/>
        <v/>
      </c>
      <c r="BP1272" t="str">
        <f t="shared" si="478"/>
        <v/>
      </c>
      <c r="BQ1272" t="str">
        <f t="shared" si="479"/>
        <v/>
      </c>
      <c r="BR1272" t="str">
        <f t="shared" si="480"/>
        <v/>
      </c>
      <c r="BS1272" t="str">
        <f t="shared" si="481"/>
        <v/>
      </c>
      <c r="BT1272" t="str">
        <f t="shared" si="482"/>
        <v/>
      </c>
      <c r="BU1272" t="str">
        <f t="shared" si="483"/>
        <v/>
      </c>
    </row>
    <row r="1273" spans="1:73">
      <c r="A1273" s="1">
        <v>99279</v>
      </c>
      <c r="B1273" t="str">
        <f>VLOOKUP($A1273,[1]Table!$A$2:$N1416,B$1,FALSE)</f>
        <v>A02BA02</v>
      </c>
      <c r="C1273" t="str">
        <f>VLOOKUP($A1273,[1]Table!$A$2:$N1416,C$1,FALSE)</f>
        <v>MIDDELEN BIJ ZUURGERELATEERDE AFWIJKINGEN</v>
      </c>
      <c r="D1273" t="str">
        <f>VLOOKUP($A1273,[1]Table!$A$2:$N1416,D$1,FALSE)</f>
        <v>MIDDELEN BIJ ULCUS PEPTICUM EN GASTRO-OESOFAGEALE REFLUX</v>
      </c>
      <c r="E1273" t="str">
        <f>VLOOKUP($A1273,[1]Table!$A$2:$N1416,E$1,FALSE)</f>
        <v>RANITIDINE</v>
      </c>
      <c r="F1273" t="str">
        <f>VLOOKUP($A1273,[1]Table!$A$2:$N1416,F$1,FALSE)</f>
        <v>RANITIDINEDRANK 15 MG/ML ALCOHOLVRIJ 100 ML</v>
      </c>
      <c r="G1273" t="str">
        <f>VLOOKUP($A1273,[1]Table!$A$2:$N1416,G$1,FALSE)</f>
        <v>RANITIDINE 15MG/ML DRANK</v>
      </c>
      <c r="H1273" t="str">
        <f>VLOOKUP($A1273,[1]Table!$A$2:$N1416,H$1,FALSE)</f>
        <v>drank</v>
      </c>
      <c r="I1273" t="str">
        <f>VLOOKUP($A1273,[1]Table!$A$2:$N1416,I$1,FALSE)</f>
        <v>or</v>
      </c>
      <c r="J1273">
        <f>VLOOKUP($A1273,[1]Table!$A$2:$N1416,J$1,FALSE)</f>
        <v>15</v>
      </c>
      <c r="K1273" t="str">
        <f>VLOOKUP($A1273,[1]Table!$A$2:$N1416,K$1,FALSE)</f>
        <v>mg/ml</v>
      </c>
      <c r="L1273">
        <f>VLOOKUP($A1273,[1]Table!$A$2:$N1416,L$1,FALSE)</f>
        <v>15</v>
      </c>
      <c r="M1273" t="str">
        <f>VLOOKUP($A1273,[1]Table!$A$2:$N1416,M$1,FALSE)</f>
        <v>mg</v>
      </c>
      <c r="N1273" t="str">
        <f>VLOOKUP($A1273,[1]Table!$A$2:$N1416,N$1,FALSE)</f>
        <v>Preventie van stress-ulcera en als ondersteuning bij de behandeling van gastro-intestinale bloedingen||Gastro-oesofageale reflux, ulcus duodeni en ulcus ventriculi</v>
      </c>
      <c r="O1273" t="str">
        <f>ConcatenateRange(AZ1273:BU1273,"||")</f>
        <v/>
      </c>
      <c r="AZ1273" t="str">
        <f t="shared" si="462"/>
        <v/>
      </c>
      <c r="BA1273" t="str">
        <f t="shared" si="463"/>
        <v/>
      </c>
      <c r="BB1273" t="str">
        <f t="shared" si="464"/>
        <v/>
      </c>
      <c r="BC1273" t="str">
        <f t="shared" si="465"/>
        <v/>
      </c>
      <c r="BD1273" t="str">
        <f t="shared" si="466"/>
        <v/>
      </c>
      <c r="BE1273" t="str">
        <f t="shared" si="467"/>
        <v/>
      </c>
      <c r="BF1273" t="str">
        <f t="shared" si="468"/>
        <v/>
      </c>
      <c r="BG1273" t="str">
        <f t="shared" si="469"/>
        <v/>
      </c>
      <c r="BH1273" t="str">
        <f t="shared" si="470"/>
        <v/>
      </c>
      <c r="BI1273" t="str">
        <f t="shared" si="471"/>
        <v/>
      </c>
      <c r="BJ1273" t="str">
        <f t="shared" si="472"/>
        <v/>
      </c>
      <c r="BK1273" t="str">
        <f t="shared" si="473"/>
        <v/>
      </c>
      <c r="BL1273" t="str">
        <f t="shared" si="474"/>
        <v/>
      </c>
      <c r="BM1273" t="str">
        <f t="shared" si="475"/>
        <v/>
      </c>
      <c r="BN1273" t="str">
        <f t="shared" si="476"/>
        <v/>
      </c>
      <c r="BO1273" t="str">
        <f t="shared" si="477"/>
        <v/>
      </c>
      <c r="BP1273" t="str">
        <f t="shared" si="478"/>
        <v/>
      </c>
      <c r="BQ1273" t="str">
        <f t="shared" si="479"/>
        <v/>
      </c>
      <c r="BR1273" t="str">
        <f t="shared" si="480"/>
        <v/>
      </c>
      <c r="BS1273" t="str">
        <f t="shared" si="481"/>
        <v/>
      </c>
      <c r="BT1273" t="str">
        <f t="shared" si="482"/>
        <v/>
      </c>
      <c r="BU1273" t="str">
        <f t="shared" si="483"/>
        <v/>
      </c>
    </row>
    <row r="1274" spans="1:73">
      <c r="A1274" s="1">
        <v>57533</v>
      </c>
      <c r="B1274" t="str">
        <f>VLOOKUP($A1274,[1]Table!$A$2:$N1417,B$1,FALSE)</f>
        <v>A02BA02</v>
      </c>
      <c r="C1274" t="str">
        <f>VLOOKUP($A1274,[1]Table!$A$2:$N1417,C$1,FALSE)</f>
        <v>MIDDELEN BIJ ZUURGERELATEERDE AFWIJKINGEN</v>
      </c>
      <c r="D1274" t="str">
        <f>VLOOKUP($A1274,[1]Table!$A$2:$N1417,D$1,FALSE)</f>
        <v>MIDDELEN BIJ ULCUS PEPTICUM EN GASTRO-OESOFAGEALE REFLUX</v>
      </c>
      <c r="E1274" t="str">
        <f>VLOOKUP($A1274,[1]Table!$A$2:$N1417,E$1,FALSE)</f>
        <v>RANITIDINE</v>
      </c>
      <c r="F1274" t="str">
        <f>VLOOKUP($A1274,[1]Table!$A$2:$N1417,F$1,FALSE)</f>
        <v>ZANTAC 25 MG/ML AMPUL 2ML</v>
      </c>
      <c r="G1274" t="str">
        <f>VLOOKUP($A1274,[1]Table!$A$2:$N1417,G$1,FALSE)</f>
        <v>RANITIDINE 25MG/ML INJVLST</v>
      </c>
      <c r="H1274" t="str">
        <f>VLOOKUP($A1274,[1]Table!$A$2:$N1417,H$1,FALSE)</f>
        <v>injectievloeistof</v>
      </c>
      <c r="I1274" t="str">
        <f>VLOOKUP($A1274,[1]Table!$A$2:$N1417,I$1,FALSE)</f>
        <v>im||iv</v>
      </c>
      <c r="J1274">
        <f>VLOOKUP($A1274,[1]Table!$A$2:$N1417,J$1,FALSE)</f>
        <v>25</v>
      </c>
      <c r="K1274" t="str">
        <f>VLOOKUP($A1274,[1]Table!$A$2:$N1417,K$1,FALSE)</f>
        <v>mg/ml</v>
      </c>
      <c r="L1274">
        <f>VLOOKUP($A1274,[1]Table!$A$2:$N1417,L$1,FALSE)</f>
        <v>25</v>
      </c>
      <c r="M1274" t="str">
        <f>VLOOKUP($A1274,[1]Table!$A$2:$N1417,M$1,FALSE)</f>
        <v>mg</v>
      </c>
      <c r="N1274" t="str">
        <f>VLOOKUP($A1274,[1]Table!$A$2:$N1417,N$1,FALSE)</f>
        <v>Preventie van stress-ulcera en als ondersteuning bij de behandeling van gastro-intestinale bloedingen||Gastro-oesofageale reflux, ulcus duodeni en ulcus ventriculi</v>
      </c>
      <c r="O1274" t="str">
        <f>ConcatenateRange(AZ1274:BU1274,"||")</f>
        <v/>
      </c>
      <c r="AZ1274" t="str">
        <f t="shared" si="462"/>
        <v/>
      </c>
      <c r="BA1274" t="str">
        <f t="shared" si="463"/>
        <v/>
      </c>
      <c r="BB1274" t="str">
        <f t="shared" si="464"/>
        <v/>
      </c>
      <c r="BC1274" t="str">
        <f t="shared" si="465"/>
        <v/>
      </c>
      <c r="BD1274" t="str">
        <f t="shared" si="466"/>
        <v/>
      </c>
      <c r="BE1274" t="str">
        <f t="shared" si="467"/>
        <v/>
      </c>
      <c r="BF1274" t="str">
        <f t="shared" si="468"/>
        <v/>
      </c>
      <c r="BG1274" t="str">
        <f t="shared" si="469"/>
        <v/>
      </c>
      <c r="BH1274" t="str">
        <f t="shared" si="470"/>
        <v/>
      </c>
      <c r="BI1274" t="str">
        <f t="shared" si="471"/>
        <v/>
      </c>
      <c r="BJ1274" t="str">
        <f t="shared" si="472"/>
        <v/>
      </c>
      <c r="BK1274" t="str">
        <f t="shared" si="473"/>
        <v/>
      </c>
      <c r="BL1274" t="str">
        <f t="shared" si="474"/>
        <v/>
      </c>
      <c r="BM1274" t="str">
        <f t="shared" si="475"/>
        <v/>
      </c>
      <c r="BN1274" t="str">
        <f t="shared" si="476"/>
        <v/>
      </c>
      <c r="BO1274" t="str">
        <f t="shared" si="477"/>
        <v/>
      </c>
      <c r="BP1274" t="str">
        <f t="shared" si="478"/>
        <v/>
      </c>
      <c r="BQ1274" t="str">
        <f t="shared" si="479"/>
        <v/>
      </c>
      <c r="BR1274" t="str">
        <f t="shared" si="480"/>
        <v/>
      </c>
      <c r="BS1274" t="str">
        <f t="shared" si="481"/>
        <v/>
      </c>
      <c r="BT1274" t="str">
        <f t="shared" si="482"/>
        <v/>
      </c>
      <c r="BU1274" t="str">
        <f t="shared" si="483"/>
        <v/>
      </c>
    </row>
    <row r="1275" spans="1:73">
      <c r="A1275" s="1">
        <v>43435</v>
      </c>
      <c r="B1275" t="str">
        <f>VLOOKUP($A1275,[1]Table!$A$2:$N1418,B$1,FALSE)</f>
        <v>A02BA02</v>
      </c>
      <c r="C1275" t="str">
        <f>VLOOKUP($A1275,[1]Table!$A$2:$N1418,C$1,FALSE)</f>
        <v>MIDDELEN BIJ ZUURGERELATEERDE AFWIJKINGEN</v>
      </c>
      <c r="D1275" t="str">
        <f>VLOOKUP($A1275,[1]Table!$A$2:$N1418,D$1,FALSE)</f>
        <v>MIDDELEN BIJ ULCUS PEPTICUM EN GASTRO-OESOFAGEALE REFLUX</v>
      </c>
      <c r="E1275" t="str">
        <f>VLOOKUP($A1275,[1]Table!$A$2:$N1418,E$1,FALSE)</f>
        <v>RANITIDINE</v>
      </c>
      <c r="F1275" t="str">
        <f>VLOOKUP($A1275,[1]Table!$A$2:$N1418,F$1,FALSE)</f>
        <v>RANITIDINE 150 MG TABLET</v>
      </c>
      <c r="G1275" t="str">
        <f>VLOOKUP($A1275,[1]Table!$A$2:$N1418,G$1,FALSE)</f>
        <v>RANITIDINE 150MG TABLET</v>
      </c>
      <c r="H1275" t="str">
        <f>VLOOKUP($A1275,[1]Table!$A$2:$N1418,H$1,FALSE)</f>
        <v>tablet</v>
      </c>
      <c r="I1275" t="str">
        <f>VLOOKUP($A1275,[1]Table!$A$2:$N1418,I$1,FALSE)</f>
        <v>or</v>
      </c>
      <c r="J1275">
        <f>VLOOKUP($A1275,[1]Table!$A$2:$N1418,J$1,FALSE)</f>
        <v>150</v>
      </c>
      <c r="K1275" t="str">
        <f>VLOOKUP($A1275,[1]Table!$A$2:$N1418,K$1,FALSE)</f>
        <v>mg/stuk</v>
      </c>
      <c r="L1275">
        <f>VLOOKUP($A1275,[1]Table!$A$2:$N1418,L$1,FALSE)</f>
        <v>150</v>
      </c>
      <c r="M1275" t="str">
        <f>VLOOKUP($A1275,[1]Table!$A$2:$N1418,M$1,FALSE)</f>
        <v>mg</v>
      </c>
      <c r="N1275" t="str">
        <f>VLOOKUP($A1275,[1]Table!$A$2:$N1418,N$1,FALSE)</f>
        <v>Preventie van stress-ulcera en als ondersteuning bij de behandeling van gastro-intestinale bloedingen||Gastro-oesofageale reflux, ulcus duodeni en ulcus ventriculi</v>
      </c>
      <c r="O1275" t="str">
        <f>ConcatenateRange(AZ1275:BU1275,"||")</f>
        <v/>
      </c>
      <c r="AZ1275" t="str">
        <f t="shared" si="462"/>
        <v/>
      </c>
      <c r="BA1275" t="str">
        <f t="shared" si="463"/>
        <v/>
      </c>
      <c r="BB1275" t="str">
        <f t="shared" si="464"/>
        <v/>
      </c>
      <c r="BC1275" t="str">
        <f t="shared" si="465"/>
        <v/>
      </c>
      <c r="BD1275" t="str">
        <f t="shared" si="466"/>
        <v/>
      </c>
      <c r="BE1275" t="str">
        <f t="shared" si="467"/>
        <v/>
      </c>
      <c r="BF1275" t="str">
        <f t="shared" si="468"/>
        <v/>
      </c>
      <c r="BG1275" t="str">
        <f t="shared" si="469"/>
        <v/>
      </c>
      <c r="BH1275" t="str">
        <f t="shared" si="470"/>
        <v/>
      </c>
      <c r="BI1275" t="str">
        <f t="shared" si="471"/>
        <v/>
      </c>
      <c r="BJ1275" t="str">
        <f t="shared" si="472"/>
        <v/>
      </c>
      <c r="BK1275" t="str">
        <f t="shared" si="473"/>
        <v/>
      </c>
      <c r="BL1275" t="str">
        <f t="shared" si="474"/>
        <v/>
      </c>
      <c r="BM1275" t="str">
        <f t="shared" si="475"/>
        <v/>
      </c>
      <c r="BN1275" t="str">
        <f t="shared" si="476"/>
        <v/>
      </c>
      <c r="BO1275" t="str">
        <f t="shared" si="477"/>
        <v/>
      </c>
      <c r="BP1275" t="str">
        <f t="shared" si="478"/>
        <v/>
      </c>
      <c r="BQ1275" t="str">
        <f t="shared" si="479"/>
        <v/>
      </c>
      <c r="BR1275" t="str">
        <f t="shared" si="480"/>
        <v/>
      </c>
      <c r="BS1275" t="str">
        <f t="shared" si="481"/>
        <v/>
      </c>
      <c r="BT1275" t="str">
        <f t="shared" si="482"/>
        <v/>
      </c>
      <c r="BU1275" t="str">
        <f t="shared" si="483"/>
        <v/>
      </c>
    </row>
    <row r="1276" spans="1:73">
      <c r="A1276" s="1">
        <v>55379</v>
      </c>
      <c r="B1276" t="str">
        <f>VLOOKUP($A1276,[1]Table!$A$2:$N1419,B$1,FALSE)</f>
        <v>A02BA02</v>
      </c>
      <c r="C1276" t="str">
        <f>VLOOKUP($A1276,[1]Table!$A$2:$N1419,C$1,FALSE)</f>
        <v>MIDDELEN BIJ ZUURGERELATEERDE AFWIJKINGEN</v>
      </c>
      <c r="D1276" t="str">
        <f>VLOOKUP($A1276,[1]Table!$A$2:$N1419,D$1,FALSE)</f>
        <v>MIDDELEN BIJ ULCUS PEPTICUM EN GASTRO-OESOFAGEALE REFLUX</v>
      </c>
      <c r="E1276" t="str">
        <f>VLOOKUP($A1276,[1]Table!$A$2:$N1419,E$1,FALSE)</f>
        <v>RANITIDINE</v>
      </c>
      <c r="F1276" t="str">
        <f>VLOOKUP($A1276,[1]Table!$A$2:$N1419,F$1,FALSE)</f>
        <v>RANITIDINE 300 MG TABLET</v>
      </c>
      <c r="G1276" t="str">
        <f>VLOOKUP($A1276,[1]Table!$A$2:$N1419,G$1,FALSE)</f>
        <v>RANITIDINE 300MG TABLET</v>
      </c>
      <c r="H1276" t="str">
        <f>VLOOKUP($A1276,[1]Table!$A$2:$N1419,H$1,FALSE)</f>
        <v>tablet</v>
      </c>
      <c r="I1276" t="str">
        <f>VLOOKUP($A1276,[1]Table!$A$2:$N1419,I$1,FALSE)</f>
        <v>or</v>
      </c>
      <c r="J1276">
        <f>VLOOKUP($A1276,[1]Table!$A$2:$N1419,J$1,FALSE)</f>
        <v>300</v>
      </c>
      <c r="K1276" t="str">
        <f>VLOOKUP($A1276,[1]Table!$A$2:$N1419,K$1,FALSE)</f>
        <v>mg/stuk</v>
      </c>
      <c r="L1276">
        <f>VLOOKUP($A1276,[1]Table!$A$2:$N1419,L$1,FALSE)</f>
        <v>300</v>
      </c>
      <c r="M1276" t="str">
        <f>VLOOKUP($A1276,[1]Table!$A$2:$N1419,M$1,FALSE)</f>
        <v>mg</v>
      </c>
      <c r="N1276" t="str">
        <f>VLOOKUP($A1276,[1]Table!$A$2:$N1419,N$1,FALSE)</f>
        <v>Preventie van stress-ulcera en als ondersteuning bij de behandeling van gastro-intestinale bloedingen||Gastro-oesofageale reflux, ulcus duodeni en ulcus ventriculi</v>
      </c>
      <c r="O1276" t="str">
        <f>ConcatenateRange(AZ1276:BU1276,"||")</f>
        <v/>
      </c>
      <c r="AZ1276" t="str">
        <f t="shared" si="462"/>
        <v/>
      </c>
      <c r="BA1276" t="str">
        <f t="shared" si="463"/>
        <v/>
      </c>
      <c r="BB1276" t="str">
        <f t="shared" si="464"/>
        <v/>
      </c>
      <c r="BC1276" t="str">
        <f t="shared" si="465"/>
        <v/>
      </c>
      <c r="BD1276" t="str">
        <f t="shared" si="466"/>
        <v/>
      </c>
      <c r="BE1276" t="str">
        <f t="shared" si="467"/>
        <v/>
      </c>
      <c r="BF1276" t="str">
        <f t="shared" si="468"/>
        <v/>
      </c>
      <c r="BG1276" t="str">
        <f t="shared" si="469"/>
        <v/>
      </c>
      <c r="BH1276" t="str">
        <f t="shared" si="470"/>
        <v/>
      </c>
      <c r="BI1276" t="str">
        <f t="shared" si="471"/>
        <v/>
      </c>
      <c r="BJ1276" t="str">
        <f t="shared" si="472"/>
        <v/>
      </c>
      <c r="BK1276" t="str">
        <f t="shared" si="473"/>
        <v/>
      </c>
      <c r="BL1276" t="str">
        <f t="shared" si="474"/>
        <v/>
      </c>
      <c r="BM1276" t="str">
        <f t="shared" si="475"/>
        <v/>
      </c>
      <c r="BN1276" t="str">
        <f t="shared" si="476"/>
        <v/>
      </c>
      <c r="BO1276" t="str">
        <f t="shared" si="477"/>
        <v/>
      </c>
      <c r="BP1276" t="str">
        <f t="shared" si="478"/>
        <v/>
      </c>
      <c r="BQ1276" t="str">
        <f t="shared" si="479"/>
        <v/>
      </c>
      <c r="BR1276" t="str">
        <f t="shared" si="480"/>
        <v/>
      </c>
      <c r="BS1276" t="str">
        <f t="shared" si="481"/>
        <v/>
      </c>
      <c r="BT1276" t="str">
        <f t="shared" si="482"/>
        <v/>
      </c>
      <c r="BU1276" t="str">
        <f t="shared" si="483"/>
        <v/>
      </c>
    </row>
    <row r="1277" spans="1:73">
      <c r="A1277" s="1">
        <v>114456</v>
      </c>
      <c r="B1277" t="str">
        <f>VLOOKUP($A1277,[1]Table!$A$2:$N1420,B$1,FALSE)</f>
        <v>V03AF07</v>
      </c>
      <c r="C1277" t="str">
        <f>VLOOKUP($A1277,[1]Table!$A$2:$N1420,C$1,FALSE)</f>
        <v>ALLE OVERIGE THERAPEUTISCHE MIDDELEN</v>
      </c>
      <c r="D1277" t="str">
        <f>VLOOKUP($A1277,[1]Table!$A$2:$N1420,D$1,FALSE)</f>
        <v>ALLE OVERIGE THERAPEUTISCHE MIDDELEN</v>
      </c>
      <c r="E1277" t="str">
        <f>VLOOKUP($A1277,[1]Table!$A$2:$N1420,E$1,FALSE)</f>
        <v>RASBURICASE</v>
      </c>
      <c r="F1277" t="str">
        <f>VLOOKUP($A1277,[1]Table!$A$2:$N1420,F$1,FALSE)</f>
        <v>FASTURTEC 1.5 MG INFPDR+SOLVENS 1ML</v>
      </c>
      <c r="G1277" t="str">
        <f>VLOOKUP($A1277,[1]Table!$A$2:$N1420,G$1,FALSE)</f>
        <v>RASBURICASE 1,5MG INFPDR</v>
      </c>
      <c r="H1277" t="str">
        <f>VLOOKUP($A1277,[1]Table!$A$2:$N1420,H$1,FALSE)</f>
        <v>poeder voor oplossing voor infusie</v>
      </c>
      <c r="I1277" t="str">
        <f>VLOOKUP($A1277,[1]Table!$A$2:$N1420,I$1,FALSE)</f>
        <v>iv</v>
      </c>
      <c r="J1277">
        <f>VLOOKUP($A1277,[1]Table!$A$2:$N1420,J$1,FALSE)</f>
        <v>1.5</v>
      </c>
      <c r="K1277" t="str">
        <f>VLOOKUP($A1277,[1]Table!$A$2:$N1420,K$1,FALSE)</f>
        <v>mg/stuk</v>
      </c>
      <c r="L1277">
        <f>VLOOKUP($A1277,[1]Table!$A$2:$N1420,L$1,FALSE)</f>
        <v>1.5</v>
      </c>
      <c r="M1277" t="str">
        <f>VLOOKUP($A1277,[1]Table!$A$2:$N1420,M$1,FALSE)</f>
        <v>mg</v>
      </c>
      <c r="N1277" t="str">
        <f>VLOOKUP($A1277,[1]Table!$A$2:$N1420,N$1,FALSE)</f>
        <v>Profylaxe en behandeling van acute urekemie</v>
      </c>
      <c r="O1277" t="str">
        <f>ConcatenateRange(AZ1277:BU1277,"||")</f>
        <v/>
      </c>
      <c r="AZ1277" t="str">
        <f t="shared" si="462"/>
        <v/>
      </c>
      <c r="BA1277" t="str">
        <f t="shared" si="463"/>
        <v/>
      </c>
      <c r="BB1277" t="str">
        <f t="shared" si="464"/>
        <v/>
      </c>
      <c r="BC1277" t="str">
        <f t="shared" si="465"/>
        <v/>
      </c>
      <c r="BD1277" t="str">
        <f t="shared" si="466"/>
        <v/>
      </c>
      <c r="BE1277" t="str">
        <f t="shared" si="467"/>
        <v/>
      </c>
      <c r="BF1277" t="str">
        <f t="shared" si="468"/>
        <v/>
      </c>
      <c r="BG1277" t="str">
        <f t="shared" si="469"/>
        <v/>
      </c>
      <c r="BH1277" t="str">
        <f t="shared" si="470"/>
        <v/>
      </c>
      <c r="BI1277" t="str">
        <f t="shared" si="471"/>
        <v/>
      </c>
      <c r="BJ1277" t="str">
        <f t="shared" si="472"/>
        <v/>
      </c>
      <c r="BK1277" t="str">
        <f t="shared" si="473"/>
        <v/>
      </c>
      <c r="BL1277" t="str">
        <f t="shared" si="474"/>
        <v/>
      </c>
      <c r="BM1277" t="str">
        <f t="shared" si="475"/>
        <v/>
      </c>
      <c r="BN1277" t="str">
        <f t="shared" si="476"/>
        <v/>
      </c>
      <c r="BO1277" t="str">
        <f t="shared" si="477"/>
        <v/>
      </c>
      <c r="BP1277" t="str">
        <f t="shared" si="478"/>
        <v/>
      </c>
      <c r="BQ1277" t="str">
        <f t="shared" si="479"/>
        <v/>
      </c>
      <c r="BR1277" t="str">
        <f t="shared" si="480"/>
        <v/>
      </c>
      <c r="BS1277" t="str">
        <f t="shared" si="481"/>
        <v/>
      </c>
      <c r="BT1277" t="str">
        <f t="shared" si="482"/>
        <v/>
      </c>
      <c r="BU1277" t="str">
        <f t="shared" si="483"/>
        <v/>
      </c>
    </row>
    <row r="1278" spans="1:73">
      <c r="A1278" s="1">
        <v>116181</v>
      </c>
      <c r="B1278" t="str">
        <f>VLOOKUP($A1278,[1]Table!$A$2:$N1421,B$1,FALSE)</f>
        <v>V03AF07</v>
      </c>
      <c r="C1278" t="str">
        <f>VLOOKUP($A1278,[1]Table!$A$2:$N1421,C$1,FALSE)</f>
        <v>ALLE OVERIGE THERAPEUTISCHE MIDDELEN</v>
      </c>
      <c r="D1278" t="str">
        <f>VLOOKUP($A1278,[1]Table!$A$2:$N1421,D$1,FALSE)</f>
        <v>ALLE OVERIGE THERAPEUTISCHE MIDDELEN</v>
      </c>
      <c r="E1278" t="str">
        <f>VLOOKUP($A1278,[1]Table!$A$2:$N1421,E$1,FALSE)</f>
        <v>RASBURICASE</v>
      </c>
      <c r="F1278" t="str">
        <f>VLOOKUP($A1278,[1]Table!$A$2:$N1421,F$1,FALSE)</f>
        <v>FASTURTEC 7.5 MG INFPDR+SOLVENS 5ML</v>
      </c>
      <c r="G1278" t="str">
        <f>VLOOKUP($A1278,[1]Table!$A$2:$N1421,G$1,FALSE)</f>
        <v>RASBURICASE 7,5MG INFPDR</v>
      </c>
      <c r="H1278" t="str">
        <f>VLOOKUP($A1278,[1]Table!$A$2:$N1421,H$1,FALSE)</f>
        <v>poeder voor oplossing voor infusie</v>
      </c>
      <c r="I1278" t="str">
        <f>VLOOKUP($A1278,[1]Table!$A$2:$N1421,I$1,FALSE)</f>
        <v>iv</v>
      </c>
      <c r="J1278">
        <f>VLOOKUP($A1278,[1]Table!$A$2:$N1421,J$1,FALSE)</f>
        <v>7.5</v>
      </c>
      <c r="K1278" t="str">
        <f>VLOOKUP($A1278,[1]Table!$A$2:$N1421,K$1,FALSE)</f>
        <v>mg/stuk</v>
      </c>
      <c r="L1278">
        <f>VLOOKUP($A1278,[1]Table!$A$2:$N1421,L$1,FALSE)</f>
        <v>7.5</v>
      </c>
      <c r="M1278" t="str">
        <f>VLOOKUP($A1278,[1]Table!$A$2:$N1421,M$1,FALSE)</f>
        <v>mg</v>
      </c>
      <c r="N1278" t="str">
        <f>VLOOKUP($A1278,[1]Table!$A$2:$N1421,N$1,FALSE)</f>
        <v>Profylaxe en behandeling van acute urekemie</v>
      </c>
      <c r="O1278" t="str">
        <f>ConcatenateRange(AZ1278:BU1278,"||")</f>
        <v/>
      </c>
      <c r="AZ1278" t="str">
        <f t="shared" si="462"/>
        <v/>
      </c>
      <c r="BA1278" t="str">
        <f t="shared" si="463"/>
        <v/>
      </c>
      <c r="BB1278" t="str">
        <f t="shared" si="464"/>
        <v/>
      </c>
      <c r="BC1278" t="str">
        <f t="shared" si="465"/>
        <v/>
      </c>
      <c r="BD1278" t="str">
        <f t="shared" si="466"/>
        <v/>
      </c>
      <c r="BE1278" t="str">
        <f t="shared" si="467"/>
        <v/>
      </c>
      <c r="BF1278" t="str">
        <f t="shared" si="468"/>
        <v/>
      </c>
      <c r="BG1278" t="str">
        <f t="shared" si="469"/>
        <v/>
      </c>
      <c r="BH1278" t="str">
        <f t="shared" si="470"/>
        <v/>
      </c>
      <c r="BI1278" t="str">
        <f t="shared" si="471"/>
        <v/>
      </c>
      <c r="BJ1278" t="str">
        <f t="shared" si="472"/>
        <v/>
      </c>
      <c r="BK1278" t="str">
        <f t="shared" si="473"/>
        <v/>
      </c>
      <c r="BL1278" t="str">
        <f t="shared" si="474"/>
        <v/>
      </c>
      <c r="BM1278" t="str">
        <f t="shared" si="475"/>
        <v/>
      </c>
      <c r="BN1278" t="str">
        <f t="shared" si="476"/>
        <v/>
      </c>
      <c r="BO1278" t="str">
        <f t="shared" si="477"/>
        <v/>
      </c>
      <c r="BP1278" t="str">
        <f t="shared" si="478"/>
        <v/>
      </c>
      <c r="BQ1278" t="str">
        <f t="shared" si="479"/>
        <v/>
      </c>
      <c r="BR1278" t="str">
        <f t="shared" si="480"/>
        <v/>
      </c>
      <c r="BS1278" t="str">
        <f t="shared" si="481"/>
        <v/>
      </c>
      <c r="BT1278" t="str">
        <f t="shared" si="482"/>
        <v/>
      </c>
      <c r="BU1278" t="str">
        <f t="shared" si="483"/>
        <v/>
      </c>
    </row>
    <row r="1279" spans="1:73">
      <c r="A1279" s="22">
        <v>98008943</v>
      </c>
      <c r="B1279" t="str">
        <f>VLOOKUP($A1279,[1]Table!$A$2:$N1729,B$1,FALSE)</f>
        <v>J05AB04</v>
      </c>
      <c r="C1279" t="str">
        <f>VLOOKUP($A1279,[1]Table!$A$2:$N1729,C$1,FALSE)</f>
        <v>ANTIVIRALE MIDDELEN VOOR SYSTEMISCH GEBRUIK</v>
      </c>
      <c r="D1279" t="str">
        <f>VLOOKUP($A1279,[1]Table!$A$2:$N1729,D$1,FALSE)</f>
        <v>DIRECT WERKENDE ANTIVIRALE MIDDELEN</v>
      </c>
      <c r="E1279" t="s">
        <v>91</v>
      </c>
      <c r="F1279" t="str">
        <f>VLOOKUP($A1279,[1]Table!$A$2:$N1729,F$1,FALSE)</f>
        <v>REBETOL 40 MG/ML 100 ML OPLOSSING</v>
      </c>
      <c r="G1279" t="str">
        <f>VLOOKUP($A1279,[1]Table!$A$2:$N1729,G$1,FALSE)</f>
        <v>REBETOL 40 MG/ML 100 ML OPL</v>
      </c>
      <c r="H1279" t="str">
        <f>VLOOKUP($A1279,[1]Table!$A$2:$N1729,H$1,FALSE)</f>
        <v>oplossing</v>
      </c>
      <c r="I1279" t="str">
        <f>VLOOKUP($A1279,[1]Table!$A$2:$N1729,I$1,FALSE)</f>
        <v>or</v>
      </c>
      <c r="J1279">
        <f>VLOOKUP($A1279,[1]Table!$A$2:$N1729,J$1,FALSE)</f>
        <v>40</v>
      </c>
      <c r="K1279" t="str">
        <f>VLOOKUP($A1279,[1]Table!$A$2:$N1729,K$1,FALSE)</f>
        <v>mg/ml</v>
      </c>
      <c r="L1279">
        <f>VLOOKUP($A1279,[1]Table!$A$2:$N1729,L$1,FALSE)</f>
        <v>40</v>
      </c>
      <c r="M1279" t="str">
        <f>VLOOKUP($A1279,[1]Table!$A$2:$N1729,M$1,FALSE)</f>
        <v>mg</v>
      </c>
      <c r="N1279" t="str">
        <f>VLOOKUP($A1279,[1]Table!$A$2:$N1729,N$1,FALSE)</f>
        <v>Chronische hepatitis C</v>
      </c>
      <c r="AZ1279" t="str">
        <f t="shared" si="462"/>
        <v/>
      </c>
      <c r="BA1279" t="str">
        <f t="shared" si="463"/>
        <v/>
      </c>
      <c r="BB1279" t="str">
        <f t="shared" si="464"/>
        <v/>
      </c>
      <c r="BC1279" t="str">
        <f t="shared" si="465"/>
        <v/>
      </c>
      <c r="BD1279" t="str">
        <f t="shared" si="466"/>
        <v/>
      </c>
      <c r="BE1279" t="str">
        <f t="shared" si="467"/>
        <v/>
      </c>
      <c r="BF1279" t="str">
        <f t="shared" si="468"/>
        <v/>
      </c>
      <c r="BG1279" t="str">
        <f t="shared" si="469"/>
        <v/>
      </c>
      <c r="BH1279" t="str">
        <f t="shared" si="470"/>
        <v/>
      </c>
      <c r="BI1279" t="str">
        <f t="shared" si="471"/>
        <v/>
      </c>
      <c r="BJ1279" t="str">
        <f t="shared" si="472"/>
        <v/>
      </c>
      <c r="BK1279" t="str">
        <f t="shared" si="473"/>
        <v/>
      </c>
      <c r="BL1279" t="str">
        <f t="shared" si="474"/>
        <v/>
      </c>
      <c r="BM1279" t="str">
        <f t="shared" si="475"/>
        <v/>
      </c>
      <c r="BN1279" t="str">
        <f t="shared" si="476"/>
        <v/>
      </c>
      <c r="BO1279" t="str">
        <f t="shared" si="477"/>
        <v/>
      </c>
      <c r="BP1279" t="str">
        <f t="shared" si="478"/>
        <v/>
      </c>
      <c r="BQ1279" t="str">
        <f t="shared" si="479"/>
        <v/>
      </c>
      <c r="BR1279" t="str">
        <f t="shared" si="480"/>
        <v/>
      </c>
      <c r="BS1279" t="str">
        <f t="shared" si="481"/>
        <v/>
      </c>
      <c r="BT1279" t="str">
        <f t="shared" si="482"/>
        <v/>
      </c>
      <c r="BU1279" t="str">
        <f t="shared" si="483"/>
        <v/>
      </c>
    </row>
    <row r="1280" spans="1:73">
      <c r="A1280" s="1">
        <v>100307</v>
      </c>
      <c r="B1280" t="str">
        <f>VLOOKUP($A1280,[1]Table!$A$2:$N1422,B$1,FALSE)</f>
        <v>N01AH06</v>
      </c>
      <c r="C1280" t="str">
        <f>VLOOKUP($A1280,[1]Table!$A$2:$N1422,C$1,FALSE)</f>
        <v>ANAESTHETICA</v>
      </c>
      <c r="D1280" t="str">
        <f>VLOOKUP($A1280,[1]Table!$A$2:$N1422,D$1,FALSE)</f>
        <v>ALGEMENE ANAESTHETICA</v>
      </c>
      <c r="E1280" t="str">
        <f>VLOOKUP($A1280,[1]Table!$A$2:$N1422,E$1,FALSE)</f>
        <v>REMIFENTANIL</v>
      </c>
      <c r="F1280" t="str">
        <f>VLOOKUP($A1280,[1]Table!$A$2:$N1422,F$1,FALSE)</f>
        <v>ULTIVA 1 MG INJPDR FLACON</v>
      </c>
      <c r="G1280" t="str">
        <f>VLOOKUP($A1280,[1]Table!$A$2:$N1422,G$1,FALSE)</f>
        <v>REMIFENTANIL 1MG INJPDR</v>
      </c>
      <c r="H1280" t="str">
        <f>VLOOKUP($A1280,[1]Table!$A$2:$N1422,H$1,FALSE)</f>
        <v>poeder voor injectievloeistof</v>
      </c>
      <c r="I1280" t="str">
        <f>VLOOKUP($A1280,[1]Table!$A$2:$N1422,I$1,FALSE)</f>
        <v>iv</v>
      </c>
      <c r="J1280">
        <f>VLOOKUP($A1280,[1]Table!$A$2:$N1422,J$1,FALSE)</f>
        <v>1</v>
      </c>
      <c r="K1280" t="str">
        <f>VLOOKUP($A1280,[1]Table!$A$2:$N1422,K$1,FALSE)</f>
        <v>mg/stuk</v>
      </c>
      <c r="L1280">
        <f>VLOOKUP($A1280,[1]Table!$A$2:$N1422,L$1,FALSE)</f>
        <v>1</v>
      </c>
      <c r="M1280" t="str">
        <f>VLOOKUP($A1280,[1]Table!$A$2:$N1422,M$1,FALSE)</f>
        <v>mg</v>
      </c>
      <c r="N1280" t="str">
        <f>VLOOKUP($A1280,[1]Table!$A$2:$N1422,N$1,FALSE)</f>
        <v>Pijnbestrijding, anesthesie</v>
      </c>
      <c r="O1280" t="str">
        <f>ConcatenateRange(AZ1280:BU1280,"||")</f>
        <v/>
      </c>
      <c r="AZ1280" t="str">
        <f t="shared" si="462"/>
        <v/>
      </c>
      <c r="BA1280" t="str">
        <f t="shared" si="463"/>
        <v/>
      </c>
      <c r="BB1280" t="str">
        <f t="shared" si="464"/>
        <v/>
      </c>
      <c r="BC1280" t="str">
        <f t="shared" si="465"/>
        <v/>
      </c>
      <c r="BD1280" t="str">
        <f t="shared" si="466"/>
        <v/>
      </c>
      <c r="BE1280" t="str">
        <f t="shared" si="467"/>
        <v/>
      </c>
      <c r="BF1280" t="str">
        <f t="shared" si="468"/>
        <v/>
      </c>
      <c r="BG1280" t="str">
        <f t="shared" si="469"/>
        <v/>
      </c>
      <c r="BH1280" t="str">
        <f t="shared" si="470"/>
        <v/>
      </c>
      <c r="BI1280" t="str">
        <f t="shared" si="471"/>
        <v/>
      </c>
      <c r="BJ1280" t="str">
        <f t="shared" si="472"/>
        <v/>
      </c>
      <c r="BK1280" t="str">
        <f t="shared" si="473"/>
        <v/>
      </c>
      <c r="BL1280" t="str">
        <f t="shared" si="474"/>
        <v/>
      </c>
      <c r="BM1280" t="str">
        <f t="shared" si="475"/>
        <v/>
      </c>
      <c r="BN1280" t="str">
        <f t="shared" si="476"/>
        <v/>
      </c>
      <c r="BO1280" t="str">
        <f t="shared" si="477"/>
        <v/>
      </c>
      <c r="BP1280" t="str">
        <f t="shared" si="478"/>
        <v/>
      </c>
      <c r="BQ1280" t="str">
        <f t="shared" si="479"/>
        <v/>
      </c>
      <c r="BR1280" t="str">
        <f t="shared" si="480"/>
        <v/>
      </c>
      <c r="BS1280" t="str">
        <f t="shared" si="481"/>
        <v/>
      </c>
      <c r="BT1280" t="str">
        <f t="shared" si="482"/>
        <v/>
      </c>
      <c r="BU1280" t="str">
        <f t="shared" si="483"/>
        <v/>
      </c>
    </row>
    <row r="1281" spans="1:73">
      <c r="A1281" s="1">
        <v>100315</v>
      </c>
      <c r="B1281" t="str">
        <f>VLOOKUP($A1281,[1]Table!$A$2:$N1423,B$1,FALSE)</f>
        <v>N01AH06</v>
      </c>
      <c r="C1281" t="str">
        <f>VLOOKUP($A1281,[1]Table!$A$2:$N1423,C$1,FALSE)</f>
        <v>ANAESTHETICA</v>
      </c>
      <c r="D1281" t="str">
        <f>VLOOKUP($A1281,[1]Table!$A$2:$N1423,D$1,FALSE)</f>
        <v>ALGEMENE ANAESTHETICA</v>
      </c>
      <c r="E1281" t="str">
        <f>VLOOKUP($A1281,[1]Table!$A$2:$N1423,E$1,FALSE)</f>
        <v>REMIFENTANIL</v>
      </c>
      <c r="F1281" t="str">
        <f>VLOOKUP($A1281,[1]Table!$A$2:$N1423,F$1,FALSE)</f>
        <v>ULTIVA 2 MG INJPDR FLACON</v>
      </c>
      <c r="G1281" t="str">
        <f>VLOOKUP($A1281,[1]Table!$A$2:$N1423,G$1,FALSE)</f>
        <v>REMIFENTANIL 2MG INJPDR</v>
      </c>
      <c r="H1281" t="str">
        <f>VLOOKUP($A1281,[1]Table!$A$2:$N1423,H$1,FALSE)</f>
        <v>poeder voor injectievloeistof</v>
      </c>
      <c r="I1281" t="str">
        <f>VLOOKUP($A1281,[1]Table!$A$2:$N1423,I$1,FALSE)</f>
        <v>iv</v>
      </c>
      <c r="J1281">
        <f>VLOOKUP($A1281,[1]Table!$A$2:$N1423,J$1,FALSE)</f>
        <v>2</v>
      </c>
      <c r="K1281" t="str">
        <f>VLOOKUP($A1281,[1]Table!$A$2:$N1423,K$1,FALSE)</f>
        <v>mg/stuk</v>
      </c>
      <c r="L1281">
        <f>VLOOKUP($A1281,[1]Table!$A$2:$N1423,L$1,FALSE)</f>
        <v>2</v>
      </c>
      <c r="M1281" t="str">
        <f>VLOOKUP($A1281,[1]Table!$A$2:$N1423,M$1,FALSE)</f>
        <v>mg</v>
      </c>
      <c r="N1281" t="str">
        <f>VLOOKUP($A1281,[1]Table!$A$2:$N1423,N$1,FALSE)</f>
        <v>Pijnbestrijding, anesthesie</v>
      </c>
      <c r="O1281" t="str">
        <f>ConcatenateRange(AZ1281:BU1281,"||")</f>
        <v/>
      </c>
      <c r="AZ1281" t="str">
        <f t="shared" si="462"/>
        <v/>
      </c>
      <c r="BA1281" t="str">
        <f t="shared" si="463"/>
        <v/>
      </c>
      <c r="BB1281" t="str">
        <f t="shared" si="464"/>
        <v/>
      </c>
      <c r="BC1281" t="str">
        <f t="shared" si="465"/>
        <v/>
      </c>
      <c r="BD1281" t="str">
        <f t="shared" si="466"/>
        <v/>
      </c>
      <c r="BE1281" t="str">
        <f t="shared" si="467"/>
        <v/>
      </c>
      <c r="BF1281" t="str">
        <f t="shared" si="468"/>
        <v/>
      </c>
      <c r="BG1281" t="str">
        <f t="shared" si="469"/>
        <v/>
      </c>
      <c r="BH1281" t="str">
        <f t="shared" si="470"/>
        <v/>
      </c>
      <c r="BI1281" t="str">
        <f t="shared" si="471"/>
        <v/>
      </c>
      <c r="BJ1281" t="str">
        <f t="shared" si="472"/>
        <v/>
      </c>
      <c r="BK1281" t="str">
        <f t="shared" si="473"/>
        <v/>
      </c>
      <c r="BL1281" t="str">
        <f t="shared" si="474"/>
        <v/>
      </c>
      <c r="BM1281" t="str">
        <f t="shared" si="475"/>
        <v/>
      </c>
      <c r="BN1281" t="str">
        <f t="shared" si="476"/>
        <v/>
      </c>
      <c r="BO1281" t="str">
        <f t="shared" si="477"/>
        <v/>
      </c>
      <c r="BP1281" t="str">
        <f t="shared" si="478"/>
        <v/>
      </c>
      <c r="BQ1281" t="str">
        <f t="shared" si="479"/>
        <v/>
      </c>
      <c r="BR1281" t="str">
        <f t="shared" si="480"/>
        <v/>
      </c>
      <c r="BS1281" t="str">
        <f t="shared" si="481"/>
        <v/>
      </c>
      <c r="BT1281" t="str">
        <f t="shared" si="482"/>
        <v/>
      </c>
      <c r="BU1281" t="str">
        <f t="shared" si="483"/>
        <v/>
      </c>
    </row>
    <row r="1282" spans="1:73">
      <c r="A1282" s="1">
        <v>100323</v>
      </c>
      <c r="B1282" t="str">
        <f>VLOOKUP($A1282,[1]Table!$A$2:$N1424,B$1,FALSE)</f>
        <v>N01AH06</v>
      </c>
      <c r="C1282" t="str">
        <f>VLOOKUP($A1282,[1]Table!$A$2:$N1424,C$1,FALSE)</f>
        <v>ANAESTHETICA</v>
      </c>
      <c r="D1282" t="str">
        <f>VLOOKUP($A1282,[1]Table!$A$2:$N1424,D$1,FALSE)</f>
        <v>ALGEMENE ANAESTHETICA</v>
      </c>
      <c r="E1282" t="str">
        <f>VLOOKUP($A1282,[1]Table!$A$2:$N1424,E$1,FALSE)</f>
        <v>REMIFENTANIL</v>
      </c>
      <c r="F1282" t="str">
        <f>VLOOKUP($A1282,[1]Table!$A$2:$N1424,F$1,FALSE)</f>
        <v>ULTIVA 5 MG INJPDR FLACON</v>
      </c>
      <c r="G1282" t="str">
        <f>VLOOKUP($A1282,[1]Table!$A$2:$N1424,G$1,FALSE)</f>
        <v>REMIFENTANIL 5MG INJPDR</v>
      </c>
      <c r="H1282" t="str">
        <f>VLOOKUP($A1282,[1]Table!$A$2:$N1424,H$1,FALSE)</f>
        <v>poeder voor injectievloeistof</v>
      </c>
      <c r="I1282" t="str">
        <f>VLOOKUP($A1282,[1]Table!$A$2:$N1424,I$1,FALSE)</f>
        <v>iv</v>
      </c>
      <c r="J1282">
        <f>VLOOKUP($A1282,[1]Table!$A$2:$N1424,J$1,FALSE)</f>
        <v>5</v>
      </c>
      <c r="K1282" t="str">
        <f>VLOOKUP($A1282,[1]Table!$A$2:$N1424,K$1,FALSE)</f>
        <v>mg/stuk</v>
      </c>
      <c r="L1282">
        <f>VLOOKUP($A1282,[1]Table!$A$2:$N1424,L$1,FALSE)</f>
        <v>5</v>
      </c>
      <c r="M1282" t="str">
        <f>VLOOKUP($A1282,[1]Table!$A$2:$N1424,M$1,FALSE)</f>
        <v>mg</v>
      </c>
      <c r="N1282" t="str">
        <f>VLOOKUP($A1282,[1]Table!$A$2:$N1424,N$1,FALSE)</f>
        <v>Pijnbestrijding, anesthesie</v>
      </c>
      <c r="O1282" t="str">
        <f>ConcatenateRange(AZ1282:BU1282,"||")</f>
        <v/>
      </c>
      <c r="AZ1282" t="str">
        <f t="shared" si="462"/>
        <v/>
      </c>
      <c r="BA1282" t="str">
        <f t="shared" si="463"/>
        <v/>
      </c>
      <c r="BB1282" t="str">
        <f t="shared" si="464"/>
        <v/>
      </c>
      <c r="BC1282" t="str">
        <f t="shared" si="465"/>
        <v/>
      </c>
      <c r="BD1282" t="str">
        <f t="shared" si="466"/>
        <v/>
      </c>
      <c r="BE1282" t="str">
        <f t="shared" si="467"/>
        <v/>
      </c>
      <c r="BF1282" t="str">
        <f t="shared" si="468"/>
        <v/>
      </c>
      <c r="BG1282" t="str">
        <f t="shared" si="469"/>
        <v/>
      </c>
      <c r="BH1282" t="str">
        <f t="shared" si="470"/>
        <v/>
      </c>
      <c r="BI1282" t="str">
        <f t="shared" si="471"/>
        <v/>
      </c>
      <c r="BJ1282" t="str">
        <f t="shared" si="472"/>
        <v/>
      </c>
      <c r="BK1282" t="str">
        <f t="shared" si="473"/>
        <v/>
      </c>
      <c r="BL1282" t="str">
        <f t="shared" si="474"/>
        <v/>
      </c>
      <c r="BM1282" t="str">
        <f t="shared" si="475"/>
        <v/>
      </c>
      <c r="BN1282" t="str">
        <f t="shared" si="476"/>
        <v/>
      </c>
      <c r="BO1282" t="str">
        <f t="shared" si="477"/>
        <v/>
      </c>
      <c r="BP1282" t="str">
        <f t="shared" si="478"/>
        <v/>
      </c>
      <c r="BQ1282" t="str">
        <f t="shared" si="479"/>
        <v/>
      </c>
      <c r="BR1282" t="str">
        <f t="shared" si="480"/>
        <v/>
      </c>
      <c r="BS1282" t="str">
        <f t="shared" si="481"/>
        <v/>
      </c>
      <c r="BT1282" t="str">
        <f t="shared" si="482"/>
        <v/>
      </c>
      <c r="BU1282" t="str">
        <f t="shared" si="483"/>
        <v/>
      </c>
    </row>
    <row r="1283" spans="1:73">
      <c r="A1283" s="1">
        <v>120375</v>
      </c>
      <c r="B1283" t="str">
        <f>VLOOKUP($A1283,[1]Table!$A$2:$N1425,B$1,FALSE)</f>
        <v>A11CA01</v>
      </c>
      <c r="C1283" t="str">
        <f>VLOOKUP($A1283,[1]Table!$A$2:$N1425,C$1,FALSE)</f>
        <v>VITAMINEN</v>
      </c>
      <c r="D1283" t="str">
        <f>VLOOKUP($A1283,[1]Table!$A$2:$N1425,D$1,FALSE)</f>
        <v>VITAMINEN A EN D, INCLUSIEF COMBINATIES VAN DEZE TWEE</v>
      </c>
      <c r="E1283" t="str">
        <f>VLOOKUP($A1283,[1]Table!$A$2:$N1425,E$1,FALSE)</f>
        <v>RETINOL</v>
      </c>
      <c r="F1283" t="str">
        <f>VLOOKUP($A1283,[1]Table!$A$2:$N1425,F$1,FALSE)</f>
        <v>VITAMINE A 50000 IE/ML DRANK 10ML ( WATERIG )</v>
      </c>
      <c r="G1283" t="str">
        <f>VLOOKUP($A1283,[1]Table!$A$2:$N1425,G$1,FALSE)</f>
        <v>RETINOL 50.000IE/ML DRANK</v>
      </c>
      <c r="H1283" t="str">
        <f>VLOOKUP($A1283,[1]Table!$A$2:$N1425,H$1,FALSE)</f>
        <v>drank</v>
      </c>
      <c r="I1283" t="str">
        <f>VLOOKUP($A1283,[1]Table!$A$2:$N1425,I$1,FALSE)</f>
        <v>or</v>
      </c>
      <c r="J1283">
        <f>VLOOKUP($A1283,[1]Table!$A$2:$N1425,J$1,FALSE)</f>
        <v>50000</v>
      </c>
      <c r="K1283" t="str">
        <f>VLOOKUP($A1283,[1]Table!$A$2:$N1425,K$1,FALSE)</f>
        <v>IE/ml</v>
      </c>
      <c r="L1283">
        <f>VLOOKUP($A1283,[1]Table!$A$2:$N1425,L$1,FALSE)</f>
        <v>50000</v>
      </c>
      <c r="M1283" t="str">
        <f>VLOOKUP($A1283,[1]Table!$A$2:$N1425,M$1,FALSE)</f>
        <v>IE</v>
      </c>
      <c r="N1283" t="str">
        <f>VLOOKUP($A1283,[1]Table!$A$2:$N1425,N$1,FALSE)</f>
        <v xml:space="preserve">Deficientie||Onderhoudsbehoefte||Suppletie bij cystische fibrose||Mazelen, xerophthalmia, reductie mortaliteit en morbiditeit </v>
      </c>
      <c r="O1283" t="str">
        <f>ConcatenateRange(AZ1283:BU1283,"||")</f>
        <v/>
      </c>
      <c r="AZ1283" t="str">
        <f t="shared" si="462"/>
        <v/>
      </c>
      <c r="BA1283" t="str">
        <f t="shared" si="463"/>
        <v/>
      </c>
      <c r="BB1283" t="str">
        <f t="shared" si="464"/>
        <v/>
      </c>
      <c r="BC1283" t="str">
        <f t="shared" si="465"/>
        <v/>
      </c>
      <c r="BD1283" t="str">
        <f t="shared" si="466"/>
        <v/>
      </c>
      <c r="BE1283" t="str">
        <f t="shared" si="467"/>
        <v/>
      </c>
      <c r="BF1283" t="str">
        <f t="shared" si="468"/>
        <v/>
      </c>
      <c r="BG1283" t="str">
        <f t="shared" si="469"/>
        <v/>
      </c>
      <c r="BH1283" t="str">
        <f t="shared" si="470"/>
        <v/>
      </c>
      <c r="BI1283" t="str">
        <f t="shared" si="471"/>
        <v/>
      </c>
      <c r="BJ1283" t="str">
        <f t="shared" si="472"/>
        <v/>
      </c>
      <c r="BK1283" t="str">
        <f t="shared" si="473"/>
        <v/>
      </c>
      <c r="BL1283" t="str">
        <f t="shared" si="474"/>
        <v/>
      </c>
      <c r="BM1283" t="str">
        <f t="shared" si="475"/>
        <v/>
      </c>
      <c r="BN1283" t="str">
        <f t="shared" si="476"/>
        <v/>
      </c>
      <c r="BO1283" t="str">
        <f t="shared" si="477"/>
        <v/>
      </c>
      <c r="BP1283" t="str">
        <f t="shared" si="478"/>
        <v/>
      </c>
      <c r="BQ1283" t="str">
        <f t="shared" si="479"/>
        <v/>
      </c>
      <c r="BR1283" t="str">
        <f t="shared" si="480"/>
        <v/>
      </c>
      <c r="BS1283" t="str">
        <f t="shared" si="481"/>
        <v/>
      </c>
      <c r="BT1283" t="str">
        <f t="shared" si="482"/>
        <v/>
      </c>
      <c r="BU1283" t="str">
        <f t="shared" si="483"/>
        <v/>
      </c>
    </row>
    <row r="1284" spans="1:73">
      <c r="A1284" s="1">
        <v>96946</v>
      </c>
      <c r="B1284" t="str">
        <f>VLOOKUP($A1284,[1]Table!$A$2:$N1426,B$1,FALSE)</f>
        <v>J06BB01</v>
      </c>
      <c r="C1284" t="str">
        <f>VLOOKUP($A1284,[1]Table!$A$2:$N1426,C$1,FALSE)</f>
        <v>SERA EN IMMUNOGLOBULINEN</v>
      </c>
      <c r="D1284" t="str">
        <f>VLOOKUP($A1284,[1]Table!$A$2:$N1426,D$1,FALSE)</f>
        <v>IMMUNOGLOBULINEN</v>
      </c>
      <c r="E1284" t="str">
        <f>VLOOKUP($A1284,[1]Table!$A$2:$N1426,E$1,FALSE)</f>
        <v>RHESUS(D)IMMUNOGLOBULINE</v>
      </c>
      <c r="F1284" t="str">
        <f>VLOOKUP($A1284,[1]Table!$A$2:$N1426,F$1,FALSE)</f>
        <v>RHEDQUIN (ANTIRH D IMMUNOGLOB) 375IE/ST</v>
      </c>
      <c r="G1284" t="str">
        <f>VLOOKUP($A1284,[1]Table!$A$2:$N1426,G$1,FALSE)</f>
        <v>RHESUS(D)IMMU 187,5IE/ML IN</v>
      </c>
      <c r="H1284" t="str">
        <f>VLOOKUP($A1284,[1]Table!$A$2:$N1426,H$1,FALSE)</f>
        <v>injectievloeistof</v>
      </c>
      <c r="I1284" t="str">
        <f>VLOOKUP($A1284,[1]Table!$A$2:$N1426,I$1,FALSE)</f>
        <v>im</v>
      </c>
      <c r="J1284">
        <f>VLOOKUP($A1284,[1]Table!$A$2:$N1426,J$1,FALSE)</f>
        <v>187.5</v>
      </c>
      <c r="K1284" t="str">
        <f>VLOOKUP($A1284,[1]Table!$A$2:$N1426,K$1,FALSE)</f>
        <v>IE/ml</v>
      </c>
      <c r="L1284">
        <f>VLOOKUP($A1284,[1]Table!$A$2:$N1426,L$1,FALSE)</f>
        <v>187.5</v>
      </c>
      <c r="M1284" t="str">
        <f>VLOOKUP($A1284,[1]Table!$A$2:$N1426,M$1,FALSE)</f>
        <v>IE</v>
      </c>
      <c r="N1284" t="str">
        <f>VLOOKUP($A1284,[1]Table!$A$2:$N1426,N$1,FALSE)</f>
        <v>Incompatibele transfusie met rode bloedcellen</v>
      </c>
      <c r="O1284" t="str">
        <f>ConcatenateRange(AZ1284:BU1284,"||")</f>
        <v/>
      </c>
      <c r="AZ1284" t="str">
        <f t="shared" si="462"/>
        <v/>
      </c>
      <c r="BA1284" t="str">
        <f t="shared" si="463"/>
        <v/>
      </c>
      <c r="BB1284" t="str">
        <f t="shared" si="464"/>
        <v/>
      </c>
      <c r="BC1284" t="str">
        <f t="shared" si="465"/>
        <v/>
      </c>
      <c r="BD1284" t="str">
        <f t="shared" si="466"/>
        <v/>
      </c>
      <c r="BE1284" t="str">
        <f t="shared" si="467"/>
        <v/>
      </c>
      <c r="BF1284" t="str">
        <f t="shared" si="468"/>
        <v/>
      </c>
      <c r="BG1284" t="str">
        <f t="shared" si="469"/>
        <v/>
      </c>
      <c r="BH1284" t="str">
        <f t="shared" si="470"/>
        <v/>
      </c>
      <c r="BI1284" t="str">
        <f t="shared" si="471"/>
        <v/>
      </c>
      <c r="BJ1284" t="str">
        <f t="shared" si="472"/>
        <v/>
      </c>
      <c r="BK1284" t="str">
        <f t="shared" si="473"/>
        <v/>
      </c>
      <c r="BL1284" t="str">
        <f t="shared" si="474"/>
        <v/>
      </c>
      <c r="BM1284" t="str">
        <f t="shared" si="475"/>
        <v/>
      </c>
      <c r="BN1284" t="str">
        <f t="shared" si="476"/>
        <v/>
      </c>
      <c r="BO1284" t="str">
        <f t="shared" si="477"/>
        <v/>
      </c>
      <c r="BP1284" t="str">
        <f t="shared" si="478"/>
        <v/>
      </c>
      <c r="BQ1284" t="str">
        <f t="shared" si="479"/>
        <v/>
      </c>
      <c r="BR1284" t="str">
        <f t="shared" si="480"/>
        <v/>
      </c>
      <c r="BS1284" t="str">
        <f t="shared" si="481"/>
        <v/>
      </c>
      <c r="BT1284" t="str">
        <f t="shared" si="482"/>
        <v/>
      </c>
      <c r="BU1284" t="str">
        <f t="shared" si="483"/>
        <v/>
      </c>
    </row>
    <row r="1285" spans="1:73">
      <c r="A1285" s="1">
        <v>75191</v>
      </c>
      <c r="B1285" t="str">
        <f>VLOOKUP($A1285,[1]Table!$A$2:$N1427,B$1,FALSE)</f>
        <v>J06BB01</v>
      </c>
      <c r="C1285" t="str">
        <f>VLOOKUP($A1285,[1]Table!$A$2:$N1427,C$1,FALSE)</f>
        <v>SERA EN IMMUNOGLOBULINEN</v>
      </c>
      <c r="D1285" t="str">
        <f>VLOOKUP($A1285,[1]Table!$A$2:$N1427,D$1,FALSE)</f>
        <v>IMMUNOGLOBULINEN</v>
      </c>
      <c r="E1285" t="str">
        <f>VLOOKUP($A1285,[1]Table!$A$2:$N1427,E$1,FALSE)</f>
        <v>RHESUS(D)IMMUNOGLOBULINE</v>
      </c>
      <c r="F1285" t="str">
        <f>VLOOKUP($A1285,[1]Table!$A$2:$N1427,F$1,FALSE)</f>
        <v>RHEDQUIN (ANTIRHESUS D IMMUNOGLOB)1000IE</v>
      </c>
      <c r="G1285" t="str">
        <f>VLOOKUP($A1285,[1]Table!$A$2:$N1427,G$1,FALSE)</f>
        <v>RHESUS(D)IMMU 50OIE/ML INJ</v>
      </c>
      <c r="H1285" t="str">
        <f>VLOOKUP($A1285,[1]Table!$A$2:$N1427,H$1,FALSE)</f>
        <v>injectievloeistof</v>
      </c>
      <c r="I1285" t="str">
        <f>VLOOKUP($A1285,[1]Table!$A$2:$N1427,I$1,FALSE)</f>
        <v>im||iv</v>
      </c>
      <c r="J1285">
        <f>VLOOKUP($A1285,[1]Table!$A$2:$N1427,J$1,FALSE)</f>
        <v>500</v>
      </c>
      <c r="K1285" t="str">
        <f>VLOOKUP($A1285,[1]Table!$A$2:$N1427,K$1,FALSE)</f>
        <v>IE/ml</v>
      </c>
      <c r="L1285">
        <f>VLOOKUP($A1285,[1]Table!$A$2:$N1427,L$1,FALSE)</f>
        <v>500</v>
      </c>
      <c r="M1285" t="str">
        <f>VLOOKUP($A1285,[1]Table!$A$2:$N1427,M$1,FALSE)</f>
        <v>IE</v>
      </c>
      <c r="N1285" t="str">
        <f>VLOOKUP($A1285,[1]Table!$A$2:$N1427,N$1,FALSE)</f>
        <v>Incompatibele transfusie met rode bloedcellen</v>
      </c>
      <c r="O1285" t="str">
        <f>ConcatenateRange(AZ1285:BU1285,"||")</f>
        <v/>
      </c>
      <c r="AZ1285" t="str">
        <f t="shared" si="462"/>
        <v/>
      </c>
      <c r="BA1285" t="str">
        <f t="shared" si="463"/>
        <v/>
      </c>
      <c r="BB1285" t="str">
        <f t="shared" si="464"/>
        <v/>
      </c>
      <c r="BC1285" t="str">
        <f t="shared" si="465"/>
        <v/>
      </c>
      <c r="BD1285" t="str">
        <f t="shared" si="466"/>
        <v/>
      </c>
      <c r="BE1285" t="str">
        <f t="shared" si="467"/>
        <v/>
      </c>
      <c r="BF1285" t="str">
        <f t="shared" si="468"/>
        <v/>
      </c>
      <c r="BG1285" t="str">
        <f t="shared" si="469"/>
        <v/>
      </c>
      <c r="BH1285" t="str">
        <f t="shared" si="470"/>
        <v/>
      </c>
      <c r="BI1285" t="str">
        <f t="shared" si="471"/>
        <v/>
      </c>
      <c r="BJ1285" t="str">
        <f t="shared" si="472"/>
        <v/>
      </c>
      <c r="BK1285" t="str">
        <f t="shared" si="473"/>
        <v/>
      </c>
      <c r="BL1285" t="str">
        <f t="shared" si="474"/>
        <v/>
      </c>
      <c r="BM1285" t="str">
        <f t="shared" si="475"/>
        <v/>
      </c>
      <c r="BN1285" t="str">
        <f t="shared" si="476"/>
        <v/>
      </c>
      <c r="BO1285" t="str">
        <f t="shared" si="477"/>
        <v/>
      </c>
      <c r="BP1285" t="str">
        <f t="shared" si="478"/>
        <v/>
      </c>
      <c r="BQ1285" t="str">
        <f t="shared" si="479"/>
        <v/>
      </c>
      <c r="BR1285" t="str">
        <f t="shared" si="480"/>
        <v/>
      </c>
      <c r="BS1285" t="str">
        <f t="shared" si="481"/>
        <v/>
      </c>
      <c r="BT1285" t="str">
        <f t="shared" si="482"/>
        <v/>
      </c>
      <c r="BU1285" t="str">
        <f t="shared" si="483"/>
        <v/>
      </c>
    </row>
    <row r="1286" spans="1:73">
      <c r="A1286" s="1">
        <v>105600</v>
      </c>
      <c r="B1286" t="str">
        <f>VLOOKUP($A1286,[1]Table!$A$2:$N1428,B$1,FALSE)</f>
        <v>J05AB04</v>
      </c>
      <c r="C1286" t="str">
        <f>VLOOKUP($A1286,[1]Table!$A$2:$N1428,C$1,FALSE)</f>
        <v>ANTIVIRALE MIDDELEN VOOR SYSTEMISCH GEBRUIK</v>
      </c>
      <c r="D1286" t="str">
        <f>VLOOKUP($A1286,[1]Table!$A$2:$N1428,D$1,FALSE)</f>
        <v>DIRECT WERKENDE ANTIVIRALE MIDDELEN</v>
      </c>
      <c r="E1286" t="str">
        <f>VLOOKUP($A1286,[1]Table!$A$2:$N1428,E$1,FALSE)</f>
        <v>RIBAVIRINE</v>
      </c>
      <c r="F1286" t="str">
        <f>VLOOKUP($A1286,[1]Table!$A$2:$N1428,F$1,FALSE)</f>
        <v>VIRAZOLE 100 MG/ML CONC VOOR INFUSIEOPLOSSING 12 ML</v>
      </c>
      <c r="G1286" t="str">
        <f>VLOOKUP($A1286,[1]Table!$A$2:$N1428,G$1,FALSE)</f>
        <v>RIBAVIRINE 100MG/ML INFCONC</v>
      </c>
      <c r="H1286" t="str">
        <f>VLOOKUP($A1286,[1]Table!$A$2:$N1428,H$1,FALSE)</f>
        <v>concentraat voor oplossing voor infusie</v>
      </c>
      <c r="I1286" t="str">
        <f>VLOOKUP($A1286,[1]Table!$A$2:$N1428,I$1,FALSE)</f>
        <v>iv</v>
      </c>
      <c r="J1286">
        <f>VLOOKUP($A1286,[1]Table!$A$2:$N1428,J$1,FALSE)</f>
        <v>100</v>
      </c>
      <c r="K1286" t="str">
        <f>VLOOKUP($A1286,[1]Table!$A$2:$N1428,K$1,FALSE)</f>
        <v>mg/ml</v>
      </c>
      <c r="L1286">
        <f>VLOOKUP($A1286,[1]Table!$A$2:$N1428,L$1,FALSE)</f>
        <v>100</v>
      </c>
      <c r="M1286" t="str">
        <f>VLOOKUP($A1286,[1]Table!$A$2:$N1428,M$1,FALSE)</f>
        <v>mg</v>
      </c>
      <c r="N1286" t="str">
        <f>VLOOKUP($A1286,[1]Table!$A$2:$N1428,N$1,FALSE)</f>
        <v>Chronische hepatitis C</v>
      </c>
      <c r="O1286" t="str">
        <f>ConcatenateRange(AZ1286:BU1286,"||")</f>
        <v/>
      </c>
      <c r="AZ1286" t="str">
        <f t="shared" si="462"/>
        <v/>
      </c>
      <c r="BA1286" t="str">
        <f t="shared" si="463"/>
        <v/>
      </c>
      <c r="BB1286" t="str">
        <f t="shared" si="464"/>
        <v/>
      </c>
      <c r="BC1286" t="str">
        <f t="shared" si="465"/>
        <v/>
      </c>
      <c r="BD1286" t="str">
        <f t="shared" si="466"/>
        <v/>
      </c>
      <c r="BE1286" t="str">
        <f t="shared" si="467"/>
        <v/>
      </c>
      <c r="BF1286" t="str">
        <f t="shared" si="468"/>
        <v/>
      </c>
      <c r="BG1286" t="str">
        <f t="shared" si="469"/>
        <v/>
      </c>
      <c r="BH1286" t="str">
        <f t="shared" si="470"/>
        <v/>
      </c>
      <c r="BI1286" t="str">
        <f t="shared" si="471"/>
        <v/>
      </c>
      <c r="BJ1286" t="str">
        <f t="shared" si="472"/>
        <v/>
      </c>
      <c r="BK1286" t="str">
        <f t="shared" si="473"/>
        <v/>
      </c>
      <c r="BL1286" t="str">
        <f t="shared" si="474"/>
        <v/>
      </c>
      <c r="BM1286" t="str">
        <f t="shared" si="475"/>
        <v/>
      </c>
      <c r="BN1286" t="str">
        <f t="shared" si="476"/>
        <v/>
      </c>
      <c r="BO1286" t="str">
        <f t="shared" si="477"/>
        <v/>
      </c>
      <c r="BP1286" t="str">
        <f t="shared" si="478"/>
        <v/>
      </c>
      <c r="BQ1286" t="str">
        <f t="shared" si="479"/>
        <v/>
      </c>
      <c r="BR1286" t="str">
        <f t="shared" si="480"/>
        <v/>
      </c>
      <c r="BS1286" t="str">
        <f t="shared" si="481"/>
        <v/>
      </c>
      <c r="BT1286" t="str">
        <f t="shared" si="482"/>
        <v/>
      </c>
      <c r="BU1286" t="str">
        <f t="shared" si="483"/>
        <v/>
      </c>
    </row>
    <row r="1287" spans="1:73">
      <c r="A1287" s="1">
        <v>115452</v>
      </c>
      <c r="B1287" t="str">
        <f>VLOOKUP($A1287,[1]Table!$A$2:$N1429,B$1,FALSE)</f>
        <v>J05AB04</v>
      </c>
      <c r="C1287" t="str">
        <f>VLOOKUP($A1287,[1]Table!$A$2:$N1429,C$1,FALSE)</f>
        <v>ANTIVIRALE MIDDELEN VOOR SYSTEMISCH GEBRUIK</v>
      </c>
      <c r="D1287" t="str">
        <f>VLOOKUP($A1287,[1]Table!$A$2:$N1429,D$1,FALSE)</f>
        <v>DIRECT WERKENDE ANTIVIRALE MIDDELEN</v>
      </c>
      <c r="E1287" t="str">
        <f>VLOOKUP($A1287,[1]Table!$A$2:$N1429,E$1,FALSE)</f>
        <v>RIBAVIRINE</v>
      </c>
      <c r="F1287" t="str">
        <f>VLOOKUP($A1287,[1]Table!$A$2:$N1429,F$1,FALSE)</f>
        <v>RIBAVIRINE 200 MG TABLET FILMOMHULD</v>
      </c>
      <c r="G1287" t="str">
        <f>VLOOKUP($A1287,[1]Table!$A$2:$N1429,G$1,FALSE)</f>
        <v>RIBAVIRINE 200MG TABLET FO</v>
      </c>
      <c r="H1287" t="str">
        <f>VLOOKUP($A1287,[1]Table!$A$2:$N1429,H$1,FALSE)</f>
        <v>filmomhulde tablet</v>
      </c>
      <c r="I1287" t="str">
        <f>VLOOKUP($A1287,[1]Table!$A$2:$N1429,I$1,FALSE)</f>
        <v>or</v>
      </c>
      <c r="J1287">
        <f>VLOOKUP($A1287,[1]Table!$A$2:$N1429,J$1,FALSE)</f>
        <v>200</v>
      </c>
      <c r="K1287" t="str">
        <f>VLOOKUP($A1287,[1]Table!$A$2:$N1429,K$1,FALSE)</f>
        <v>mg/stuk</v>
      </c>
      <c r="L1287">
        <f>VLOOKUP($A1287,[1]Table!$A$2:$N1429,L$1,FALSE)</f>
        <v>200</v>
      </c>
      <c r="M1287" t="str">
        <f>VLOOKUP($A1287,[1]Table!$A$2:$N1429,M$1,FALSE)</f>
        <v>mg</v>
      </c>
      <c r="N1287" t="str">
        <f>VLOOKUP($A1287,[1]Table!$A$2:$N1429,N$1,FALSE)</f>
        <v>Chronische hepatitis C</v>
      </c>
      <c r="O1287" t="str">
        <f>ConcatenateRange(AZ1287:BU1287,"||")</f>
        <v/>
      </c>
      <c r="AZ1287" t="str">
        <f t="shared" si="462"/>
        <v/>
      </c>
      <c r="BA1287" t="str">
        <f t="shared" si="463"/>
        <v/>
      </c>
      <c r="BB1287" t="str">
        <f t="shared" si="464"/>
        <v/>
      </c>
      <c r="BC1287" t="str">
        <f t="shared" si="465"/>
        <v/>
      </c>
      <c r="BD1287" t="str">
        <f t="shared" si="466"/>
        <v/>
      </c>
      <c r="BE1287" t="str">
        <f t="shared" si="467"/>
        <v/>
      </c>
      <c r="BF1287" t="str">
        <f t="shared" si="468"/>
        <v/>
      </c>
      <c r="BG1287" t="str">
        <f t="shared" si="469"/>
        <v/>
      </c>
      <c r="BH1287" t="str">
        <f t="shared" si="470"/>
        <v/>
      </c>
      <c r="BI1287" t="str">
        <f t="shared" si="471"/>
        <v/>
      </c>
      <c r="BJ1287" t="str">
        <f t="shared" si="472"/>
        <v/>
      </c>
      <c r="BK1287" t="str">
        <f t="shared" si="473"/>
        <v/>
      </c>
      <c r="BL1287" t="str">
        <f t="shared" si="474"/>
        <v/>
      </c>
      <c r="BM1287" t="str">
        <f t="shared" si="475"/>
        <v/>
      </c>
      <c r="BN1287" t="str">
        <f t="shared" si="476"/>
        <v/>
      </c>
      <c r="BO1287" t="str">
        <f t="shared" si="477"/>
        <v/>
      </c>
      <c r="BP1287" t="str">
        <f t="shared" si="478"/>
        <v/>
      </c>
      <c r="BQ1287" t="str">
        <f t="shared" si="479"/>
        <v/>
      </c>
      <c r="BR1287" t="str">
        <f t="shared" si="480"/>
        <v/>
      </c>
      <c r="BS1287" t="str">
        <f t="shared" si="481"/>
        <v/>
      </c>
      <c r="BT1287" t="str">
        <f t="shared" si="482"/>
        <v/>
      </c>
      <c r="BU1287" t="str">
        <f t="shared" si="483"/>
        <v/>
      </c>
    </row>
    <row r="1288" spans="1:73">
      <c r="A1288" s="22">
        <v>98064789</v>
      </c>
      <c r="B1288" t="str">
        <f>VLOOKUP($A1288,[1]Table!$A$2:$N1731,B$1,FALSE)</f>
        <v>J05AB04</v>
      </c>
      <c r="C1288" t="str">
        <f>VLOOKUP($A1288,[1]Table!$A$2:$N1731,C$1,FALSE)</f>
        <v>ANTIVIRALE MIDDELEN VOOR SYSTEMISCH GEBRUIK</v>
      </c>
      <c r="D1288" t="str">
        <f>VLOOKUP($A1288,[1]Table!$A$2:$N1731,D$1,FALSE)</f>
        <v>DIRECT WERKENDE ANTIVIRALE MIDDELEN</v>
      </c>
      <c r="E1288" t="s">
        <v>93</v>
      </c>
      <c r="F1288" t="str">
        <f>VLOOKUP($A1288,[1]Table!$A$2:$N1731,F$1,FALSE)</f>
        <v>RIBAVIRINE 50 MG TABLET IN SPUITJE</v>
      </c>
      <c r="G1288" t="str">
        <f>VLOOKUP($A1288,[1]Table!$A$2:$N1731,G$1,FALSE)</f>
        <v>RIBAVIRINE 50 MG TABLET IN</v>
      </c>
      <c r="H1288" t="str">
        <f>VLOOKUP($A1288,[1]Table!$A$2:$N1731,H$1,FALSE)</f>
        <v>oplossing</v>
      </c>
      <c r="I1288" t="str">
        <f>VLOOKUP($A1288,[1]Table!$A$2:$N1731,I$1,FALSE)</f>
        <v>or</v>
      </c>
      <c r="J1288">
        <f>VLOOKUP($A1288,[1]Table!$A$2:$N1731,J$1,FALSE)</f>
        <v>50</v>
      </c>
      <c r="K1288" t="str">
        <f>VLOOKUP($A1288,[1]Table!$A$2:$N1731,K$1,FALSE)</f>
        <v>mg/stuk</v>
      </c>
      <c r="L1288">
        <f>VLOOKUP($A1288,[1]Table!$A$2:$N1731,L$1,FALSE)</f>
        <v>50</v>
      </c>
      <c r="M1288" t="str">
        <f>VLOOKUP($A1288,[1]Table!$A$2:$N1731,M$1,FALSE)</f>
        <v>mg</v>
      </c>
      <c r="N1288" t="str">
        <f>VLOOKUP($A1288,[1]Table!$A$2:$N1731,N$1,FALSE)</f>
        <v>Chronische hepatitis C</v>
      </c>
      <c r="AZ1288" t="str">
        <f t="shared" si="462"/>
        <v/>
      </c>
      <c r="BA1288" t="str">
        <f t="shared" si="463"/>
        <v/>
      </c>
      <c r="BB1288" t="str">
        <f t="shared" si="464"/>
        <v/>
      </c>
      <c r="BC1288" t="str">
        <f t="shared" si="465"/>
        <v/>
      </c>
      <c r="BD1288" t="str">
        <f t="shared" si="466"/>
        <v/>
      </c>
      <c r="BE1288" t="str">
        <f t="shared" si="467"/>
        <v/>
      </c>
      <c r="BF1288" t="str">
        <f t="shared" si="468"/>
        <v/>
      </c>
      <c r="BG1288" t="str">
        <f t="shared" si="469"/>
        <v/>
      </c>
      <c r="BH1288" t="str">
        <f t="shared" si="470"/>
        <v/>
      </c>
      <c r="BI1288" t="str">
        <f t="shared" si="471"/>
        <v/>
      </c>
      <c r="BJ1288" t="str">
        <f t="shared" si="472"/>
        <v/>
      </c>
      <c r="BK1288" t="str">
        <f t="shared" si="473"/>
        <v/>
      </c>
      <c r="BL1288" t="str">
        <f t="shared" si="474"/>
        <v/>
      </c>
      <c r="BM1288" t="str">
        <f t="shared" si="475"/>
        <v/>
      </c>
      <c r="BN1288" t="str">
        <f t="shared" si="476"/>
        <v/>
      </c>
      <c r="BO1288" t="str">
        <f t="shared" si="477"/>
        <v/>
      </c>
      <c r="BP1288" t="str">
        <f t="shared" si="478"/>
        <v/>
      </c>
      <c r="BQ1288" t="str">
        <f t="shared" si="479"/>
        <v/>
      </c>
      <c r="BR1288" t="str">
        <f t="shared" si="480"/>
        <v/>
      </c>
      <c r="BS1288" t="str">
        <f t="shared" si="481"/>
        <v/>
      </c>
      <c r="BT1288" t="str">
        <f t="shared" si="482"/>
        <v/>
      </c>
      <c r="BU1288" t="str">
        <f t="shared" si="483"/>
        <v/>
      </c>
    </row>
    <row r="1289" spans="1:73">
      <c r="A1289" s="22">
        <v>98064827</v>
      </c>
      <c r="B1289" t="str">
        <f>VLOOKUP($A1289,[1]Table!$A$2:$N1730,B$1,FALSE)</f>
        <v>J05AB04</v>
      </c>
      <c r="C1289" t="str">
        <f>VLOOKUP($A1289,[1]Table!$A$2:$N1730,C$1,FALSE)</f>
        <v>ANTIVIRALE MIDDELEN VOOR SYSTEMISCH GEBRUIK</v>
      </c>
      <c r="D1289" t="str">
        <f>VLOOKUP($A1289,[1]Table!$A$2:$N1730,D$1,FALSE)</f>
        <v>DIRECT WERKENDE ANTIVIRALE MIDDELEN</v>
      </c>
      <c r="E1289" t="s">
        <v>93</v>
      </c>
      <c r="F1289" t="str">
        <f>VLOOKUP($A1289,[1]Table!$A$2:$N1730,F$1,FALSE)</f>
        <v>RIBAVIRINE 100 MG TABLET IN SPUITJE</v>
      </c>
      <c r="G1289" t="str">
        <f>VLOOKUP($A1289,[1]Table!$A$2:$N1730,G$1,FALSE)</f>
        <v>RIBAVIRINE 100 MG TABLET IN</v>
      </c>
      <c r="H1289" t="str">
        <f>VLOOKUP($A1289,[1]Table!$A$2:$N1730,H$1,FALSE)</f>
        <v>oplossing</v>
      </c>
      <c r="I1289" t="str">
        <f>VLOOKUP($A1289,[1]Table!$A$2:$N1730,I$1,FALSE)</f>
        <v>or</v>
      </c>
      <c r="J1289">
        <f>VLOOKUP($A1289,[1]Table!$A$2:$N1730,J$1,FALSE)</f>
        <v>100</v>
      </c>
      <c r="K1289" t="str">
        <f>VLOOKUP($A1289,[1]Table!$A$2:$N1730,K$1,FALSE)</f>
        <v>mg/stuk</v>
      </c>
      <c r="L1289">
        <f>VLOOKUP($A1289,[1]Table!$A$2:$N1730,L$1,FALSE)</f>
        <v>100</v>
      </c>
      <c r="M1289" t="str">
        <f>VLOOKUP($A1289,[1]Table!$A$2:$N1730,M$1,FALSE)</f>
        <v>mg</v>
      </c>
      <c r="N1289" t="str">
        <f>VLOOKUP($A1289,[1]Table!$A$2:$N1730,N$1,FALSE)</f>
        <v>Chronische hepatitis C</v>
      </c>
      <c r="AZ1289" t="str">
        <f t="shared" si="462"/>
        <v/>
      </c>
      <c r="BA1289" t="str">
        <f t="shared" si="463"/>
        <v/>
      </c>
      <c r="BB1289" t="str">
        <f t="shared" si="464"/>
        <v/>
      </c>
      <c r="BC1289" t="str">
        <f t="shared" si="465"/>
        <v/>
      </c>
      <c r="BD1289" t="str">
        <f t="shared" si="466"/>
        <v/>
      </c>
      <c r="BE1289" t="str">
        <f t="shared" si="467"/>
        <v/>
      </c>
      <c r="BF1289" t="str">
        <f t="shared" si="468"/>
        <v/>
      </c>
      <c r="BG1289" t="str">
        <f t="shared" si="469"/>
        <v/>
      </c>
      <c r="BH1289" t="str">
        <f t="shared" si="470"/>
        <v/>
      </c>
      <c r="BI1289" t="str">
        <f t="shared" si="471"/>
        <v/>
      </c>
      <c r="BJ1289" t="str">
        <f t="shared" si="472"/>
        <v/>
      </c>
      <c r="BK1289" t="str">
        <f t="shared" si="473"/>
        <v/>
      </c>
      <c r="BL1289" t="str">
        <f t="shared" si="474"/>
        <v/>
      </c>
      <c r="BM1289" t="str">
        <f t="shared" si="475"/>
        <v/>
      </c>
      <c r="BN1289" t="str">
        <f t="shared" si="476"/>
        <v/>
      </c>
      <c r="BO1289" t="str">
        <f t="shared" si="477"/>
        <v/>
      </c>
      <c r="BP1289" t="str">
        <f t="shared" si="478"/>
        <v/>
      </c>
      <c r="BQ1289" t="str">
        <f t="shared" si="479"/>
        <v/>
      </c>
      <c r="BR1289" t="str">
        <f t="shared" si="480"/>
        <v/>
      </c>
      <c r="BS1289" t="str">
        <f t="shared" si="481"/>
        <v/>
      </c>
      <c r="BT1289" t="str">
        <f t="shared" si="482"/>
        <v/>
      </c>
      <c r="BU1289" t="str">
        <f t="shared" si="483"/>
        <v/>
      </c>
    </row>
    <row r="1290" spans="1:73">
      <c r="A1290" s="1">
        <v>90980</v>
      </c>
      <c r="B1290" t="str">
        <f>VLOOKUP($A1290,[1]Table!$A$2:$N1431,B$1,FALSE)</f>
        <v>J04AB04</v>
      </c>
      <c r="C1290" t="str">
        <f>VLOOKUP($A1290,[1]Table!$A$2:$N1431,C$1,FALSE)</f>
        <v>ANTIMYCOBACTERIELE MIDDELEN</v>
      </c>
      <c r="D1290" t="str">
        <f>VLOOKUP($A1290,[1]Table!$A$2:$N1431,D$1,FALSE)</f>
        <v>TUBERCULOSEMIDDELEN</v>
      </c>
      <c r="E1290" t="str">
        <f>VLOOKUP($A1290,[1]Table!$A$2:$N1431,E$1,FALSE)</f>
        <v>RIFABUTINE</v>
      </c>
      <c r="F1290" t="str">
        <f>VLOOKUP($A1290,[1]Table!$A$2:$N1431,F$1,FALSE)</f>
        <v>MYCOBUTIN 150 MG CAPSULE</v>
      </c>
      <c r="G1290" t="str">
        <f>VLOOKUP($A1290,[1]Table!$A$2:$N1431,G$1,FALSE)</f>
        <v>RIFABUTINE 150MG CAPSULE</v>
      </c>
      <c r="H1290" t="str">
        <f>VLOOKUP($A1290,[1]Table!$A$2:$N1431,H$1,FALSE)</f>
        <v>capsule</v>
      </c>
      <c r="I1290" t="str">
        <f>VLOOKUP($A1290,[1]Table!$A$2:$N1431,I$1,FALSE)</f>
        <v>or</v>
      </c>
      <c r="J1290">
        <f>VLOOKUP($A1290,[1]Table!$A$2:$N1431,J$1,FALSE)</f>
        <v>150</v>
      </c>
      <c r="K1290" t="str">
        <f>VLOOKUP($A1290,[1]Table!$A$2:$N1431,K$1,FALSE)</f>
        <v>mg/stuk</v>
      </c>
      <c r="L1290">
        <f>VLOOKUP($A1290,[1]Table!$A$2:$N1431,L$1,FALSE)</f>
        <v>150</v>
      </c>
      <c r="M1290" t="str">
        <f>VLOOKUP($A1290,[1]Table!$A$2:$N1431,M$1,FALSE)</f>
        <v>mg</v>
      </c>
      <c r="N1290" t="str">
        <f>VLOOKUP($A1290,[1]Table!$A$2:$N1431,N$1,FALSE)</f>
        <v>Behandeling Mycobacterium avium-complex (MAC) infecties en tuberculose bij HIV-infectie of -blootstelling ||Profylaxe Mycobacterium avium-complex (MAC) infecties bij HIV-infectie of -blootstelling</v>
      </c>
      <c r="O1290" t="str">
        <f>ConcatenateRange(AZ1290:BU1290,"||")</f>
        <v/>
      </c>
      <c r="AZ1290" t="str">
        <f t="shared" si="462"/>
        <v/>
      </c>
      <c r="BA1290" t="str">
        <f t="shared" si="463"/>
        <v/>
      </c>
      <c r="BB1290" t="str">
        <f t="shared" si="464"/>
        <v/>
      </c>
      <c r="BC1290" t="str">
        <f t="shared" si="465"/>
        <v/>
      </c>
      <c r="BD1290" t="str">
        <f t="shared" si="466"/>
        <v/>
      </c>
      <c r="BE1290" t="str">
        <f t="shared" si="467"/>
        <v/>
      </c>
      <c r="BF1290" t="str">
        <f t="shared" si="468"/>
        <v/>
      </c>
      <c r="BG1290" t="str">
        <f t="shared" si="469"/>
        <v/>
      </c>
      <c r="BH1290" t="str">
        <f t="shared" si="470"/>
        <v/>
      </c>
      <c r="BI1290" t="str">
        <f t="shared" si="471"/>
        <v/>
      </c>
      <c r="BJ1290" t="str">
        <f t="shared" si="472"/>
        <v/>
      </c>
      <c r="BK1290" t="str">
        <f t="shared" si="473"/>
        <v/>
      </c>
      <c r="BL1290" t="str">
        <f t="shared" si="474"/>
        <v/>
      </c>
      <c r="BM1290" t="str">
        <f t="shared" si="475"/>
        <v/>
      </c>
      <c r="BN1290" t="str">
        <f t="shared" si="476"/>
        <v/>
      </c>
      <c r="BO1290" t="str">
        <f t="shared" si="477"/>
        <v/>
      </c>
      <c r="BP1290" t="str">
        <f t="shared" si="478"/>
        <v/>
      </c>
      <c r="BQ1290" t="str">
        <f t="shared" si="479"/>
        <v/>
      </c>
      <c r="BR1290" t="str">
        <f t="shared" si="480"/>
        <v/>
      </c>
      <c r="BS1290" t="str">
        <f t="shared" si="481"/>
        <v/>
      </c>
      <c r="BT1290" t="str">
        <f t="shared" si="482"/>
        <v/>
      </c>
      <c r="BU1290" t="str">
        <f t="shared" si="483"/>
        <v/>
      </c>
    </row>
    <row r="1291" spans="1:73">
      <c r="A1291" s="1">
        <v>698</v>
      </c>
      <c r="B1291" t="str">
        <f>VLOOKUP($A1291,[1]Table!$A$2:$N1432,B$1,FALSE)</f>
        <v>J04AB02</v>
      </c>
      <c r="C1291" t="str">
        <f>VLOOKUP($A1291,[1]Table!$A$2:$N1432,C$1,FALSE)</f>
        <v>ANTIMYCOBACTERIELE MIDDELEN</v>
      </c>
      <c r="D1291" t="str">
        <f>VLOOKUP($A1291,[1]Table!$A$2:$N1432,D$1,FALSE)</f>
        <v>TUBERCULOSEMIDDELEN</v>
      </c>
      <c r="E1291" t="str">
        <f>VLOOKUP($A1291,[1]Table!$A$2:$N1432,E$1,FALSE)</f>
        <v>RIFAMPICINE</v>
      </c>
      <c r="F1291" t="str">
        <f>VLOOKUP($A1291,[1]Table!$A$2:$N1432,F$1,FALSE)</f>
        <v>RIFADIN 150 MG CAPSULE</v>
      </c>
      <c r="G1291" t="str">
        <f>VLOOKUP($A1291,[1]Table!$A$2:$N1432,G$1,FALSE)</f>
        <v>RIFAMPICINE 150MG CAPSULE</v>
      </c>
      <c r="H1291" t="str">
        <f>VLOOKUP($A1291,[1]Table!$A$2:$N1432,H$1,FALSE)</f>
        <v>capsule</v>
      </c>
      <c r="I1291" t="str">
        <f>VLOOKUP($A1291,[1]Table!$A$2:$N1432,I$1,FALSE)</f>
        <v>or</v>
      </c>
      <c r="J1291">
        <f>VLOOKUP($A1291,[1]Table!$A$2:$N1432,J$1,FALSE)</f>
        <v>150</v>
      </c>
      <c r="K1291" t="str">
        <f>VLOOKUP($A1291,[1]Table!$A$2:$N1432,K$1,FALSE)</f>
        <v>mg/stuk</v>
      </c>
      <c r="L1291">
        <f>VLOOKUP($A1291,[1]Table!$A$2:$N1432,L$1,FALSE)</f>
        <v>150</v>
      </c>
      <c r="M1291" t="str">
        <f>VLOOKUP($A1291,[1]Table!$A$2:$N1432,M$1,FALSE)</f>
        <v>mg</v>
      </c>
      <c r="N1291" t="str">
        <f>VLOOKUP($A1291,[1]Table!$A$2:$N1432,N$1,FALSE)</f>
        <v>Tuberculose||Infecties bij cystische fibrose||Niet-tuberculose||Profylaxe van meningokokkose</v>
      </c>
      <c r="O1291" t="str">
        <f>ConcatenateRange(AZ1291:BU1291,"||")</f>
        <v/>
      </c>
      <c r="AZ1291" t="str">
        <f t="shared" si="462"/>
        <v/>
      </c>
      <c r="BA1291" t="str">
        <f t="shared" si="463"/>
        <v/>
      </c>
      <c r="BB1291" t="str">
        <f t="shared" si="464"/>
        <v/>
      </c>
      <c r="BC1291" t="str">
        <f t="shared" si="465"/>
        <v/>
      </c>
      <c r="BD1291" t="str">
        <f t="shared" si="466"/>
        <v/>
      </c>
      <c r="BE1291" t="str">
        <f t="shared" si="467"/>
        <v/>
      </c>
      <c r="BF1291" t="str">
        <f t="shared" si="468"/>
        <v/>
      </c>
      <c r="BG1291" t="str">
        <f t="shared" si="469"/>
        <v/>
      </c>
      <c r="BH1291" t="str">
        <f t="shared" si="470"/>
        <v/>
      </c>
      <c r="BI1291" t="str">
        <f t="shared" si="471"/>
        <v/>
      </c>
      <c r="BJ1291" t="str">
        <f t="shared" si="472"/>
        <v/>
      </c>
      <c r="BK1291" t="str">
        <f t="shared" si="473"/>
        <v/>
      </c>
      <c r="BL1291" t="str">
        <f t="shared" si="474"/>
        <v/>
      </c>
      <c r="BM1291" t="str">
        <f t="shared" si="475"/>
        <v/>
      </c>
      <c r="BN1291" t="str">
        <f t="shared" si="476"/>
        <v/>
      </c>
      <c r="BO1291" t="str">
        <f t="shared" si="477"/>
        <v/>
      </c>
      <c r="BP1291" t="str">
        <f t="shared" si="478"/>
        <v/>
      </c>
      <c r="BQ1291" t="str">
        <f t="shared" si="479"/>
        <v/>
      </c>
      <c r="BR1291" t="str">
        <f t="shared" si="480"/>
        <v/>
      </c>
      <c r="BS1291" t="str">
        <f t="shared" si="481"/>
        <v/>
      </c>
      <c r="BT1291" t="str">
        <f t="shared" si="482"/>
        <v/>
      </c>
      <c r="BU1291" t="str">
        <f t="shared" si="483"/>
        <v/>
      </c>
    </row>
    <row r="1292" spans="1:73">
      <c r="A1292" s="1">
        <v>19739</v>
      </c>
      <c r="B1292" t="str">
        <f>VLOOKUP($A1292,[1]Table!$A$2:$N1433,B$1,FALSE)</f>
        <v>J04AB02</v>
      </c>
      <c r="C1292" t="str">
        <f>VLOOKUP($A1292,[1]Table!$A$2:$N1433,C$1,FALSE)</f>
        <v>ANTIMYCOBACTERIELE MIDDELEN</v>
      </c>
      <c r="D1292" t="str">
        <f>VLOOKUP($A1292,[1]Table!$A$2:$N1433,D$1,FALSE)</f>
        <v>TUBERCULOSEMIDDELEN</v>
      </c>
      <c r="E1292" t="str">
        <f>VLOOKUP($A1292,[1]Table!$A$2:$N1433,E$1,FALSE)</f>
        <v>RIFAMPICINE</v>
      </c>
      <c r="F1292" t="str">
        <f>VLOOKUP($A1292,[1]Table!$A$2:$N1433,F$1,FALSE)</f>
        <v>RIFADIN 300 MG CAPSULE</v>
      </c>
      <c r="G1292" t="str">
        <f>VLOOKUP($A1292,[1]Table!$A$2:$N1433,G$1,FALSE)</f>
        <v>RIFAMPICINE 300MG CAPSULE</v>
      </c>
      <c r="H1292" t="str">
        <f>VLOOKUP($A1292,[1]Table!$A$2:$N1433,H$1,FALSE)</f>
        <v>capsule</v>
      </c>
      <c r="I1292" t="str">
        <f>VLOOKUP($A1292,[1]Table!$A$2:$N1433,I$1,FALSE)</f>
        <v>or</v>
      </c>
      <c r="J1292">
        <f>VLOOKUP($A1292,[1]Table!$A$2:$N1433,J$1,FALSE)</f>
        <v>300</v>
      </c>
      <c r="K1292" t="str">
        <f>VLOOKUP($A1292,[1]Table!$A$2:$N1433,K$1,FALSE)</f>
        <v>mg/stuk</v>
      </c>
      <c r="L1292">
        <f>VLOOKUP($A1292,[1]Table!$A$2:$N1433,L$1,FALSE)</f>
        <v>300</v>
      </c>
      <c r="M1292" t="str">
        <f>VLOOKUP($A1292,[1]Table!$A$2:$N1433,M$1,FALSE)</f>
        <v>mg</v>
      </c>
      <c r="N1292" t="str">
        <f>VLOOKUP($A1292,[1]Table!$A$2:$N1433,N$1,FALSE)</f>
        <v>Tuberculose||Infecties bij cystische fibrose||Niet-tuberculose||Profylaxe van meningokokkose</v>
      </c>
      <c r="O1292" t="str">
        <f>ConcatenateRange(AZ1292:BU1292,"||")</f>
        <v/>
      </c>
      <c r="AZ1292" t="str">
        <f t="shared" si="462"/>
        <v/>
      </c>
      <c r="BA1292" t="str">
        <f t="shared" si="463"/>
        <v/>
      </c>
      <c r="BB1292" t="str">
        <f t="shared" si="464"/>
        <v/>
      </c>
      <c r="BC1292" t="str">
        <f t="shared" si="465"/>
        <v/>
      </c>
      <c r="BD1292" t="str">
        <f t="shared" si="466"/>
        <v/>
      </c>
      <c r="BE1292" t="str">
        <f t="shared" si="467"/>
        <v/>
      </c>
      <c r="BF1292" t="str">
        <f t="shared" si="468"/>
        <v/>
      </c>
      <c r="BG1292" t="str">
        <f t="shared" si="469"/>
        <v/>
      </c>
      <c r="BH1292" t="str">
        <f t="shared" si="470"/>
        <v/>
      </c>
      <c r="BI1292" t="str">
        <f t="shared" si="471"/>
        <v/>
      </c>
      <c r="BJ1292" t="str">
        <f t="shared" si="472"/>
        <v/>
      </c>
      <c r="BK1292" t="str">
        <f t="shared" si="473"/>
        <v/>
      </c>
      <c r="BL1292" t="str">
        <f t="shared" si="474"/>
        <v/>
      </c>
      <c r="BM1292" t="str">
        <f t="shared" si="475"/>
        <v/>
      </c>
      <c r="BN1292" t="str">
        <f t="shared" si="476"/>
        <v/>
      </c>
      <c r="BO1292" t="str">
        <f t="shared" si="477"/>
        <v/>
      </c>
      <c r="BP1292" t="str">
        <f t="shared" si="478"/>
        <v/>
      </c>
      <c r="BQ1292" t="str">
        <f t="shared" si="479"/>
        <v/>
      </c>
      <c r="BR1292" t="str">
        <f t="shared" si="480"/>
        <v/>
      </c>
      <c r="BS1292" t="str">
        <f t="shared" si="481"/>
        <v/>
      </c>
      <c r="BT1292" t="str">
        <f t="shared" si="482"/>
        <v/>
      </c>
      <c r="BU1292" t="str">
        <f t="shared" si="483"/>
        <v/>
      </c>
    </row>
    <row r="1293" spans="1:73">
      <c r="A1293" s="1">
        <v>51829</v>
      </c>
      <c r="B1293" t="str">
        <f>VLOOKUP($A1293,[1]Table!$A$2:$N1434,B$1,FALSE)</f>
        <v>J04AB02</v>
      </c>
      <c r="C1293" t="str">
        <f>VLOOKUP($A1293,[1]Table!$A$2:$N1434,C$1,FALSE)</f>
        <v>ANTIMYCOBACTERIELE MIDDELEN</v>
      </c>
      <c r="D1293" t="str">
        <f>VLOOKUP($A1293,[1]Table!$A$2:$N1434,D$1,FALSE)</f>
        <v>TUBERCULOSEMIDDELEN</v>
      </c>
      <c r="E1293" t="str">
        <f>VLOOKUP($A1293,[1]Table!$A$2:$N1434,E$1,FALSE)</f>
        <v>RIFAMPICINE</v>
      </c>
      <c r="F1293" t="str">
        <f>VLOOKUP($A1293,[1]Table!$A$2:$N1434,F$1,FALSE)</f>
        <v>RIFADIN 600 MG INFPDR +SOLV</v>
      </c>
      <c r="G1293" t="str">
        <f>VLOOKUP($A1293,[1]Table!$A$2:$N1434,G$1,FALSE)</f>
        <v>RIFAMPICINE 600MG INFPDR</v>
      </c>
      <c r="H1293" t="str">
        <f>VLOOKUP($A1293,[1]Table!$A$2:$N1434,H$1,FALSE)</f>
        <v>poeder voor oplossing voor infusie</v>
      </c>
      <c r="I1293" t="str">
        <f>VLOOKUP($A1293,[1]Table!$A$2:$N1434,I$1,FALSE)</f>
        <v>iv</v>
      </c>
      <c r="J1293">
        <f>VLOOKUP($A1293,[1]Table!$A$2:$N1434,J$1,FALSE)</f>
        <v>600</v>
      </c>
      <c r="K1293" t="str">
        <f>VLOOKUP($A1293,[1]Table!$A$2:$N1434,K$1,FALSE)</f>
        <v>mg/stuk</v>
      </c>
      <c r="L1293">
        <f>VLOOKUP($A1293,[1]Table!$A$2:$N1434,L$1,FALSE)</f>
        <v>600</v>
      </c>
      <c r="M1293" t="str">
        <f>VLOOKUP($A1293,[1]Table!$A$2:$N1434,M$1,FALSE)</f>
        <v>mg</v>
      </c>
      <c r="N1293" t="str">
        <f>VLOOKUP($A1293,[1]Table!$A$2:$N1434,N$1,FALSE)</f>
        <v>Tuberculose||Infecties bij cystische fibrose||Niet-tuberculose||Profylaxe van meningokokkose</v>
      </c>
      <c r="O1293" t="str">
        <f>ConcatenateRange(AZ1293:BU1293,"||")</f>
        <v/>
      </c>
      <c r="AZ1293" t="str">
        <f t="shared" ref="AZ1293:AZ1353" si="484">IF(AA1293&lt;&gt;0,AA$2,"")</f>
        <v/>
      </c>
      <c r="BA1293" t="str">
        <f t="shared" ref="BA1293:BA1353" si="485">IF(AB1293&lt;&gt;0,AB$2,"")</f>
        <v/>
      </c>
      <c r="BB1293" t="str">
        <f t="shared" ref="BB1293:BB1353" si="486">IF(AC1293&lt;&gt;0,AC$2,"")</f>
        <v/>
      </c>
      <c r="BC1293" t="str">
        <f t="shared" ref="BC1293:BC1353" si="487">IF(AD1293&lt;&gt;0,AD$2,"")</f>
        <v/>
      </c>
      <c r="BD1293" t="str">
        <f t="shared" ref="BD1293:BD1353" si="488">IF(AE1293&lt;&gt;0,AE$2,"")</f>
        <v/>
      </c>
      <c r="BE1293" t="str">
        <f t="shared" ref="BE1293:BE1353" si="489">IF(AF1293&lt;&gt;0,AF$2,"")</f>
        <v/>
      </c>
      <c r="BF1293" t="str">
        <f t="shared" ref="BF1293:BF1353" si="490">IF(AG1293&lt;&gt;0,AG$2,"")</f>
        <v/>
      </c>
      <c r="BG1293" t="str">
        <f t="shared" ref="BG1293:BG1353" si="491">IF(AH1293&lt;&gt;0,AH$2,"")</f>
        <v/>
      </c>
      <c r="BH1293" t="str">
        <f t="shared" ref="BH1293:BH1353" si="492">IF(AI1293&lt;&gt;0,AI$2,"")</f>
        <v/>
      </c>
      <c r="BI1293" t="str">
        <f t="shared" ref="BI1293:BI1353" si="493">IF(AJ1293&lt;&gt;0,AJ$2,"")</f>
        <v/>
      </c>
      <c r="BJ1293" t="str">
        <f t="shared" ref="BJ1293:BJ1353" si="494">IF(AK1293&lt;&gt;0,AK$2,"")</f>
        <v/>
      </c>
      <c r="BK1293" t="str">
        <f t="shared" ref="BK1293:BK1353" si="495">IF(AL1293&lt;&gt;0,AL$2,"")</f>
        <v/>
      </c>
      <c r="BL1293" t="str">
        <f t="shared" ref="BL1293:BL1353" si="496">IF(AM1293&lt;&gt;0,AM$2,"")</f>
        <v/>
      </c>
      <c r="BM1293" t="str">
        <f t="shared" ref="BM1293:BM1353" si="497">IF(AN1293&lt;&gt;0,AN$2,"")</f>
        <v/>
      </c>
      <c r="BN1293" t="str">
        <f t="shared" ref="BN1293:BN1353" si="498">IF(AO1293&lt;&gt;0,AO$2,"")</f>
        <v/>
      </c>
      <c r="BO1293" t="str">
        <f t="shared" ref="BO1293:BO1353" si="499">IF(AP1293&lt;&gt;0,AP$2,"")</f>
        <v/>
      </c>
      <c r="BP1293" t="str">
        <f t="shared" ref="BP1293:BP1353" si="500">IF(AQ1293&lt;&gt;0,AQ$2,"")</f>
        <v/>
      </c>
      <c r="BQ1293" t="str">
        <f t="shared" ref="BQ1293:BQ1353" si="501">IF(AR1293&lt;&gt;0,AR$2,"")</f>
        <v/>
      </c>
      <c r="BR1293" t="str">
        <f t="shared" ref="BR1293:BR1353" si="502">IF(AS1293&lt;&gt;0,AS$2,"")</f>
        <v/>
      </c>
      <c r="BS1293" t="str">
        <f t="shared" ref="BS1293:BS1353" si="503">IF(AT1293&lt;&gt;0,AT$2,"")</f>
        <v/>
      </c>
      <c r="BT1293" t="str">
        <f t="shared" ref="BT1293:BT1353" si="504">IF(AU1293&lt;&gt;0,AU$2,"")</f>
        <v/>
      </c>
      <c r="BU1293" t="str">
        <f t="shared" ref="BU1293:BU1353" si="505">IF(AV1293&lt;&gt;0,AV$2,"")</f>
        <v/>
      </c>
    </row>
    <row r="1294" spans="1:73">
      <c r="A1294" s="1">
        <v>19747</v>
      </c>
      <c r="B1294" t="str">
        <f>VLOOKUP($A1294,[1]Table!$A$2:$N1435,B$1,FALSE)</f>
        <v>J04AB02</v>
      </c>
      <c r="C1294" t="str">
        <f>VLOOKUP($A1294,[1]Table!$A$2:$N1435,C$1,FALSE)</f>
        <v>ANTIMYCOBACTERIELE MIDDELEN</v>
      </c>
      <c r="D1294" t="str">
        <f>VLOOKUP($A1294,[1]Table!$A$2:$N1435,D$1,FALSE)</f>
        <v>TUBERCULOSEMIDDELEN</v>
      </c>
      <c r="E1294" t="str">
        <f>VLOOKUP($A1294,[1]Table!$A$2:$N1435,E$1,FALSE)</f>
        <v>RIFAMPICINE</v>
      </c>
      <c r="F1294" t="str">
        <f>VLOOKUP($A1294,[1]Table!$A$2:$N1435,F$1,FALSE)</f>
        <v>RIFADIN 20 MG/ML SUSPENSIE</v>
      </c>
      <c r="G1294" t="str">
        <f>VLOOKUP($A1294,[1]Table!$A$2:$N1435,G$1,FALSE)</f>
        <v>RIFAMPICINE 20MG/ML SUSPENS</v>
      </c>
      <c r="H1294" t="str">
        <f>VLOOKUP($A1294,[1]Table!$A$2:$N1435,H$1,FALSE)</f>
        <v>suspensie voor oraal gebruik</v>
      </c>
      <c r="I1294" t="str">
        <f>VLOOKUP($A1294,[1]Table!$A$2:$N1435,I$1,FALSE)</f>
        <v>or</v>
      </c>
      <c r="J1294">
        <f>VLOOKUP($A1294,[1]Table!$A$2:$N1435,J$1,FALSE)</f>
        <v>20</v>
      </c>
      <c r="K1294" t="str">
        <f>VLOOKUP($A1294,[1]Table!$A$2:$N1435,K$1,FALSE)</f>
        <v>mg/ml</v>
      </c>
      <c r="L1294">
        <f>VLOOKUP($A1294,[1]Table!$A$2:$N1435,L$1,FALSE)</f>
        <v>20</v>
      </c>
      <c r="M1294" t="str">
        <f>VLOOKUP($A1294,[1]Table!$A$2:$N1435,M$1,FALSE)</f>
        <v>mg</v>
      </c>
      <c r="N1294" t="str">
        <f>VLOOKUP($A1294,[1]Table!$A$2:$N1435,N$1,FALSE)</f>
        <v>Tuberculose||Infecties bij cystische fibrose||Niet-tuberculose||Profylaxe van meningokokkose</v>
      </c>
      <c r="O1294" t="str">
        <f>ConcatenateRange(AZ1294:BU1294,"||")</f>
        <v/>
      </c>
      <c r="AZ1294" t="str">
        <f t="shared" si="484"/>
        <v/>
      </c>
      <c r="BA1294" t="str">
        <f t="shared" si="485"/>
        <v/>
      </c>
      <c r="BB1294" t="str">
        <f t="shared" si="486"/>
        <v/>
      </c>
      <c r="BC1294" t="str">
        <f t="shared" si="487"/>
        <v/>
      </c>
      <c r="BD1294" t="str">
        <f t="shared" si="488"/>
        <v/>
      </c>
      <c r="BE1294" t="str">
        <f t="shared" si="489"/>
        <v/>
      </c>
      <c r="BF1294" t="str">
        <f t="shared" si="490"/>
        <v/>
      </c>
      <c r="BG1294" t="str">
        <f t="shared" si="491"/>
        <v/>
      </c>
      <c r="BH1294" t="str">
        <f t="shared" si="492"/>
        <v/>
      </c>
      <c r="BI1294" t="str">
        <f t="shared" si="493"/>
        <v/>
      </c>
      <c r="BJ1294" t="str">
        <f t="shared" si="494"/>
        <v/>
      </c>
      <c r="BK1294" t="str">
        <f t="shared" si="495"/>
        <v/>
      </c>
      <c r="BL1294" t="str">
        <f t="shared" si="496"/>
        <v/>
      </c>
      <c r="BM1294" t="str">
        <f t="shared" si="497"/>
        <v/>
      </c>
      <c r="BN1294" t="str">
        <f t="shared" si="498"/>
        <v/>
      </c>
      <c r="BO1294" t="str">
        <f t="shared" si="499"/>
        <v/>
      </c>
      <c r="BP1294" t="str">
        <f t="shared" si="500"/>
        <v/>
      </c>
      <c r="BQ1294" t="str">
        <f t="shared" si="501"/>
        <v/>
      </c>
      <c r="BR1294" t="str">
        <f t="shared" si="502"/>
        <v/>
      </c>
      <c r="BS1294" t="str">
        <f t="shared" si="503"/>
        <v/>
      </c>
      <c r="BT1294" t="str">
        <f t="shared" si="504"/>
        <v/>
      </c>
      <c r="BU1294" t="str">
        <f t="shared" si="505"/>
        <v/>
      </c>
    </row>
    <row r="1295" spans="1:73">
      <c r="A1295" s="1">
        <v>139432</v>
      </c>
      <c r="B1295" t="str">
        <f>VLOOKUP($A1295,[1]Table!$A$2:$N1436,B$1,FALSE)</f>
        <v>J05AG05</v>
      </c>
      <c r="C1295" t="str">
        <f>VLOOKUP($A1295,[1]Table!$A$2:$N1436,C$1,FALSE)</f>
        <v>ANTIVIRALE MIDDELEN VOOR SYSTEMISCH GEBRUIK</v>
      </c>
      <c r="D1295" t="str">
        <f>VLOOKUP($A1295,[1]Table!$A$2:$N1436,D$1,FALSE)</f>
        <v>DIRECT WERKENDE ANTIVIRALE MIDDELEN</v>
      </c>
      <c r="E1295" t="str">
        <f>VLOOKUP($A1295,[1]Table!$A$2:$N1436,E$1,FALSE)</f>
        <v>RILPIVIRINE</v>
      </c>
      <c r="F1295" t="str">
        <f>VLOOKUP($A1295,[1]Table!$A$2:$N1436,F$1,FALSE)</f>
        <v>EDURANT 25 MG TABLET</v>
      </c>
      <c r="G1295" t="str">
        <f>VLOOKUP($A1295,[1]Table!$A$2:$N1436,G$1,FALSE)</f>
        <v>RILPIVIRINE 25MG TABLET</v>
      </c>
      <c r="H1295" t="str">
        <f>VLOOKUP($A1295,[1]Table!$A$2:$N1436,H$1,FALSE)</f>
        <v>tablet</v>
      </c>
      <c r="I1295" t="str">
        <f>VLOOKUP($A1295,[1]Table!$A$2:$N1436,I$1,FALSE)</f>
        <v>or</v>
      </c>
      <c r="J1295">
        <f>VLOOKUP($A1295,[1]Table!$A$2:$N1436,J$1,FALSE)</f>
        <v>25</v>
      </c>
      <c r="K1295" t="str">
        <f>VLOOKUP($A1295,[1]Table!$A$2:$N1436,K$1,FALSE)</f>
        <v>mg/stuk</v>
      </c>
      <c r="L1295">
        <f>VLOOKUP($A1295,[1]Table!$A$2:$N1436,L$1,FALSE)</f>
        <v>25</v>
      </c>
      <c r="M1295" t="str">
        <f>VLOOKUP($A1295,[1]Table!$A$2:$N1436,M$1,FALSE)</f>
        <v>mg</v>
      </c>
      <c r="N1295" t="str">
        <f>VLOOKUP($A1295,[1]Table!$A$2:$N1436,N$1,FALSE)</f>
        <v>HIV</v>
      </c>
      <c r="O1295" t="str">
        <f>ConcatenateRange(AZ1295:BU1295,"||")</f>
        <v/>
      </c>
      <c r="AZ1295" t="str">
        <f t="shared" si="484"/>
        <v/>
      </c>
      <c r="BA1295" t="str">
        <f t="shared" si="485"/>
        <v/>
      </c>
      <c r="BB1295" t="str">
        <f t="shared" si="486"/>
        <v/>
      </c>
      <c r="BC1295" t="str">
        <f t="shared" si="487"/>
        <v/>
      </c>
      <c r="BD1295" t="str">
        <f t="shared" si="488"/>
        <v/>
      </c>
      <c r="BE1295" t="str">
        <f t="shared" si="489"/>
        <v/>
      </c>
      <c r="BF1295" t="str">
        <f t="shared" si="490"/>
        <v/>
      </c>
      <c r="BG1295" t="str">
        <f t="shared" si="491"/>
        <v/>
      </c>
      <c r="BH1295" t="str">
        <f t="shared" si="492"/>
        <v/>
      </c>
      <c r="BI1295" t="str">
        <f t="shared" si="493"/>
        <v/>
      </c>
      <c r="BJ1295" t="str">
        <f t="shared" si="494"/>
        <v/>
      </c>
      <c r="BK1295" t="str">
        <f t="shared" si="495"/>
        <v/>
      </c>
      <c r="BL1295" t="str">
        <f t="shared" si="496"/>
        <v/>
      </c>
      <c r="BM1295" t="str">
        <f t="shared" si="497"/>
        <v/>
      </c>
      <c r="BN1295" t="str">
        <f t="shared" si="498"/>
        <v/>
      </c>
      <c r="BO1295" t="str">
        <f t="shared" si="499"/>
        <v/>
      </c>
      <c r="BP1295" t="str">
        <f t="shared" si="500"/>
        <v/>
      </c>
      <c r="BQ1295" t="str">
        <f t="shared" si="501"/>
        <v/>
      </c>
      <c r="BR1295" t="str">
        <f t="shared" si="502"/>
        <v/>
      </c>
      <c r="BS1295" t="str">
        <f t="shared" si="503"/>
        <v/>
      </c>
      <c r="BT1295" t="str">
        <f t="shared" si="504"/>
        <v/>
      </c>
      <c r="BU1295" t="str">
        <f t="shared" si="505"/>
        <v/>
      </c>
    </row>
    <row r="1296" spans="1:73">
      <c r="A1296" s="1">
        <v>64564</v>
      </c>
      <c r="B1296" t="str">
        <f>VLOOKUP($A1296,[1]Table!$A$2:$N388,B$1,FALSE)</f>
        <v>B05BB01</v>
      </c>
      <c r="C1296" t="str">
        <f>VLOOKUP($A1296,[1]Table!$A$2:$N388,C$1,FALSE)</f>
        <v>BLOEDVERVANGINGSMIDDELEN EN PERFUSIEVLOEISTOFFEN</v>
      </c>
      <c r="D1296" t="str">
        <f>VLOOKUP($A1296,[1]Table!$A$2:$N388,D$1,FALSE)</f>
        <v>INTRAVENEUZE OPLOSSINGEN</v>
      </c>
      <c r="E1296" t="str">
        <f>VLOOKUP($A1296,[1]Table!$A$2:$N388,E$1,FALSE)</f>
        <v>RINGER</v>
      </c>
      <c r="F1296" t="str">
        <f>VLOOKUP($A1296,[1]Table!$A$2:$N388,F$1,FALSE)</f>
        <v>RINGER  ZAK 1 LITER   WE2304    WKZ</v>
      </c>
      <c r="G1296" t="str">
        <f>VLOOKUP($A1296,[1]Table!$A$2:$N388,G$1,FALSE)</f>
        <v>RINGER INFUSIEVLOEISTOF USP</v>
      </c>
      <c r="H1296" t="str">
        <f>VLOOKUP($A1296,[1]Table!$A$2:$N388,H$1,FALSE)</f>
        <v>infusievloeistof</v>
      </c>
      <c r="I1296" t="str">
        <f>VLOOKUP($A1296,[1]Table!$A$2:$N388,I$1,FALSE)</f>
        <v>iv</v>
      </c>
      <c r="J1296">
        <f>VLOOKUP($A1296,[1]Table!$A$2:$N388,J$1,FALSE)</f>
        <v>0.33</v>
      </c>
      <c r="K1296" t="str">
        <f>VLOOKUP($A1296,[1]Table!$A$2:$N388,K$1,FALSE)</f>
        <v>mg/ml</v>
      </c>
      <c r="L1296">
        <f>VLOOKUP($A1296,[1]Table!$A$2:$N388,L$1,FALSE)</f>
        <v>0.33</v>
      </c>
      <c r="M1296" t="str">
        <f>VLOOKUP($A1296,[1]Table!$A$2:$N388,M$1,FALSE)</f>
        <v>mg</v>
      </c>
      <c r="N1296" t="str">
        <f>VLOOKUP($A1296,[1]Table!$A$2:$N388,N$1,FALSE)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6" t="str">
        <f>ConcatenateRange(AZ1296:BU1296,"||")</f>
        <v/>
      </c>
      <c r="AZ1296" t="str">
        <f t="shared" si="484"/>
        <v/>
      </c>
      <c r="BA1296" t="str">
        <f t="shared" si="485"/>
        <v/>
      </c>
      <c r="BB1296" t="str">
        <f t="shared" si="486"/>
        <v/>
      </c>
      <c r="BC1296" t="str">
        <f t="shared" si="487"/>
        <v/>
      </c>
      <c r="BD1296" t="str">
        <f t="shared" si="488"/>
        <v/>
      </c>
      <c r="BE1296" t="str">
        <f t="shared" si="489"/>
        <v/>
      </c>
      <c r="BF1296" t="str">
        <f t="shared" si="490"/>
        <v/>
      </c>
      <c r="BG1296" t="str">
        <f t="shared" si="491"/>
        <v/>
      </c>
      <c r="BH1296" t="str">
        <f t="shared" si="492"/>
        <v/>
      </c>
      <c r="BI1296" t="str">
        <f t="shared" si="493"/>
        <v/>
      </c>
      <c r="BJ1296" t="str">
        <f t="shared" si="494"/>
        <v/>
      </c>
      <c r="BK1296" t="str">
        <f t="shared" si="495"/>
        <v/>
      </c>
      <c r="BL1296" t="str">
        <f t="shared" si="496"/>
        <v/>
      </c>
      <c r="BM1296" t="str">
        <f t="shared" si="497"/>
        <v/>
      </c>
      <c r="BN1296" t="str">
        <f t="shared" si="498"/>
        <v/>
      </c>
      <c r="BO1296" t="str">
        <f t="shared" si="499"/>
        <v/>
      </c>
      <c r="BP1296" t="str">
        <f t="shared" si="500"/>
        <v/>
      </c>
      <c r="BQ1296" t="str">
        <f t="shared" si="501"/>
        <v/>
      </c>
      <c r="BR1296" t="str">
        <f t="shared" si="502"/>
        <v/>
      </c>
      <c r="BS1296" t="str">
        <f t="shared" si="503"/>
        <v/>
      </c>
      <c r="BT1296" t="str">
        <f t="shared" si="504"/>
        <v/>
      </c>
      <c r="BU1296" t="str">
        <f t="shared" si="505"/>
        <v/>
      </c>
    </row>
    <row r="1297" spans="1:73">
      <c r="A1297" s="1">
        <v>64548</v>
      </c>
      <c r="B1297" t="str">
        <f>VLOOKUP($A1297,[1]Table!$A$2:$N389,B$1,FALSE)</f>
        <v>B05BB01</v>
      </c>
      <c r="C1297" t="str">
        <f>VLOOKUP($A1297,[1]Table!$A$2:$N389,C$1,FALSE)</f>
        <v>BLOEDVERVANGINGSMIDDELEN EN PERFUSIEVLOEISTOFFEN</v>
      </c>
      <c r="D1297" t="str">
        <f>VLOOKUP($A1297,[1]Table!$A$2:$N389,D$1,FALSE)</f>
        <v>INTRAVENEUZE OPLOSSINGEN</v>
      </c>
      <c r="E1297" t="str">
        <f>VLOOKUP($A1297,[1]Table!$A$2:$N389,E$1,FALSE)</f>
        <v>RINGER/LACTAAT</v>
      </c>
      <c r="F1297" t="str">
        <f>VLOOKUP($A1297,[1]Table!$A$2:$N389,F$1,FALSE)</f>
        <v>RINGERLACTAAT 1000ML FLACON 3623482</v>
      </c>
      <c r="G1297" t="str">
        <f>VLOOKUP($A1297,[1]Table!$A$2:$N389,G$1,FALSE)</f>
        <v>RINGER/LACTAAT INFVLST   BR</v>
      </c>
      <c r="H1297" t="str">
        <f>VLOOKUP($A1297,[1]Table!$A$2:$N389,H$1,FALSE)</f>
        <v>infusievloeistof</v>
      </c>
      <c r="I1297" t="str">
        <f>VLOOKUP($A1297,[1]Table!$A$2:$N389,I$1,FALSE)</f>
        <v>iv</v>
      </c>
      <c r="J1297">
        <f>VLOOKUP($A1297,[1]Table!$A$2:$N389,J$1,FALSE)</f>
        <v>0.27</v>
      </c>
      <c r="K1297" t="str">
        <f>VLOOKUP($A1297,[1]Table!$A$2:$N389,K$1,FALSE)</f>
        <v>mg/ml</v>
      </c>
      <c r="L1297">
        <f>VLOOKUP($A1297,[1]Table!$A$2:$N389,L$1,FALSE)</f>
        <v>0.27</v>
      </c>
      <c r="M1297" t="str">
        <f>VLOOKUP($A1297,[1]Table!$A$2:$N389,M$1,FALSE)</f>
        <v>mg</v>
      </c>
      <c r="N1297" t="str">
        <f>VLOOKUP($A1297,[1]Table!$A$2:$N389,N$1,FALSE)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7" t="str">
        <f>ConcatenateRange(AZ1297:BU1297,"||")</f>
        <v/>
      </c>
      <c r="AZ1297" t="str">
        <f t="shared" si="484"/>
        <v/>
      </c>
      <c r="BA1297" t="str">
        <f t="shared" si="485"/>
        <v/>
      </c>
      <c r="BB1297" t="str">
        <f t="shared" si="486"/>
        <v/>
      </c>
      <c r="BC1297" t="str">
        <f t="shared" si="487"/>
        <v/>
      </c>
      <c r="BD1297" t="str">
        <f t="shared" si="488"/>
        <v/>
      </c>
      <c r="BE1297" t="str">
        <f t="shared" si="489"/>
        <v/>
      </c>
      <c r="BF1297" t="str">
        <f t="shared" si="490"/>
        <v/>
      </c>
      <c r="BG1297" t="str">
        <f t="shared" si="491"/>
        <v/>
      </c>
      <c r="BH1297" t="str">
        <f t="shared" si="492"/>
        <v/>
      </c>
      <c r="BI1297" t="str">
        <f t="shared" si="493"/>
        <v/>
      </c>
      <c r="BJ1297" t="str">
        <f t="shared" si="494"/>
        <v/>
      </c>
      <c r="BK1297" t="str">
        <f t="shared" si="495"/>
        <v/>
      </c>
      <c r="BL1297" t="str">
        <f t="shared" si="496"/>
        <v/>
      </c>
      <c r="BM1297" t="str">
        <f t="shared" si="497"/>
        <v/>
      </c>
      <c r="BN1297" t="str">
        <f t="shared" si="498"/>
        <v/>
      </c>
      <c r="BO1297" t="str">
        <f t="shared" si="499"/>
        <v/>
      </c>
      <c r="BP1297" t="str">
        <f t="shared" si="500"/>
        <v/>
      </c>
      <c r="BQ1297" t="str">
        <f t="shared" si="501"/>
        <v/>
      </c>
      <c r="BR1297" t="str">
        <f t="shared" si="502"/>
        <v/>
      </c>
      <c r="BS1297" t="str">
        <f t="shared" si="503"/>
        <v/>
      </c>
      <c r="BT1297" t="str">
        <f t="shared" si="504"/>
        <v/>
      </c>
      <c r="BU1297" t="str">
        <f t="shared" si="505"/>
        <v/>
      </c>
    </row>
    <row r="1298" spans="1:73">
      <c r="A1298" s="1">
        <v>114294</v>
      </c>
      <c r="B1298" t="str">
        <f>VLOOKUP($A1298,[1]Table!$A$2:$N1437,B$1,FALSE)</f>
        <v>M05BA07</v>
      </c>
      <c r="C1298" t="str">
        <f>VLOOKUP($A1298,[1]Table!$A$2:$N1437,C$1,FALSE)</f>
        <v>MIDDELEN BIJ BOTZIEKTEN</v>
      </c>
      <c r="D1298" t="str">
        <f>VLOOKUP($A1298,[1]Table!$A$2:$N1437,D$1,FALSE)</f>
        <v>BOTSTRUCTUUR EN BOTMINERALISATIEBEINVLOEDENDE MIDDELEN</v>
      </c>
      <c r="E1298" t="str">
        <f>VLOOKUP($A1298,[1]Table!$A$2:$N1437,E$1,FALSE)</f>
        <v>RISEDRONINEZUUR</v>
      </c>
      <c r="F1298" t="str">
        <f>VLOOKUP($A1298,[1]Table!$A$2:$N1437,F$1,FALSE)</f>
        <v>RISEDRONAAT 5 MG TABLET FILMOMHULD</v>
      </c>
      <c r="G1298" t="str">
        <f>VLOOKUP($A1298,[1]Table!$A$2:$N1437,G$1,FALSE)</f>
        <v>RISEDRONINEZUUR 5MG TAB FO</v>
      </c>
      <c r="H1298" t="str">
        <f>VLOOKUP($A1298,[1]Table!$A$2:$N1437,H$1,FALSE)</f>
        <v>filmomhulde tablet</v>
      </c>
      <c r="I1298" t="str">
        <f>VLOOKUP($A1298,[1]Table!$A$2:$N1437,I$1,FALSE)</f>
        <v>or</v>
      </c>
      <c r="J1298">
        <f>VLOOKUP($A1298,[1]Table!$A$2:$N1437,J$1,FALSE)</f>
        <v>5</v>
      </c>
      <c r="K1298" t="str">
        <f>VLOOKUP($A1298,[1]Table!$A$2:$N1437,K$1,FALSE)</f>
        <v>mg/stuk</v>
      </c>
      <c r="L1298">
        <f>VLOOKUP($A1298,[1]Table!$A$2:$N1437,L$1,FALSE)</f>
        <v>5</v>
      </c>
      <c r="M1298" t="str">
        <f>VLOOKUP($A1298,[1]Table!$A$2:$N1437,M$1,FALSE)</f>
        <v>mg</v>
      </c>
      <c r="N1298" t="str">
        <f>VLOOKUP($A1298,[1]Table!$A$2:$N1437,N$1,FALSE)</f>
        <v>Osteogenesis imperfecta, remming botresoptie</v>
      </c>
      <c r="O1298" t="str">
        <f>ConcatenateRange(AZ1298:BU1298,"||")</f>
        <v/>
      </c>
      <c r="AZ1298" t="str">
        <f t="shared" si="484"/>
        <v/>
      </c>
      <c r="BA1298" t="str">
        <f t="shared" si="485"/>
        <v/>
      </c>
      <c r="BB1298" t="str">
        <f t="shared" si="486"/>
        <v/>
      </c>
      <c r="BC1298" t="str">
        <f t="shared" si="487"/>
        <v/>
      </c>
      <c r="BD1298" t="str">
        <f t="shared" si="488"/>
        <v/>
      </c>
      <c r="BE1298" t="str">
        <f t="shared" si="489"/>
        <v/>
      </c>
      <c r="BF1298" t="str">
        <f t="shared" si="490"/>
        <v/>
      </c>
      <c r="BG1298" t="str">
        <f t="shared" si="491"/>
        <v/>
      </c>
      <c r="BH1298" t="str">
        <f t="shared" si="492"/>
        <v/>
      </c>
      <c r="BI1298" t="str">
        <f t="shared" si="493"/>
        <v/>
      </c>
      <c r="BJ1298" t="str">
        <f t="shared" si="494"/>
        <v/>
      </c>
      <c r="BK1298" t="str">
        <f t="shared" si="495"/>
        <v/>
      </c>
      <c r="BL1298" t="str">
        <f t="shared" si="496"/>
        <v/>
      </c>
      <c r="BM1298" t="str">
        <f t="shared" si="497"/>
        <v/>
      </c>
      <c r="BN1298" t="str">
        <f t="shared" si="498"/>
        <v/>
      </c>
      <c r="BO1298" t="str">
        <f t="shared" si="499"/>
        <v/>
      </c>
      <c r="BP1298" t="str">
        <f t="shared" si="500"/>
        <v/>
      </c>
      <c r="BQ1298" t="str">
        <f t="shared" si="501"/>
        <v/>
      </c>
      <c r="BR1298" t="str">
        <f t="shared" si="502"/>
        <v/>
      </c>
      <c r="BS1298" t="str">
        <f t="shared" si="503"/>
        <v/>
      </c>
      <c r="BT1298" t="str">
        <f t="shared" si="504"/>
        <v/>
      </c>
      <c r="BU1298" t="str">
        <f t="shared" si="505"/>
        <v/>
      </c>
    </row>
    <row r="1299" spans="1:73">
      <c r="A1299" s="1">
        <v>117277</v>
      </c>
      <c r="B1299" t="str">
        <f>VLOOKUP($A1299,[1]Table!$A$2:$N1439,B$1,FALSE)</f>
        <v>M05BA07</v>
      </c>
      <c r="C1299" t="str">
        <f>VLOOKUP($A1299,[1]Table!$A$2:$N1439,C$1,FALSE)</f>
        <v>MIDDELEN BIJ BOTZIEKTEN</v>
      </c>
      <c r="D1299" t="str">
        <f>VLOOKUP($A1299,[1]Table!$A$2:$N1439,D$1,FALSE)</f>
        <v>BOTSTRUCTUUR EN BOTMINERALISATIEBEINVLOEDENDE MIDDELEN</v>
      </c>
      <c r="E1299" t="str">
        <f>VLOOKUP($A1299,[1]Table!$A$2:$N1439,E$1,FALSE)</f>
        <v>RISEDRONINEZUUR</v>
      </c>
      <c r="F1299" t="str">
        <f>VLOOKUP($A1299,[1]Table!$A$2:$N1439,F$1,FALSE)</f>
        <v>ACTONEL 35 MG TABLET FILMOMHULD</v>
      </c>
      <c r="G1299" t="str">
        <f>VLOOKUP($A1299,[1]Table!$A$2:$N1439,G$1,FALSE)</f>
        <v>RISEDRONINEZUUR 35MG TAB FO</v>
      </c>
      <c r="H1299" t="str">
        <f>VLOOKUP($A1299,[1]Table!$A$2:$N1439,H$1,FALSE)</f>
        <v>filmomhulde tablet</v>
      </c>
      <c r="I1299" t="str">
        <f>VLOOKUP($A1299,[1]Table!$A$2:$N1439,I$1,FALSE)</f>
        <v>or</v>
      </c>
      <c r="J1299">
        <f>VLOOKUP($A1299,[1]Table!$A$2:$N1439,J$1,FALSE)</f>
        <v>35</v>
      </c>
      <c r="K1299" t="str">
        <f>VLOOKUP($A1299,[1]Table!$A$2:$N1439,K$1,FALSE)</f>
        <v>mg/stuk</v>
      </c>
      <c r="L1299">
        <f>VLOOKUP($A1299,[1]Table!$A$2:$N1439,L$1,FALSE)</f>
        <v>35</v>
      </c>
      <c r="M1299" t="str">
        <f>VLOOKUP($A1299,[1]Table!$A$2:$N1439,M$1,FALSE)</f>
        <v>mg</v>
      </c>
      <c r="N1299" t="str">
        <f>VLOOKUP($A1299,[1]Table!$A$2:$N1439,N$1,FALSE)</f>
        <v>Osteogenesis imperfecta, remming botresoptie</v>
      </c>
      <c r="O1299" t="str">
        <f>ConcatenateRange(AZ1299:BU1299,"||")</f>
        <v/>
      </c>
      <c r="AZ1299" t="str">
        <f t="shared" si="484"/>
        <v/>
      </c>
      <c r="BA1299" t="str">
        <f t="shared" si="485"/>
        <v/>
      </c>
      <c r="BB1299" t="str">
        <f t="shared" si="486"/>
        <v/>
      </c>
      <c r="BC1299" t="str">
        <f t="shared" si="487"/>
        <v/>
      </c>
      <c r="BD1299" t="str">
        <f t="shared" si="488"/>
        <v/>
      </c>
      <c r="BE1299" t="str">
        <f t="shared" si="489"/>
        <v/>
      </c>
      <c r="BF1299" t="str">
        <f t="shared" si="490"/>
        <v/>
      </c>
      <c r="BG1299" t="str">
        <f t="shared" si="491"/>
        <v/>
      </c>
      <c r="BH1299" t="str">
        <f t="shared" si="492"/>
        <v/>
      </c>
      <c r="BI1299" t="str">
        <f t="shared" si="493"/>
        <v/>
      </c>
      <c r="BJ1299" t="str">
        <f t="shared" si="494"/>
        <v/>
      </c>
      <c r="BK1299" t="str">
        <f t="shared" si="495"/>
        <v/>
      </c>
      <c r="BL1299" t="str">
        <f t="shared" si="496"/>
        <v/>
      </c>
      <c r="BM1299" t="str">
        <f t="shared" si="497"/>
        <v/>
      </c>
      <c r="BN1299" t="str">
        <f t="shared" si="498"/>
        <v/>
      </c>
      <c r="BO1299" t="str">
        <f t="shared" si="499"/>
        <v/>
      </c>
      <c r="BP1299" t="str">
        <f t="shared" si="500"/>
        <v/>
      </c>
      <c r="BQ1299" t="str">
        <f t="shared" si="501"/>
        <v/>
      </c>
      <c r="BR1299" t="str">
        <f t="shared" si="502"/>
        <v/>
      </c>
      <c r="BS1299" t="str">
        <f t="shared" si="503"/>
        <v/>
      </c>
      <c r="BT1299" t="str">
        <f t="shared" si="504"/>
        <v/>
      </c>
      <c r="BU1299" t="str">
        <f t="shared" si="505"/>
        <v/>
      </c>
    </row>
    <row r="1300" spans="1:73">
      <c r="A1300" s="1">
        <v>97799</v>
      </c>
      <c r="B1300" t="str">
        <f>VLOOKUP($A1300,[1]Table!$A$2:$N1440,B$1,FALSE)</f>
        <v>N05AX08</v>
      </c>
      <c r="C1300" t="str">
        <f>VLOOKUP($A1300,[1]Table!$A$2:$N1440,C$1,FALSE)</f>
        <v>PSYCHOLEPTICA</v>
      </c>
      <c r="D1300" t="str">
        <f>VLOOKUP($A1300,[1]Table!$A$2:$N1440,D$1,FALSE)</f>
        <v>ANTIPSYCHOTICA</v>
      </c>
      <c r="E1300" t="str">
        <f>VLOOKUP($A1300,[1]Table!$A$2:$N1440,E$1,FALSE)</f>
        <v>RISPERIDON</v>
      </c>
      <c r="F1300" t="str">
        <f>VLOOKUP($A1300,[1]Table!$A$2:$N1440,F$1,FALSE)</f>
        <v>RISPERDAL 1 MG/ML DRANK 100 ML</v>
      </c>
      <c r="G1300" t="str">
        <f>VLOOKUP($A1300,[1]Table!$A$2:$N1440,G$1,FALSE)</f>
        <v>RISPERIDON 1MG/ML</v>
      </c>
      <c r="H1300" t="str">
        <f>VLOOKUP($A1300,[1]Table!$A$2:$N1440,H$1,FALSE)</f>
        <v>drank</v>
      </c>
      <c r="I1300" t="str">
        <f>VLOOKUP($A1300,[1]Table!$A$2:$N1440,I$1,FALSE)</f>
        <v>or</v>
      </c>
      <c r="J1300">
        <f>VLOOKUP($A1300,[1]Table!$A$2:$N1440,J$1,FALSE)</f>
        <v>1</v>
      </c>
      <c r="K1300" t="str">
        <f>VLOOKUP($A1300,[1]Table!$A$2:$N1440,K$1,FALSE)</f>
        <v>mg/ml</v>
      </c>
      <c r="L1300">
        <f>VLOOKUP($A1300,[1]Table!$A$2:$N1440,L$1,FALSE)</f>
        <v>1</v>
      </c>
      <c r="M1300" t="str">
        <f>VLOOKUP($A1300,[1]Table!$A$2:$N1440,M$1,FALSE)</f>
        <v>mg</v>
      </c>
      <c r="N1300" t="str">
        <f>VLOOKUP($A1300,[1]Table!$A$2:$N1440,N$1,FALSE)</f>
        <v>Pediatrisch delier bij kritisch zieke kinderen||Pervasieve ontwikkelingsstoornissen (autisme spectrum stoornissen, ASS), psychose, manie en agressie, tics</v>
      </c>
      <c r="O1300" t="str">
        <f>ConcatenateRange(AZ1300:BU1300,"||")</f>
        <v/>
      </c>
      <c r="AZ1300" t="str">
        <f t="shared" si="484"/>
        <v/>
      </c>
      <c r="BA1300" t="str">
        <f t="shared" si="485"/>
        <v/>
      </c>
      <c r="BB1300" t="str">
        <f t="shared" si="486"/>
        <v/>
      </c>
      <c r="BC1300" t="str">
        <f t="shared" si="487"/>
        <v/>
      </c>
      <c r="BD1300" t="str">
        <f t="shared" si="488"/>
        <v/>
      </c>
      <c r="BE1300" t="str">
        <f t="shared" si="489"/>
        <v/>
      </c>
      <c r="BF1300" t="str">
        <f t="shared" si="490"/>
        <v/>
      </c>
      <c r="BG1300" t="str">
        <f t="shared" si="491"/>
        <v/>
      </c>
      <c r="BH1300" t="str">
        <f t="shared" si="492"/>
        <v/>
      </c>
      <c r="BI1300" t="str">
        <f t="shared" si="493"/>
        <v/>
      </c>
      <c r="BJ1300" t="str">
        <f t="shared" si="494"/>
        <v/>
      </c>
      <c r="BK1300" t="str">
        <f t="shared" si="495"/>
        <v/>
      </c>
      <c r="BL1300" t="str">
        <f t="shared" si="496"/>
        <v/>
      </c>
      <c r="BM1300" t="str">
        <f t="shared" si="497"/>
        <v/>
      </c>
      <c r="BN1300" t="str">
        <f t="shared" si="498"/>
        <v/>
      </c>
      <c r="BO1300" t="str">
        <f t="shared" si="499"/>
        <v/>
      </c>
      <c r="BP1300" t="str">
        <f t="shared" si="500"/>
        <v/>
      </c>
      <c r="BQ1300" t="str">
        <f t="shared" si="501"/>
        <v/>
      </c>
      <c r="BR1300" t="str">
        <f t="shared" si="502"/>
        <v/>
      </c>
      <c r="BS1300" t="str">
        <f t="shared" si="503"/>
        <v/>
      </c>
      <c r="BT1300" t="str">
        <f t="shared" si="504"/>
        <v/>
      </c>
      <c r="BU1300" t="str">
        <f t="shared" si="505"/>
        <v/>
      </c>
    </row>
    <row r="1301" spans="1:73">
      <c r="A1301" s="1">
        <v>110213</v>
      </c>
      <c r="B1301" t="str">
        <f>VLOOKUP($A1301,[1]Table!$A$2:$N1441,B$1,FALSE)</f>
        <v>N05AX08</v>
      </c>
      <c r="C1301" t="str">
        <f>VLOOKUP($A1301,[1]Table!$A$2:$N1441,C$1,FALSE)</f>
        <v>PSYCHOLEPTICA</v>
      </c>
      <c r="D1301" t="str">
        <f>VLOOKUP($A1301,[1]Table!$A$2:$N1441,D$1,FALSE)</f>
        <v>ANTIPSYCHOTICA</v>
      </c>
      <c r="E1301" t="str">
        <f>VLOOKUP($A1301,[1]Table!$A$2:$N1441,E$1,FALSE)</f>
        <v>RISPERIDON</v>
      </c>
      <c r="F1301" t="str">
        <f>VLOOKUP($A1301,[1]Table!$A$2:$N1441,F$1,FALSE)</f>
        <v>RISPERIDON  0,5 MG TABLET OMHULD</v>
      </c>
      <c r="G1301" t="str">
        <f>VLOOKUP($A1301,[1]Table!$A$2:$N1441,G$1,FALSE)</f>
        <v>RISPERIDON 0,5MG TAB OMHULD</v>
      </c>
      <c r="H1301" t="str">
        <f>VLOOKUP($A1301,[1]Table!$A$2:$N1441,H$1,FALSE)</f>
        <v>omhulde tablet</v>
      </c>
      <c r="I1301" t="str">
        <f>VLOOKUP($A1301,[1]Table!$A$2:$N1441,I$1,FALSE)</f>
        <v>or</v>
      </c>
      <c r="J1301">
        <f>VLOOKUP($A1301,[1]Table!$A$2:$N1441,J$1,FALSE)</f>
        <v>0.5</v>
      </c>
      <c r="K1301" t="str">
        <f>VLOOKUP($A1301,[1]Table!$A$2:$N1441,K$1,FALSE)</f>
        <v>mg/stuk</v>
      </c>
      <c r="L1301">
        <f>VLOOKUP($A1301,[1]Table!$A$2:$N1441,L$1,FALSE)</f>
        <v>0.25</v>
      </c>
      <c r="M1301" t="str">
        <f>VLOOKUP($A1301,[1]Table!$A$2:$N1441,M$1,FALSE)</f>
        <v>mg</v>
      </c>
      <c r="N1301" t="str">
        <f>VLOOKUP($A1301,[1]Table!$A$2:$N1441,N$1,FALSE)</f>
        <v>Pediatrisch delier bij kritisch zieke kinderen||Pervasieve ontwikkelingsstoornissen (autisme spectrum stoornissen, ASS), psychose, manie en agressie, tics</v>
      </c>
      <c r="O1301" t="str">
        <f>ConcatenateRange(AZ1301:BU1301,"||")</f>
        <v/>
      </c>
      <c r="AZ1301" t="str">
        <f t="shared" si="484"/>
        <v/>
      </c>
      <c r="BA1301" t="str">
        <f t="shared" si="485"/>
        <v/>
      </c>
      <c r="BB1301" t="str">
        <f t="shared" si="486"/>
        <v/>
      </c>
      <c r="BC1301" t="str">
        <f t="shared" si="487"/>
        <v/>
      </c>
      <c r="BD1301" t="str">
        <f t="shared" si="488"/>
        <v/>
      </c>
      <c r="BE1301" t="str">
        <f t="shared" si="489"/>
        <v/>
      </c>
      <c r="BF1301" t="str">
        <f t="shared" si="490"/>
        <v/>
      </c>
      <c r="BG1301" t="str">
        <f t="shared" si="491"/>
        <v/>
      </c>
      <c r="BH1301" t="str">
        <f t="shared" si="492"/>
        <v/>
      </c>
      <c r="BI1301" t="str">
        <f t="shared" si="493"/>
        <v/>
      </c>
      <c r="BJ1301" t="str">
        <f t="shared" si="494"/>
        <v/>
      </c>
      <c r="BK1301" t="str">
        <f t="shared" si="495"/>
        <v/>
      </c>
      <c r="BL1301" t="str">
        <f t="shared" si="496"/>
        <v/>
      </c>
      <c r="BM1301" t="str">
        <f t="shared" si="497"/>
        <v/>
      </c>
      <c r="BN1301" t="str">
        <f t="shared" si="498"/>
        <v/>
      </c>
      <c r="BO1301" t="str">
        <f t="shared" si="499"/>
        <v/>
      </c>
      <c r="BP1301" t="str">
        <f t="shared" si="500"/>
        <v/>
      </c>
      <c r="BQ1301" t="str">
        <f t="shared" si="501"/>
        <v/>
      </c>
      <c r="BR1301" t="str">
        <f t="shared" si="502"/>
        <v/>
      </c>
      <c r="BS1301" t="str">
        <f t="shared" si="503"/>
        <v/>
      </c>
      <c r="BT1301" t="str">
        <f t="shared" si="504"/>
        <v/>
      </c>
      <c r="BU1301" t="str">
        <f t="shared" si="505"/>
        <v/>
      </c>
    </row>
    <row r="1302" spans="1:73">
      <c r="A1302" s="1">
        <v>105325</v>
      </c>
      <c r="B1302" t="str">
        <f>VLOOKUP($A1302,[1]Table!$A$2:$N1442,B$1,FALSE)</f>
        <v>N05AX08</v>
      </c>
      <c r="C1302" t="str">
        <f>VLOOKUP($A1302,[1]Table!$A$2:$N1442,C$1,FALSE)</f>
        <v>PSYCHOLEPTICA</v>
      </c>
      <c r="D1302" t="str">
        <f>VLOOKUP($A1302,[1]Table!$A$2:$N1442,D$1,FALSE)</f>
        <v>ANTIPSYCHOTICA</v>
      </c>
      <c r="E1302" t="str">
        <f>VLOOKUP($A1302,[1]Table!$A$2:$N1442,E$1,FALSE)</f>
        <v>RISPERIDON</v>
      </c>
      <c r="F1302" t="str">
        <f>VLOOKUP($A1302,[1]Table!$A$2:$N1442,F$1,FALSE)</f>
        <v>RISPERIDON 1MG TABLET</v>
      </c>
      <c r="G1302" t="str">
        <f>VLOOKUP($A1302,[1]Table!$A$2:$N1442,G$1,FALSE)</f>
        <v>RISPERIDON 1MG TAB OMHULD</v>
      </c>
      <c r="H1302" t="str">
        <f>VLOOKUP($A1302,[1]Table!$A$2:$N1442,H$1,FALSE)</f>
        <v>omhulde tablet</v>
      </c>
      <c r="I1302" t="str">
        <f>VLOOKUP($A1302,[1]Table!$A$2:$N1442,I$1,FALSE)</f>
        <v>or</v>
      </c>
      <c r="J1302">
        <f>VLOOKUP($A1302,[1]Table!$A$2:$N1442,J$1,FALSE)</f>
        <v>1</v>
      </c>
      <c r="K1302" t="str">
        <f>VLOOKUP($A1302,[1]Table!$A$2:$N1442,K$1,FALSE)</f>
        <v>mg/stuk</v>
      </c>
      <c r="L1302">
        <f>VLOOKUP($A1302,[1]Table!$A$2:$N1442,L$1,FALSE)</f>
        <v>0.5</v>
      </c>
      <c r="M1302" t="str">
        <f>VLOOKUP($A1302,[1]Table!$A$2:$N1442,M$1,FALSE)</f>
        <v>mg</v>
      </c>
      <c r="N1302" t="str">
        <f>VLOOKUP($A1302,[1]Table!$A$2:$N1442,N$1,FALSE)</f>
        <v>Pediatrisch delier bij kritisch zieke kinderen||Pervasieve ontwikkelingsstoornissen (autisme spectrum stoornissen, ASS), psychose, manie en agressie, tics</v>
      </c>
      <c r="O1302" t="str">
        <f>ConcatenateRange(AZ1302:BU1302,"||")</f>
        <v/>
      </c>
      <c r="AZ1302" t="str">
        <f t="shared" si="484"/>
        <v/>
      </c>
      <c r="BA1302" t="str">
        <f t="shared" si="485"/>
        <v/>
      </c>
      <c r="BB1302" t="str">
        <f t="shared" si="486"/>
        <v/>
      </c>
      <c r="BC1302" t="str">
        <f t="shared" si="487"/>
        <v/>
      </c>
      <c r="BD1302" t="str">
        <f t="shared" si="488"/>
        <v/>
      </c>
      <c r="BE1302" t="str">
        <f t="shared" si="489"/>
        <v/>
      </c>
      <c r="BF1302" t="str">
        <f t="shared" si="490"/>
        <v/>
      </c>
      <c r="BG1302" t="str">
        <f t="shared" si="491"/>
        <v/>
      </c>
      <c r="BH1302" t="str">
        <f t="shared" si="492"/>
        <v/>
      </c>
      <c r="BI1302" t="str">
        <f t="shared" si="493"/>
        <v/>
      </c>
      <c r="BJ1302" t="str">
        <f t="shared" si="494"/>
        <v/>
      </c>
      <c r="BK1302" t="str">
        <f t="shared" si="495"/>
        <v/>
      </c>
      <c r="BL1302" t="str">
        <f t="shared" si="496"/>
        <v/>
      </c>
      <c r="BM1302" t="str">
        <f t="shared" si="497"/>
        <v/>
      </c>
      <c r="BN1302" t="str">
        <f t="shared" si="498"/>
        <v/>
      </c>
      <c r="BO1302" t="str">
        <f t="shared" si="499"/>
        <v/>
      </c>
      <c r="BP1302" t="str">
        <f t="shared" si="500"/>
        <v/>
      </c>
      <c r="BQ1302" t="str">
        <f t="shared" si="501"/>
        <v/>
      </c>
      <c r="BR1302" t="str">
        <f t="shared" si="502"/>
        <v/>
      </c>
      <c r="BS1302" t="str">
        <f t="shared" si="503"/>
        <v/>
      </c>
      <c r="BT1302" t="str">
        <f t="shared" si="504"/>
        <v/>
      </c>
      <c r="BU1302" t="str">
        <f t="shared" si="505"/>
        <v/>
      </c>
    </row>
    <row r="1303" spans="1:73">
      <c r="A1303" s="1">
        <v>105333</v>
      </c>
      <c r="B1303" t="str">
        <f>VLOOKUP($A1303,[1]Table!$A$2:$N1443,B$1,FALSE)</f>
        <v>N05AX08</v>
      </c>
      <c r="C1303" t="str">
        <f>VLOOKUP($A1303,[1]Table!$A$2:$N1443,C$1,FALSE)</f>
        <v>PSYCHOLEPTICA</v>
      </c>
      <c r="D1303" t="str">
        <f>VLOOKUP($A1303,[1]Table!$A$2:$N1443,D$1,FALSE)</f>
        <v>ANTIPSYCHOTICA</v>
      </c>
      <c r="E1303" t="str">
        <f>VLOOKUP($A1303,[1]Table!$A$2:$N1443,E$1,FALSE)</f>
        <v>RISPERIDON</v>
      </c>
      <c r="F1303" t="str">
        <f>VLOOKUP($A1303,[1]Table!$A$2:$N1443,F$1,FALSE)</f>
        <v>RISPERDAL 2 MG TABLET OMHULD</v>
      </c>
      <c r="G1303" t="str">
        <f>VLOOKUP($A1303,[1]Table!$A$2:$N1443,G$1,FALSE)</f>
        <v>RISPERIDON 2MG TAB OMHULD</v>
      </c>
      <c r="H1303" t="str">
        <f>VLOOKUP($A1303,[1]Table!$A$2:$N1443,H$1,FALSE)</f>
        <v>omhulde tablet</v>
      </c>
      <c r="I1303" t="str">
        <f>VLOOKUP($A1303,[1]Table!$A$2:$N1443,I$1,FALSE)</f>
        <v>or</v>
      </c>
      <c r="J1303">
        <f>VLOOKUP($A1303,[1]Table!$A$2:$N1443,J$1,FALSE)</f>
        <v>2</v>
      </c>
      <c r="K1303" t="str">
        <f>VLOOKUP($A1303,[1]Table!$A$2:$N1443,K$1,FALSE)</f>
        <v>mg/stuk</v>
      </c>
      <c r="L1303">
        <f>VLOOKUP($A1303,[1]Table!$A$2:$N1443,L$1,FALSE)</f>
        <v>2</v>
      </c>
      <c r="M1303" t="str">
        <f>VLOOKUP($A1303,[1]Table!$A$2:$N1443,M$1,FALSE)</f>
        <v>mg</v>
      </c>
      <c r="N1303" t="str">
        <f>VLOOKUP($A1303,[1]Table!$A$2:$N1443,N$1,FALSE)</f>
        <v>Pediatrisch delier bij kritisch zieke kinderen||Pervasieve ontwikkelingsstoornissen (autisme spectrum stoornissen, ASS), psychose, manie en agressie, tics</v>
      </c>
      <c r="O1303" t="str">
        <f>ConcatenateRange(AZ1303:BU1303,"||")</f>
        <v/>
      </c>
      <c r="AZ1303" t="str">
        <f t="shared" si="484"/>
        <v/>
      </c>
      <c r="BA1303" t="str">
        <f t="shared" si="485"/>
        <v/>
      </c>
      <c r="BB1303" t="str">
        <f t="shared" si="486"/>
        <v/>
      </c>
      <c r="BC1303" t="str">
        <f t="shared" si="487"/>
        <v/>
      </c>
      <c r="BD1303" t="str">
        <f t="shared" si="488"/>
        <v/>
      </c>
      <c r="BE1303" t="str">
        <f t="shared" si="489"/>
        <v/>
      </c>
      <c r="BF1303" t="str">
        <f t="shared" si="490"/>
        <v/>
      </c>
      <c r="BG1303" t="str">
        <f t="shared" si="491"/>
        <v/>
      </c>
      <c r="BH1303" t="str">
        <f t="shared" si="492"/>
        <v/>
      </c>
      <c r="BI1303" t="str">
        <f t="shared" si="493"/>
        <v/>
      </c>
      <c r="BJ1303" t="str">
        <f t="shared" si="494"/>
        <v/>
      </c>
      <c r="BK1303" t="str">
        <f t="shared" si="495"/>
        <v/>
      </c>
      <c r="BL1303" t="str">
        <f t="shared" si="496"/>
        <v/>
      </c>
      <c r="BM1303" t="str">
        <f t="shared" si="497"/>
        <v/>
      </c>
      <c r="BN1303" t="str">
        <f t="shared" si="498"/>
        <v/>
      </c>
      <c r="BO1303" t="str">
        <f t="shared" si="499"/>
        <v/>
      </c>
      <c r="BP1303" t="str">
        <f t="shared" si="500"/>
        <v/>
      </c>
      <c r="BQ1303" t="str">
        <f t="shared" si="501"/>
        <v/>
      </c>
      <c r="BR1303" t="str">
        <f t="shared" si="502"/>
        <v/>
      </c>
      <c r="BS1303" t="str">
        <f t="shared" si="503"/>
        <v/>
      </c>
      <c r="BT1303" t="str">
        <f t="shared" si="504"/>
        <v/>
      </c>
      <c r="BU1303" t="str">
        <f t="shared" si="505"/>
        <v/>
      </c>
    </row>
    <row r="1304" spans="1:73">
      <c r="A1304" s="1">
        <v>116939</v>
      </c>
      <c r="B1304" t="str">
        <f>VLOOKUP($A1304,[1]Table!$A$2:$N1444,B$1,FALSE)</f>
        <v>N05AX08</v>
      </c>
      <c r="C1304" t="str">
        <f>VLOOKUP($A1304,[1]Table!$A$2:$N1444,C$1,FALSE)</f>
        <v>PSYCHOLEPTICA</v>
      </c>
      <c r="D1304" t="str">
        <f>VLOOKUP($A1304,[1]Table!$A$2:$N1444,D$1,FALSE)</f>
        <v>ANTIPSYCHOTICA</v>
      </c>
      <c r="E1304" t="str">
        <f>VLOOKUP($A1304,[1]Table!$A$2:$N1444,E$1,FALSE)</f>
        <v>RISPERIDON</v>
      </c>
      <c r="F1304" t="str">
        <f>VLOOKUP($A1304,[1]Table!$A$2:$N1444,F$1,FALSE)</f>
        <v>RISPERDAL CONSTA 25MG INJP+SV</v>
      </c>
      <c r="G1304" t="str">
        <f>VLOOKUP($A1304,[1]Table!$A$2:$N1444,G$1,FALSE)</f>
        <v>RISPERIDON 25MG PDR INJSUSP</v>
      </c>
      <c r="H1304" t="str">
        <f>VLOOKUP($A1304,[1]Table!$A$2:$N1444,H$1,FALSE)</f>
        <v>poeder voor suspensie voor injectie</v>
      </c>
      <c r="I1304" t="str">
        <f>VLOOKUP($A1304,[1]Table!$A$2:$N1444,I$1,FALSE)</f>
        <v>im</v>
      </c>
      <c r="J1304">
        <f>VLOOKUP($A1304,[1]Table!$A$2:$N1444,J$1,FALSE)</f>
        <v>25</v>
      </c>
      <c r="K1304" t="str">
        <f>VLOOKUP($A1304,[1]Table!$A$2:$N1444,K$1,FALSE)</f>
        <v>mg/stuk</v>
      </c>
      <c r="L1304">
        <f>VLOOKUP($A1304,[1]Table!$A$2:$N1444,L$1,FALSE)</f>
        <v>25</v>
      </c>
      <c r="M1304" t="str">
        <f>VLOOKUP($A1304,[1]Table!$A$2:$N1444,M$1,FALSE)</f>
        <v>mg</v>
      </c>
      <c r="N1304" t="str">
        <f>VLOOKUP($A1304,[1]Table!$A$2:$N1444,N$1,FALSE)</f>
        <v>Pediatrisch delier bij kritisch zieke kinderen||Pervasieve ontwikkelingsstoornissen (autisme spectrum stoornissen, ASS), psychose, manie en agressie, tics</v>
      </c>
      <c r="O1304" t="str">
        <f>ConcatenateRange(AZ1304:BU1304,"||")</f>
        <v/>
      </c>
      <c r="AZ1304" t="str">
        <f t="shared" si="484"/>
        <v/>
      </c>
      <c r="BA1304" t="str">
        <f t="shared" si="485"/>
        <v/>
      </c>
      <c r="BB1304" t="str">
        <f t="shared" si="486"/>
        <v/>
      </c>
      <c r="BC1304" t="str">
        <f t="shared" si="487"/>
        <v/>
      </c>
      <c r="BD1304" t="str">
        <f t="shared" si="488"/>
        <v/>
      </c>
      <c r="BE1304" t="str">
        <f t="shared" si="489"/>
        <v/>
      </c>
      <c r="BF1304" t="str">
        <f t="shared" si="490"/>
        <v/>
      </c>
      <c r="BG1304" t="str">
        <f t="shared" si="491"/>
        <v/>
      </c>
      <c r="BH1304" t="str">
        <f t="shared" si="492"/>
        <v/>
      </c>
      <c r="BI1304" t="str">
        <f t="shared" si="493"/>
        <v/>
      </c>
      <c r="BJ1304" t="str">
        <f t="shared" si="494"/>
        <v/>
      </c>
      <c r="BK1304" t="str">
        <f t="shared" si="495"/>
        <v/>
      </c>
      <c r="BL1304" t="str">
        <f t="shared" si="496"/>
        <v/>
      </c>
      <c r="BM1304" t="str">
        <f t="shared" si="497"/>
        <v/>
      </c>
      <c r="BN1304" t="str">
        <f t="shared" si="498"/>
        <v/>
      </c>
      <c r="BO1304" t="str">
        <f t="shared" si="499"/>
        <v/>
      </c>
      <c r="BP1304" t="str">
        <f t="shared" si="500"/>
        <v/>
      </c>
      <c r="BQ1304" t="str">
        <f t="shared" si="501"/>
        <v/>
      </c>
      <c r="BR1304" t="str">
        <f t="shared" si="502"/>
        <v/>
      </c>
      <c r="BS1304" t="str">
        <f t="shared" si="503"/>
        <v/>
      </c>
      <c r="BT1304" t="str">
        <f t="shared" si="504"/>
        <v/>
      </c>
      <c r="BU1304" t="str">
        <f t="shared" si="505"/>
        <v/>
      </c>
    </row>
    <row r="1305" spans="1:73">
      <c r="A1305" s="1">
        <v>116947</v>
      </c>
      <c r="B1305" t="str">
        <f>VLOOKUP($A1305,[1]Table!$A$2:$N1445,B$1,FALSE)</f>
        <v>N05AX08</v>
      </c>
      <c r="C1305" t="str">
        <f>VLOOKUP($A1305,[1]Table!$A$2:$N1445,C$1,FALSE)</f>
        <v>PSYCHOLEPTICA</v>
      </c>
      <c r="D1305" t="str">
        <f>VLOOKUP($A1305,[1]Table!$A$2:$N1445,D$1,FALSE)</f>
        <v>ANTIPSYCHOTICA</v>
      </c>
      <c r="E1305" t="str">
        <f>VLOOKUP($A1305,[1]Table!$A$2:$N1445,E$1,FALSE)</f>
        <v>RISPERIDON</v>
      </c>
      <c r="F1305" t="str">
        <f>VLOOKUP($A1305,[1]Table!$A$2:$N1445,F$1,FALSE)</f>
        <v>RISPERDAL CONSTA 37,5MG INJP+SV</v>
      </c>
      <c r="G1305" t="str">
        <f>VLOOKUP($A1305,[1]Table!$A$2:$N1445,G$1,FALSE)</f>
        <v>RISPERIDON 37,5MG PDR INJSU</v>
      </c>
      <c r="H1305" t="str">
        <f>VLOOKUP($A1305,[1]Table!$A$2:$N1445,H$1,FALSE)</f>
        <v>poeder voor suspensie voor injectie</v>
      </c>
      <c r="I1305" t="str">
        <f>VLOOKUP($A1305,[1]Table!$A$2:$N1445,I$1,FALSE)</f>
        <v>im</v>
      </c>
      <c r="J1305">
        <f>VLOOKUP($A1305,[1]Table!$A$2:$N1445,J$1,FALSE)</f>
        <v>37.5</v>
      </c>
      <c r="K1305" t="str">
        <f>VLOOKUP($A1305,[1]Table!$A$2:$N1445,K$1,FALSE)</f>
        <v>mg/stuk</v>
      </c>
      <c r="L1305">
        <f>VLOOKUP($A1305,[1]Table!$A$2:$N1445,L$1,FALSE)</f>
        <v>37.5</v>
      </c>
      <c r="M1305" t="str">
        <f>VLOOKUP($A1305,[1]Table!$A$2:$N1445,M$1,FALSE)</f>
        <v>mg</v>
      </c>
      <c r="N1305" t="str">
        <f>VLOOKUP($A1305,[1]Table!$A$2:$N1445,N$1,FALSE)</f>
        <v>Pediatrisch delier bij kritisch zieke kinderen||Pervasieve ontwikkelingsstoornissen (autisme spectrum stoornissen, ASS), psychose, manie en agressie, tics</v>
      </c>
      <c r="O1305" t="str">
        <f>ConcatenateRange(AZ1305:BU1305,"||")</f>
        <v/>
      </c>
      <c r="AZ1305" t="str">
        <f t="shared" si="484"/>
        <v/>
      </c>
      <c r="BA1305" t="str">
        <f t="shared" si="485"/>
        <v/>
      </c>
      <c r="BB1305" t="str">
        <f t="shared" si="486"/>
        <v/>
      </c>
      <c r="BC1305" t="str">
        <f t="shared" si="487"/>
        <v/>
      </c>
      <c r="BD1305" t="str">
        <f t="shared" si="488"/>
        <v/>
      </c>
      <c r="BE1305" t="str">
        <f t="shared" si="489"/>
        <v/>
      </c>
      <c r="BF1305" t="str">
        <f t="shared" si="490"/>
        <v/>
      </c>
      <c r="BG1305" t="str">
        <f t="shared" si="491"/>
        <v/>
      </c>
      <c r="BH1305" t="str">
        <f t="shared" si="492"/>
        <v/>
      </c>
      <c r="BI1305" t="str">
        <f t="shared" si="493"/>
        <v/>
      </c>
      <c r="BJ1305" t="str">
        <f t="shared" si="494"/>
        <v/>
      </c>
      <c r="BK1305" t="str">
        <f t="shared" si="495"/>
        <v/>
      </c>
      <c r="BL1305" t="str">
        <f t="shared" si="496"/>
        <v/>
      </c>
      <c r="BM1305" t="str">
        <f t="shared" si="497"/>
        <v/>
      </c>
      <c r="BN1305" t="str">
        <f t="shared" si="498"/>
        <v/>
      </c>
      <c r="BO1305" t="str">
        <f t="shared" si="499"/>
        <v/>
      </c>
      <c r="BP1305" t="str">
        <f t="shared" si="500"/>
        <v/>
      </c>
      <c r="BQ1305" t="str">
        <f t="shared" si="501"/>
        <v/>
      </c>
      <c r="BR1305" t="str">
        <f t="shared" si="502"/>
        <v/>
      </c>
      <c r="BS1305" t="str">
        <f t="shared" si="503"/>
        <v/>
      </c>
      <c r="BT1305" t="str">
        <f t="shared" si="504"/>
        <v/>
      </c>
      <c r="BU1305" t="str">
        <f t="shared" si="505"/>
        <v/>
      </c>
    </row>
    <row r="1306" spans="1:73">
      <c r="A1306" s="1">
        <v>116955</v>
      </c>
      <c r="B1306" t="str">
        <f>VLOOKUP($A1306,[1]Table!$A$2:$N1446,B$1,FALSE)</f>
        <v>N05AX08</v>
      </c>
      <c r="C1306" t="str">
        <f>VLOOKUP($A1306,[1]Table!$A$2:$N1446,C$1,FALSE)</f>
        <v>PSYCHOLEPTICA</v>
      </c>
      <c r="D1306" t="str">
        <f>VLOOKUP($A1306,[1]Table!$A$2:$N1446,D$1,FALSE)</f>
        <v>ANTIPSYCHOTICA</v>
      </c>
      <c r="E1306" t="str">
        <f>VLOOKUP($A1306,[1]Table!$A$2:$N1446,E$1,FALSE)</f>
        <v>RISPERIDON</v>
      </c>
      <c r="F1306" t="str">
        <f>VLOOKUP($A1306,[1]Table!$A$2:$N1446,F$1,FALSE)</f>
        <v>RISPERDAL CONSTA 50MG INJP+SV</v>
      </c>
      <c r="G1306" t="str">
        <f>VLOOKUP($A1306,[1]Table!$A$2:$N1446,G$1,FALSE)</f>
        <v>RISPERIDON 50MG PDR INJSUSP</v>
      </c>
      <c r="H1306" t="str">
        <f>VLOOKUP($A1306,[1]Table!$A$2:$N1446,H$1,FALSE)</f>
        <v>poeder voor suspensie voor injectie</v>
      </c>
      <c r="I1306" t="str">
        <f>VLOOKUP($A1306,[1]Table!$A$2:$N1446,I$1,FALSE)</f>
        <v>im</v>
      </c>
      <c r="J1306">
        <f>VLOOKUP($A1306,[1]Table!$A$2:$N1446,J$1,FALSE)</f>
        <v>50</v>
      </c>
      <c r="K1306" t="str">
        <f>VLOOKUP($A1306,[1]Table!$A$2:$N1446,K$1,FALSE)</f>
        <v>mg/stuk</v>
      </c>
      <c r="L1306">
        <f>VLOOKUP($A1306,[1]Table!$A$2:$N1446,L$1,FALSE)</f>
        <v>50</v>
      </c>
      <c r="M1306" t="str">
        <f>VLOOKUP($A1306,[1]Table!$A$2:$N1446,M$1,FALSE)</f>
        <v>mg</v>
      </c>
      <c r="N1306" t="str">
        <f>VLOOKUP($A1306,[1]Table!$A$2:$N1446,N$1,FALSE)</f>
        <v>Pediatrisch delier bij kritisch zieke kinderen||Pervasieve ontwikkelingsstoornissen (autisme spectrum stoornissen, ASS), psychose, manie en agressie, tics</v>
      </c>
      <c r="O1306" t="str">
        <f>ConcatenateRange(AZ1306:BU1306,"||")</f>
        <v/>
      </c>
      <c r="AZ1306" t="str">
        <f t="shared" si="484"/>
        <v/>
      </c>
      <c r="BA1306" t="str">
        <f t="shared" si="485"/>
        <v/>
      </c>
      <c r="BB1306" t="str">
        <f t="shared" si="486"/>
        <v/>
      </c>
      <c r="BC1306" t="str">
        <f t="shared" si="487"/>
        <v/>
      </c>
      <c r="BD1306" t="str">
        <f t="shared" si="488"/>
        <v/>
      </c>
      <c r="BE1306" t="str">
        <f t="shared" si="489"/>
        <v/>
      </c>
      <c r="BF1306" t="str">
        <f t="shared" si="490"/>
        <v/>
      </c>
      <c r="BG1306" t="str">
        <f t="shared" si="491"/>
        <v/>
      </c>
      <c r="BH1306" t="str">
        <f t="shared" si="492"/>
        <v/>
      </c>
      <c r="BI1306" t="str">
        <f t="shared" si="493"/>
        <v/>
      </c>
      <c r="BJ1306" t="str">
        <f t="shared" si="494"/>
        <v/>
      </c>
      <c r="BK1306" t="str">
        <f t="shared" si="495"/>
        <v/>
      </c>
      <c r="BL1306" t="str">
        <f t="shared" si="496"/>
        <v/>
      </c>
      <c r="BM1306" t="str">
        <f t="shared" si="497"/>
        <v/>
      </c>
      <c r="BN1306" t="str">
        <f t="shared" si="498"/>
        <v/>
      </c>
      <c r="BO1306" t="str">
        <f t="shared" si="499"/>
        <v/>
      </c>
      <c r="BP1306" t="str">
        <f t="shared" si="500"/>
        <v/>
      </c>
      <c r="BQ1306" t="str">
        <f t="shared" si="501"/>
        <v/>
      </c>
      <c r="BR1306" t="str">
        <f t="shared" si="502"/>
        <v/>
      </c>
      <c r="BS1306" t="str">
        <f t="shared" si="503"/>
        <v/>
      </c>
      <c r="BT1306" t="str">
        <f t="shared" si="504"/>
        <v/>
      </c>
      <c r="BU1306" t="str">
        <f t="shared" si="505"/>
        <v/>
      </c>
    </row>
    <row r="1307" spans="1:73">
      <c r="A1307" s="1">
        <v>117455</v>
      </c>
      <c r="B1307" t="str">
        <f>VLOOKUP($A1307,[1]Table!$A$2:$N1447,B$1,FALSE)</f>
        <v>N05AX08</v>
      </c>
      <c r="C1307" t="str">
        <f>VLOOKUP($A1307,[1]Table!$A$2:$N1447,C$1,FALSE)</f>
        <v>PSYCHOLEPTICA</v>
      </c>
      <c r="D1307" t="str">
        <f>VLOOKUP($A1307,[1]Table!$A$2:$N1447,D$1,FALSE)</f>
        <v>ANTIPSYCHOTICA</v>
      </c>
      <c r="E1307" t="str">
        <f>VLOOKUP($A1307,[1]Table!$A$2:$N1447,E$1,FALSE)</f>
        <v>RISPERIDON</v>
      </c>
      <c r="F1307" t="str">
        <f>VLOOKUP($A1307,[1]Table!$A$2:$N1447,F$1,FALSE)</f>
        <v>RISPERIDON ORODISP 1 MG SMELTTABLET</v>
      </c>
      <c r="G1307" t="str">
        <f>VLOOKUP($A1307,[1]Table!$A$2:$N1447,G$1,FALSE)</f>
        <v>RISPERIDON 1MG SMELTTABLET</v>
      </c>
      <c r="H1307" t="str">
        <f>VLOOKUP($A1307,[1]Table!$A$2:$N1447,H$1,FALSE)</f>
        <v>smelttablet</v>
      </c>
      <c r="I1307" t="str">
        <f>VLOOKUP($A1307,[1]Table!$A$2:$N1447,I$1,FALSE)</f>
        <v>or</v>
      </c>
      <c r="J1307">
        <f>VLOOKUP($A1307,[1]Table!$A$2:$N1447,J$1,FALSE)</f>
        <v>1</v>
      </c>
      <c r="K1307" t="str">
        <f>VLOOKUP($A1307,[1]Table!$A$2:$N1447,K$1,FALSE)</f>
        <v>mg/stuk</v>
      </c>
      <c r="L1307">
        <f>VLOOKUP($A1307,[1]Table!$A$2:$N1447,L$1,FALSE)</f>
        <v>1</v>
      </c>
      <c r="M1307" t="str">
        <f>VLOOKUP($A1307,[1]Table!$A$2:$N1447,M$1,FALSE)</f>
        <v>mg</v>
      </c>
      <c r="N1307" t="str">
        <f>VLOOKUP($A1307,[1]Table!$A$2:$N1447,N$1,FALSE)</f>
        <v>Pediatrisch delier bij kritisch zieke kinderen||Pervasieve ontwikkelingsstoornissen (autisme spectrum stoornissen, ASS), psychose, manie en agressie, tics</v>
      </c>
      <c r="O1307" t="str">
        <f>ConcatenateRange(AZ1307:BU1307,"||")</f>
        <v/>
      </c>
      <c r="AZ1307" t="str">
        <f t="shared" si="484"/>
        <v/>
      </c>
      <c r="BA1307" t="str">
        <f t="shared" si="485"/>
        <v/>
      </c>
      <c r="BB1307" t="str">
        <f t="shared" si="486"/>
        <v/>
      </c>
      <c r="BC1307" t="str">
        <f t="shared" si="487"/>
        <v/>
      </c>
      <c r="BD1307" t="str">
        <f t="shared" si="488"/>
        <v/>
      </c>
      <c r="BE1307" t="str">
        <f t="shared" si="489"/>
        <v/>
      </c>
      <c r="BF1307" t="str">
        <f t="shared" si="490"/>
        <v/>
      </c>
      <c r="BG1307" t="str">
        <f t="shared" si="491"/>
        <v/>
      </c>
      <c r="BH1307" t="str">
        <f t="shared" si="492"/>
        <v/>
      </c>
      <c r="BI1307" t="str">
        <f t="shared" si="493"/>
        <v/>
      </c>
      <c r="BJ1307" t="str">
        <f t="shared" si="494"/>
        <v/>
      </c>
      <c r="BK1307" t="str">
        <f t="shared" si="495"/>
        <v/>
      </c>
      <c r="BL1307" t="str">
        <f t="shared" si="496"/>
        <v/>
      </c>
      <c r="BM1307" t="str">
        <f t="shared" si="497"/>
        <v/>
      </c>
      <c r="BN1307" t="str">
        <f t="shared" si="498"/>
        <v/>
      </c>
      <c r="BO1307" t="str">
        <f t="shared" si="499"/>
        <v/>
      </c>
      <c r="BP1307" t="str">
        <f t="shared" si="500"/>
        <v/>
      </c>
      <c r="BQ1307" t="str">
        <f t="shared" si="501"/>
        <v/>
      </c>
      <c r="BR1307" t="str">
        <f t="shared" si="502"/>
        <v/>
      </c>
      <c r="BS1307" t="str">
        <f t="shared" si="503"/>
        <v/>
      </c>
      <c r="BT1307" t="str">
        <f t="shared" si="504"/>
        <v/>
      </c>
      <c r="BU1307" t="str">
        <f t="shared" si="505"/>
        <v/>
      </c>
    </row>
    <row r="1308" spans="1:73">
      <c r="A1308" s="1">
        <v>117463</v>
      </c>
      <c r="B1308" t="str">
        <f>VLOOKUP($A1308,[1]Table!$A$2:$N1448,B$1,FALSE)</f>
        <v>N05AX08</v>
      </c>
      <c r="C1308" t="str">
        <f>VLOOKUP($A1308,[1]Table!$A$2:$N1448,C$1,FALSE)</f>
        <v>PSYCHOLEPTICA</v>
      </c>
      <c r="D1308" t="str">
        <f>VLOOKUP($A1308,[1]Table!$A$2:$N1448,D$1,FALSE)</f>
        <v>ANTIPSYCHOTICA</v>
      </c>
      <c r="E1308" t="str">
        <f>VLOOKUP($A1308,[1]Table!$A$2:$N1448,E$1,FALSE)</f>
        <v>RISPERIDON</v>
      </c>
      <c r="F1308" t="str">
        <f>VLOOKUP($A1308,[1]Table!$A$2:$N1448,F$1,FALSE)</f>
        <v>RISPERIDON 2 MG SMELTTABLET</v>
      </c>
      <c r="G1308" t="str">
        <f>VLOOKUP($A1308,[1]Table!$A$2:$N1448,G$1,FALSE)</f>
        <v>RISPERIDON 2MG SMELTTABLET</v>
      </c>
      <c r="H1308" t="str">
        <f>VLOOKUP($A1308,[1]Table!$A$2:$N1448,H$1,FALSE)</f>
        <v>smelttablet</v>
      </c>
      <c r="I1308" t="str">
        <f>VLOOKUP($A1308,[1]Table!$A$2:$N1448,I$1,FALSE)</f>
        <v>or</v>
      </c>
      <c r="J1308">
        <f>VLOOKUP($A1308,[1]Table!$A$2:$N1448,J$1,FALSE)</f>
        <v>2</v>
      </c>
      <c r="K1308" t="str">
        <f>VLOOKUP($A1308,[1]Table!$A$2:$N1448,K$1,FALSE)</f>
        <v>mg/stuk</v>
      </c>
      <c r="L1308">
        <f>VLOOKUP($A1308,[1]Table!$A$2:$N1448,L$1,FALSE)</f>
        <v>2</v>
      </c>
      <c r="M1308" t="str">
        <f>VLOOKUP($A1308,[1]Table!$A$2:$N1448,M$1,FALSE)</f>
        <v>mg</v>
      </c>
      <c r="N1308" t="str">
        <f>VLOOKUP($A1308,[1]Table!$A$2:$N1448,N$1,FALSE)</f>
        <v>Pediatrisch delier bij kritisch zieke kinderen||Pervasieve ontwikkelingsstoornissen (autisme spectrum stoornissen, ASS), psychose, manie en agressie, tics</v>
      </c>
      <c r="O1308" t="str">
        <f>ConcatenateRange(AZ1308:BU1308,"||")</f>
        <v/>
      </c>
      <c r="AZ1308" t="str">
        <f t="shared" si="484"/>
        <v/>
      </c>
      <c r="BA1308" t="str">
        <f t="shared" si="485"/>
        <v/>
      </c>
      <c r="BB1308" t="str">
        <f t="shared" si="486"/>
        <v/>
      </c>
      <c r="BC1308" t="str">
        <f t="shared" si="487"/>
        <v/>
      </c>
      <c r="BD1308" t="str">
        <f t="shared" si="488"/>
        <v/>
      </c>
      <c r="BE1308" t="str">
        <f t="shared" si="489"/>
        <v/>
      </c>
      <c r="BF1308" t="str">
        <f t="shared" si="490"/>
        <v/>
      </c>
      <c r="BG1308" t="str">
        <f t="shared" si="491"/>
        <v/>
      </c>
      <c r="BH1308" t="str">
        <f t="shared" si="492"/>
        <v/>
      </c>
      <c r="BI1308" t="str">
        <f t="shared" si="493"/>
        <v/>
      </c>
      <c r="BJ1308" t="str">
        <f t="shared" si="494"/>
        <v/>
      </c>
      <c r="BK1308" t="str">
        <f t="shared" si="495"/>
        <v/>
      </c>
      <c r="BL1308" t="str">
        <f t="shared" si="496"/>
        <v/>
      </c>
      <c r="BM1308" t="str">
        <f t="shared" si="497"/>
        <v/>
      </c>
      <c r="BN1308" t="str">
        <f t="shared" si="498"/>
        <v/>
      </c>
      <c r="BO1308" t="str">
        <f t="shared" si="499"/>
        <v/>
      </c>
      <c r="BP1308" t="str">
        <f t="shared" si="500"/>
        <v/>
      </c>
      <c r="BQ1308" t="str">
        <f t="shared" si="501"/>
        <v/>
      </c>
      <c r="BR1308" t="str">
        <f t="shared" si="502"/>
        <v/>
      </c>
      <c r="BS1308" t="str">
        <f t="shared" si="503"/>
        <v/>
      </c>
      <c r="BT1308" t="str">
        <f t="shared" si="504"/>
        <v/>
      </c>
      <c r="BU1308" t="str">
        <f t="shared" si="505"/>
        <v/>
      </c>
    </row>
    <row r="1309" spans="1:73">
      <c r="A1309" s="1">
        <v>160466</v>
      </c>
      <c r="B1309" t="str">
        <f>VLOOKUP($A1309,[1]Table!$A$2:$N1451,B$1,FALSE)</f>
        <v>J05AE03</v>
      </c>
      <c r="C1309" t="str">
        <f>VLOOKUP($A1309,[1]Table!$A$2:$N1451,C$1,FALSE)</f>
        <v>ANTIVIRALE MIDDELEN VOOR SYSTEMISCH GEBRUIK</v>
      </c>
      <c r="D1309" t="str">
        <f>VLOOKUP($A1309,[1]Table!$A$2:$N1451,D$1,FALSE)</f>
        <v>DIRECT WERKENDE ANTIVIRALE MIDDELEN</v>
      </c>
      <c r="E1309" t="str">
        <f>VLOOKUP($A1309,[1]Table!$A$2:$N1451,E$1,FALSE)</f>
        <v>RITONAVIR</v>
      </c>
      <c r="F1309" t="str">
        <f>VLOOKUP($A1309,[1]Table!$A$2:$N1451,F$1,FALSE)</f>
        <v>NORVIR 100MG POEDER VOOR SUSPENSIE IN SACHET</v>
      </c>
      <c r="G1309" t="str">
        <f>VLOOKUP($A1309,[1]Table!$A$2:$N1451,G$1,FALSE)</f>
        <v>RITONAVIR 100MG PDR V SUSP</v>
      </c>
      <c r="H1309" t="str">
        <f>VLOOKUP($A1309,[1]Table!$A$2:$N1451,H$1,FALSE)</f>
        <v>poeder voor orale suspensie</v>
      </c>
      <c r="I1309" t="str">
        <f>VLOOKUP($A1309,[1]Table!$A$2:$N1451,I$1,FALSE)</f>
        <v>or</v>
      </c>
      <c r="J1309">
        <f>VLOOKUP($A1309,[1]Table!$A$2:$N1451,J$1,FALSE)</f>
        <v>100</v>
      </c>
      <c r="K1309" t="str">
        <f>VLOOKUP($A1309,[1]Table!$A$2:$N1451,K$1,FALSE)</f>
        <v>mg/stuk</v>
      </c>
      <c r="L1309">
        <f>VLOOKUP($A1309,[1]Table!$A$2:$N1451,L$1,FALSE)</f>
        <v>100</v>
      </c>
      <c r="M1309" t="str">
        <f>VLOOKUP($A1309,[1]Table!$A$2:$N1451,M$1,FALSE)</f>
        <v>mg</v>
      </c>
      <c r="N1309" t="str">
        <f>VLOOKUP($A1309,[1]Table!$A$2:$N1451,N$1,FALSE)</f>
        <v>HIV</v>
      </c>
      <c r="O1309" t="str">
        <f>ConcatenateRange(AZ1309:BU1309,"||")</f>
        <v/>
      </c>
      <c r="AZ1309" t="str">
        <f t="shared" si="484"/>
        <v/>
      </c>
      <c r="BA1309" t="str">
        <f t="shared" si="485"/>
        <v/>
      </c>
      <c r="BB1309" t="str">
        <f t="shared" si="486"/>
        <v/>
      </c>
      <c r="BC1309" t="str">
        <f t="shared" si="487"/>
        <v/>
      </c>
      <c r="BD1309" t="str">
        <f t="shared" si="488"/>
        <v/>
      </c>
      <c r="BE1309" t="str">
        <f t="shared" si="489"/>
        <v/>
      </c>
      <c r="BF1309" t="str">
        <f t="shared" si="490"/>
        <v/>
      </c>
      <c r="BG1309" t="str">
        <f t="shared" si="491"/>
        <v/>
      </c>
      <c r="BH1309" t="str">
        <f t="shared" si="492"/>
        <v/>
      </c>
      <c r="BI1309" t="str">
        <f t="shared" si="493"/>
        <v/>
      </c>
      <c r="BJ1309" t="str">
        <f t="shared" si="494"/>
        <v/>
      </c>
      <c r="BK1309" t="str">
        <f t="shared" si="495"/>
        <v/>
      </c>
      <c r="BL1309" t="str">
        <f t="shared" si="496"/>
        <v/>
      </c>
      <c r="BM1309" t="str">
        <f t="shared" si="497"/>
        <v/>
      </c>
      <c r="BN1309" t="str">
        <f t="shared" si="498"/>
        <v/>
      </c>
      <c r="BO1309" t="str">
        <f t="shared" si="499"/>
        <v/>
      </c>
      <c r="BP1309" t="str">
        <f t="shared" si="500"/>
        <v/>
      </c>
      <c r="BQ1309" t="str">
        <f t="shared" si="501"/>
        <v/>
      </c>
      <c r="BR1309" t="str">
        <f t="shared" si="502"/>
        <v/>
      </c>
      <c r="BS1309" t="str">
        <f t="shared" si="503"/>
        <v/>
      </c>
      <c r="BT1309" t="str">
        <f t="shared" si="504"/>
        <v/>
      </c>
      <c r="BU1309" t="str">
        <f t="shared" si="505"/>
        <v/>
      </c>
    </row>
    <row r="1310" spans="1:73">
      <c r="A1310" s="1">
        <v>134031</v>
      </c>
      <c r="B1310" t="str">
        <f>VLOOKUP($A1310,[1]Table!$A$2:$N1452,B$1,FALSE)</f>
        <v>J05AE03</v>
      </c>
      <c r="C1310" t="str">
        <f>VLOOKUP($A1310,[1]Table!$A$2:$N1452,C$1,FALSE)</f>
        <v>ANTIVIRALE MIDDELEN VOOR SYSTEMISCH GEBRUIK</v>
      </c>
      <c r="D1310" t="str">
        <f>VLOOKUP($A1310,[1]Table!$A$2:$N1452,D$1,FALSE)</f>
        <v>DIRECT WERKENDE ANTIVIRALE MIDDELEN</v>
      </c>
      <c r="E1310" t="str">
        <f>VLOOKUP($A1310,[1]Table!$A$2:$N1452,E$1,FALSE)</f>
        <v>RITONAVIR</v>
      </c>
      <c r="F1310" t="str">
        <f>VLOOKUP($A1310,[1]Table!$A$2:$N1452,F$1,FALSE)</f>
        <v>NORVIR 100 MG TABLET FILMOMHULD</v>
      </c>
      <c r="G1310" t="str">
        <f>VLOOKUP($A1310,[1]Table!$A$2:$N1452,G$1,FALSE)</f>
        <v>RITONAVIR 100MG TABLET</v>
      </c>
      <c r="H1310" t="str">
        <f>VLOOKUP($A1310,[1]Table!$A$2:$N1452,H$1,FALSE)</f>
        <v>tablet</v>
      </c>
      <c r="I1310" t="str">
        <f>VLOOKUP($A1310,[1]Table!$A$2:$N1452,I$1,FALSE)</f>
        <v>or</v>
      </c>
      <c r="J1310">
        <f>VLOOKUP($A1310,[1]Table!$A$2:$N1452,J$1,FALSE)</f>
        <v>100</v>
      </c>
      <c r="K1310" t="str">
        <f>VLOOKUP($A1310,[1]Table!$A$2:$N1452,K$1,FALSE)</f>
        <v>mg/stuk</v>
      </c>
      <c r="L1310">
        <f>VLOOKUP($A1310,[1]Table!$A$2:$N1452,L$1,FALSE)</f>
        <v>100</v>
      </c>
      <c r="M1310" t="str">
        <f>VLOOKUP($A1310,[1]Table!$A$2:$N1452,M$1,FALSE)</f>
        <v>mg</v>
      </c>
      <c r="N1310" t="str">
        <f>VLOOKUP($A1310,[1]Table!$A$2:$N1452,N$1,FALSE)</f>
        <v>HIV</v>
      </c>
      <c r="O1310" t="str">
        <f>ConcatenateRange(AZ1310:BU1310,"||")</f>
        <v/>
      </c>
      <c r="AZ1310" t="str">
        <f t="shared" si="484"/>
        <v/>
      </c>
      <c r="BA1310" t="str">
        <f t="shared" si="485"/>
        <v/>
      </c>
      <c r="BB1310" t="str">
        <f t="shared" si="486"/>
        <v/>
      </c>
      <c r="BC1310" t="str">
        <f t="shared" si="487"/>
        <v/>
      </c>
      <c r="BD1310" t="str">
        <f t="shared" si="488"/>
        <v/>
      </c>
      <c r="BE1310" t="str">
        <f t="shared" si="489"/>
        <v/>
      </c>
      <c r="BF1310" t="str">
        <f t="shared" si="490"/>
        <v/>
      </c>
      <c r="BG1310" t="str">
        <f t="shared" si="491"/>
        <v/>
      </c>
      <c r="BH1310" t="str">
        <f t="shared" si="492"/>
        <v/>
      </c>
      <c r="BI1310" t="str">
        <f t="shared" si="493"/>
        <v/>
      </c>
      <c r="BJ1310" t="str">
        <f t="shared" si="494"/>
        <v/>
      </c>
      <c r="BK1310" t="str">
        <f t="shared" si="495"/>
        <v/>
      </c>
      <c r="BL1310" t="str">
        <f t="shared" si="496"/>
        <v/>
      </c>
      <c r="BM1310" t="str">
        <f t="shared" si="497"/>
        <v/>
      </c>
      <c r="BN1310" t="str">
        <f t="shared" si="498"/>
        <v/>
      </c>
      <c r="BO1310" t="str">
        <f t="shared" si="499"/>
        <v/>
      </c>
      <c r="BP1310" t="str">
        <f t="shared" si="500"/>
        <v/>
      </c>
      <c r="BQ1310" t="str">
        <f t="shared" si="501"/>
        <v/>
      </c>
      <c r="BR1310" t="str">
        <f t="shared" si="502"/>
        <v/>
      </c>
      <c r="BS1310" t="str">
        <f t="shared" si="503"/>
        <v/>
      </c>
      <c r="BT1310" t="str">
        <f t="shared" si="504"/>
        <v/>
      </c>
      <c r="BU1310" t="str">
        <f t="shared" si="505"/>
        <v/>
      </c>
    </row>
    <row r="1311" spans="1:73">
      <c r="A1311" s="1">
        <v>104930</v>
      </c>
      <c r="B1311" t="str">
        <f>VLOOKUP($A1311,[1]Table!$A$2:$N1453,B$1,FALSE)</f>
        <v>L01XC02</v>
      </c>
      <c r="C1311" t="str">
        <f>VLOOKUP($A1311,[1]Table!$A$2:$N1453,C$1,FALSE)</f>
        <v>ONCOLYTICA</v>
      </c>
      <c r="D1311" t="str">
        <f>VLOOKUP($A1311,[1]Table!$A$2:$N1453,D$1,FALSE)</f>
        <v>OVERIGE ONCOLYTICA</v>
      </c>
      <c r="E1311" t="str">
        <f>VLOOKUP($A1311,[1]Table!$A$2:$N1453,E$1,FALSE)</f>
        <v>RITUXIMAB</v>
      </c>
      <c r="F1311" t="str">
        <f>VLOOKUP($A1311,[1]Table!$A$2:$N1453,F$1,FALSE)</f>
        <v>MABTHERA 10 MG/ML FLACON 10ML</v>
      </c>
      <c r="G1311" t="str">
        <f>VLOOKUP($A1311,[1]Table!$A$2:$N1453,G$1,FALSE)</f>
        <v>RITUXIMAB 10MG/ML INF CONC</v>
      </c>
      <c r="H1311" t="str">
        <f>VLOOKUP($A1311,[1]Table!$A$2:$N1453,H$1,FALSE)</f>
        <v>concentraat voor oplossing voor infusie</v>
      </c>
      <c r="I1311" t="str">
        <f>VLOOKUP($A1311,[1]Table!$A$2:$N1453,I$1,FALSE)</f>
        <v>iv</v>
      </c>
      <c r="J1311">
        <f>VLOOKUP($A1311,[1]Table!$A$2:$N1453,J$1,FALSE)</f>
        <v>10</v>
      </c>
      <c r="K1311" t="str">
        <f>VLOOKUP($A1311,[1]Table!$A$2:$N1453,K$1,FALSE)</f>
        <v>mg/ml</v>
      </c>
      <c r="L1311">
        <f>VLOOKUP($A1311,[1]Table!$A$2:$N1453,L$1,FALSE)</f>
        <v>10</v>
      </c>
      <c r="M1311" t="str">
        <f>VLOOKUP($A1311,[1]Table!$A$2:$N1453,M$1,FALSE)</f>
        <v>mg</v>
      </c>
      <c r="N1311" t="str">
        <f>VLOOKUP($A1311,[1]Table!$A$2:$N1453,N$1,FALSE)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11" t="str">
        <f>ConcatenateRange(AZ1311:BU1311,"||")</f>
        <v/>
      </c>
      <c r="AZ1311" t="str">
        <f t="shared" si="484"/>
        <v/>
      </c>
      <c r="BA1311" t="str">
        <f t="shared" si="485"/>
        <v/>
      </c>
      <c r="BB1311" t="str">
        <f t="shared" si="486"/>
        <v/>
      </c>
      <c r="BC1311" t="str">
        <f t="shared" si="487"/>
        <v/>
      </c>
      <c r="BD1311" t="str">
        <f t="shared" si="488"/>
        <v/>
      </c>
      <c r="BE1311" t="str">
        <f t="shared" si="489"/>
        <v/>
      </c>
      <c r="BF1311" t="str">
        <f t="shared" si="490"/>
        <v/>
      </c>
      <c r="BG1311" t="str">
        <f t="shared" si="491"/>
        <v/>
      </c>
      <c r="BH1311" t="str">
        <f t="shared" si="492"/>
        <v/>
      </c>
      <c r="BI1311" t="str">
        <f t="shared" si="493"/>
        <v/>
      </c>
      <c r="BJ1311" t="str">
        <f t="shared" si="494"/>
        <v/>
      </c>
      <c r="BK1311" t="str">
        <f t="shared" si="495"/>
        <v/>
      </c>
      <c r="BL1311" t="str">
        <f t="shared" si="496"/>
        <v/>
      </c>
      <c r="BM1311" t="str">
        <f t="shared" si="497"/>
        <v/>
      </c>
      <c r="BN1311" t="str">
        <f t="shared" si="498"/>
        <v/>
      </c>
      <c r="BO1311" t="str">
        <f t="shared" si="499"/>
        <v/>
      </c>
      <c r="BP1311" t="str">
        <f t="shared" si="500"/>
        <v/>
      </c>
      <c r="BQ1311" t="str">
        <f t="shared" si="501"/>
        <v/>
      </c>
      <c r="BR1311" t="str">
        <f t="shared" si="502"/>
        <v/>
      </c>
      <c r="BS1311" t="str">
        <f t="shared" si="503"/>
        <v/>
      </c>
      <c r="BT1311" t="str">
        <f t="shared" si="504"/>
        <v/>
      </c>
      <c r="BU1311" t="str">
        <f t="shared" si="505"/>
        <v/>
      </c>
    </row>
    <row r="1312" spans="1:73">
      <c r="A1312" s="1">
        <v>104418</v>
      </c>
      <c r="B1312" t="str">
        <f>VLOOKUP($A1312,[1]Table!$A$2:$N1454,B$1,FALSE)</f>
        <v>N02CC04</v>
      </c>
      <c r="C1312" t="str">
        <f>VLOOKUP($A1312,[1]Table!$A$2:$N1454,C$1,FALSE)</f>
        <v>ANALGETICA</v>
      </c>
      <c r="D1312" t="str">
        <f>VLOOKUP($A1312,[1]Table!$A$2:$N1454,D$1,FALSE)</f>
        <v>MIGRAINEMIDDELEN</v>
      </c>
      <c r="E1312" t="str">
        <f>VLOOKUP($A1312,[1]Table!$A$2:$N1454,E$1,FALSE)</f>
        <v>RIZATRIPTAN</v>
      </c>
      <c r="F1312" t="str">
        <f>VLOOKUP($A1312,[1]Table!$A$2:$N1454,F$1,FALSE)</f>
        <v>MAXALT 5 MG SMELTTABLET</v>
      </c>
      <c r="G1312" t="str">
        <f>VLOOKUP($A1312,[1]Table!$A$2:$N1454,G$1,FALSE)</f>
        <v>RIZATRIPTAN 5MG SMELTTABLET</v>
      </c>
      <c r="H1312" t="str">
        <f>VLOOKUP($A1312,[1]Table!$A$2:$N1454,H$1,FALSE)</f>
        <v>smelttablet</v>
      </c>
      <c r="I1312" t="str">
        <f>VLOOKUP($A1312,[1]Table!$A$2:$N1454,I$1,FALSE)</f>
        <v>or</v>
      </c>
      <c r="J1312">
        <f>VLOOKUP($A1312,[1]Table!$A$2:$N1454,J$1,FALSE)</f>
        <v>5</v>
      </c>
      <c r="K1312" t="str">
        <f>VLOOKUP($A1312,[1]Table!$A$2:$N1454,K$1,FALSE)</f>
        <v>mg/stuk</v>
      </c>
      <c r="L1312">
        <f>VLOOKUP($A1312,[1]Table!$A$2:$N1454,L$1,FALSE)</f>
        <v>5</v>
      </c>
      <c r="M1312" t="str">
        <f>VLOOKUP($A1312,[1]Table!$A$2:$N1454,M$1,FALSE)</f>
        <v>mg</v>
      </c>
      <c r="N1312" t="str">
        <f>VLOOKUP($A1312,[1]Table!$A$2:$N1454,N$1,FALSE)</f>
        <v>Migraine: acute behandeling tijdens hoofdpijnfase</v>
      </c>
      <c r="O1312" t="str">
        <f>ConcatenateRange(AZ1312:BU1312,"||")</f>
        <v/>
      </c>
      <c r="AZ1312" t="str">
        <f t="shared" si="484"/>
        <v/>
      </c>
      <c r="BA1312" t="str">
        <f t="shared" si="485"/>
        <v/>
      </c>
      <c r="BB1312" t="str">
        <f t="shared" si="486"/>
        <v/>
      </c>
      <c r="BC1312" t="str">
        <f t="shared" si="487"/>
        <v/>
      </c>
      <c r="BD1312" t="str">
        <f t="shared" si="488"/>
        <v/>
      </c>
      <c r="BE1312" t="str">
        <f t="shared" si="489"/>
        <v/>
      </c>
      <c r="BF1312" t="str">
        <f t="shared" si="490"/>
        <v/>
      </c>
      <c r="BG1312" t="str">
        <f t="shared" si="491"/>
        <v/>
      </c>
      <c r="BH1312" t="str">
        <f t="shared" si="492"/>
        <v/>
      </c>
      <c r="BI1312" t="str">
        <f t="shared" si="493"/>
        <v/>
      </c>
      <c r="BJ1312" t="str">
        <f t="shared" si="494"/>
        <v/>
      </c>
      <c r="BK1312" t="str">
        <f t="shared" si="495"/>
        <v/>
      </c>
      <c r="BL1312" t="str">
        <f t="shared" si="496"/>
        <v/>
      </c>
      <c r="BM1312" t="str">
        <f t="shared" si="497"/>
        <v/>
      </c>
      <c r="BN1312" t="str">
        <f t="shared" si="498"/>
        <v/>
      </c>
      <c r="BO1312" t="str">
        <f t="shared" si="499"/>
        <v/>
      </c>
      <c r="BP1312" t="str">
        <f t="shared" si="500"/>
        <v/>
      </c>
      <c r="BQ1312" t="str">
        <f t="shared" si="501"/>
        <v/>
      </c>
      <c r="BR1312" t="str">
        <f t="shared" si="502"/>
        <v/>
      </c>
      <c r="BS1312" t="str">
        <f t="shared" si="503"/>
        <v/>
      </c>
      <c r="BT1312" t="str">
        <f t="shared" si="504"/>
        <v/>
      </c>
      <c r="BU1312" t="str">
        <f t="shared" si="505"/>
        <v/>
      </c>
    </row>
    <row r="1313" spans="1:73">
      <c r="A1313" s="1">
        <v>104426</v>
      </c>
      <c r="B1313" t="str">
        <f>VLOOKUP($A1313,[1]Table!$A$2:$N1455,B$1,FALSE)</f>
        <v>N02CC04</v>
      </c>
      <c r="C1313" t="str">
        <f>VLOOKUP($A1313,[1]Table!$A$2:$N1455,C$1,FALSE)</f>
        <v>ANALGETICA</v>
      </c>
      <c r="D1313" t="str">
        <f>VLOOKUP($A1313,[1]Table!$A$2:$N1455,D$1,FALSE)</f>
        <v>MIGRAINEMIDDELEN</v>
      </c>
      <c r="E1313" t="str">
        <f>VLOOKUP($A1313,[1]Table!$A$2:$N1455,E$1,FALSE)</f>
        <v>RIZATRIPTAN</v>
      </c>
      <c r="F1313" t="str">
        <f>VLOOKUP($A1313,[1]Table!$A$2:$N1455,F$1,FALSE)</f>
        <v>MAXALT 10 MG SMELTTABLET</v>
      </c>
      <c r="G1313" t="str">
        <f>VLOOKUP($A1313,[1]Table!$A$2:$N1455,G$1,FALSE)</f>
        <v>RIZATRIPTAN 10MG SMELTTABLE</v>
      </c>
      <c r="H1313" t="str">
        <f>VLOOKUP($A1313,[1]Table!$A$2:$N1455,H$1,FALSE)</f>
        <v>smelttablet</v>
      </c>
      <c r="I1313" t="str">
        <f>VLOOKUP($A1313,[1]Table!$A$2:$N1455,I$1,FALSE)</f>
        <v>or</v>
      </c>
      <c r="J1313">
        <f>VLOOKUP($A1313,[1]Table!$A$2:$N1455,J$1,FALSE)</f>
        <v>10</v>
      </c>
      <c r="K1313" t="str">
        <f>VLOOKUP($A1313,[1]Table!$A$2:$N1455,K$1,FALSE)</f>
        <v>mg/stuk</v>
      </c>
      <c r="L1313">
        <f>VLOOKUP($A1313,[1]Table!$A$2:$N1455,L$1,FALSE)</f>
        <v>10</v>
      </c>
      <c r="M1313" t="str">
        <f>VLOOKUP($A1313,[1]Table!$A$2:$N1455,M$1,FALSE)</f>
        <v>mg</v>
      </c>
      <c r="N1313" t="str">
        <f>VLOOKUP($A1313,[1]Table!$A$2:$N1455,N$1,FALSE)</f>
        <v>Migraine: acute behandeling tijdens hoofdpijnfase</v>
      </c>
      <c r="O1313" t="str">
        <f>ConcatenateRange(AZ1313:BU1313,"||")</f>
        <v/>
      </c>
      <c r="AZ1313" t="str">
        <f t="shared" si="484"/>
        <v/>
      </c>
      <c r="BA1313" t="str">
        <f t="shared" si="485"/>
        <v/>
      </c>
      <c r="BB1313" t="str">
        <f t="shared" si="486"/>
        <v/>
      </c>
      <c r="BC1313" t="str">
        <f t="shared" si="487"/>
        <v/>
      </c>
      <c r="BD1313" t="str">
        <f t="shared" si="488"/>
        <v/>
      </c>
      <c r="BE1313" t="str">
        <f t="shared" si="489"/>
        <v/>
      </c>
      <c r="BF1313" t="str">
        <f t="shared" si="490"/>
        <v/>
      </c>
      <c r="BG1313" t="str">
        <f t="shared" si="491"/>
        <v/>
      </c>
      <c r="BH1313" t="str">
        <f t="shared" si="492"/>
        <v/>
      </c>
      <c r="BI1313" t="str">
        <f t="shared" si="493"/>
        <v/>
      </c>
      <c r="BJ1313" t="str">
        <f t="shared" si="494"/>
        <v/>
      </c>
      <c r="BK1313" t="str">
        <f t="shared" si="495"/>
        <v/>
      </c>
      <c r="BL1313" t="str">
        <f t="shared" si="496"/>
        <v/>
      </c>
      <c r="BM1313" t="str">
        <f t="shared" si="497"/>
        <v/>
      </c>
      <c r="BN1313" t="str">
        <f t="shared" si="498"/>
        <v/>
      </c>
      <c r="BO1313" t="str">
        <f t="shared" si="499"/>
        <v/>
      </c>
      <c r="BP1313" t="str">
        <f t="shared" si="500"/>
        <v/>
      </c>
      <c r="BQ1313" t="str">
        <f t="shared" si="501"/>
        <v/>
      </c>
      <c r="BR1313" t="str">
        <f t="shared" si="502"/>
        <v/>
      </c>
      <c r="BS1313" t="str">
        <f t="shared" si="503"/>
        <v/>
      </c>
      <c r="BT1313" t="str">
        <f t="shared" si="504"/>
        <v/>
      </c>
      <c r="BU1313" t="str">
        <f t="shared" si="505"/>
        <v/>
      </c>
    </row>
    <row r="1314" spans="1:73">
      <c r="A1314" s="1">
        <v>93084</v>
      </c>
      <c r="B1314" t="str">
        <f>VLOOKUP($A1314,[1]Table!$A$2:$N1456,B$1,FALSE)</f>
        <v>M03AC09</v>
      </c>
      <c r="C1314" t="str">
        <f>VLOOKUP($A1314,[1]Table!$A$2:$N1456,C$1,FALSE)</f>
        <v>SPIERRELAXANTIA</v>
      </c>
      <c r="D1314" t="str">
        <f>VLOOKUP($A1314,[1]Table!$A$2:$N1456,D$1,FALSE)</f>
        <v>PERIFEER WERKENDE SPIERRELAXANTIA</v>
      </c>
      <c r="E1314" t="str">
        <f>VLOOKUP($A1314,[1]Table!$A$2:$N1456,E$1,FALSE)</f>
        <v>ROCURONIUM</v>
      </c>
      <c r="F1314" t="str">
        <f>VLOOKUP($A1314,[1]Table!$A$2:$N1456,F$1,FALSE)</f>
        <v>ROCURONIUM 10 MG/ML INJVLST FLACON 5 ML</v>
      </c>
      <c r="G1314" t="str">
        <f>VLOOKUP($A1314,[1]Table!$A$2:$N1456,G$1,FALSE)</f>
        <v>ROCURONIUM 10MG/ML INJVLST</v>
      </c>
      <c r="H1314" t="str">
        <f>VLOOKUP($A1314,[1]Table!$A$2:$N1456,H$1,FALSE)</f>
        <v>injectievloeistof</v>
      </c>
      <c r="I1314" t="str">
        <f>VLOOKUP($A1314,[1]Table!$A$2:$N1456,I$1,FALSE)</f>
        <v>iv</v>
      </c>
      <c r="J1314">
        <f>VLOOKUP($A1314,[1]Table!$A$2:$N1456,J$1,FALSE)</f>
        <v>10</v>
      </c>
      <c r="K1314" t="str">
        <f>VLOOKUP($A1314,[1]Table!$A$2:$N1456,K$1,FALSE)</f>
        <v>mg/ml</v>
      </c>
      <c r="L1314">
        <f>VLOOKUP($A1314,[1]Table!$A$2:$N1456,L$1,FALSE)</f>
        <v>10</v>
      </c>
      <c r="M1314" t="str">
        <f>VLOOKUP($A1314,[1]Table!$A$2:$N1456,M$1,FALSE)</f>
        <v>mg</v>
      </c>
      <c r="N1314" t="str">
        <f>VLOOKUP($A1314,[1]Table!$A$2:$N1456,N$1,FALSE)</f>
        <v>Verslapping van de skeletspieren bij beademing||Verslapping van de skeletspieren bij chirurgische ingrepen||Intubatie</v>
      </c>
      <c r="O1314" t="str">
        <f>ConcatenateRange(AZ1314:BU1314,"||")</f>
        <v/>
      </c>
      <c r="AZ1314" t="str">
        <f t="shared" si="484"/>
        <v/>
      </c>
      <c r="BA1314" t="str">
        <f t="shared" si="485"/>
        <v/>
      </c>
      <c r="BB1314" t="str">
        <f t="shared" si="486"/>
        <v/>
      </c>
      <c r="BC1314" t="str">
        <f t="shared" si="487"/>
        <v/>
      </c>
      <c r="BD1314" t="str">
        <f t="shared" si="488"/>
        <v/>
      </c>
      <c r="BE1314" t="str">
        <f t="shared" si="489"/>
        <v/>
      </c>
      <c r="BF1314" t="str">
        <f t="shared" si="490"/>
        <v/>
      </c>
      <c r="BG1314" t="str">
        <f t="shared" si="491"/>
        <v/>
      </c>
      <c r="BH1314" t="str">
        <f t="shared" si="492"/>
        <v/>
      </c>
      <c r="BI1314" t="str">
        <f t="shared" si="493"/>
        <v/>
      </c>
      <c r="BJ1314" t="str">
        <f t="shared" si="494"/>
        <v/>
      </c>
      <c r="BK1314" t="str">
        <f t="shared" si="495"/>
        <v/>
      </c>
      <c r="BL1314" t="str">
        <f t="shared" si="496"/>
        <v/>
      </c>
      <c r="BM1314" t="str">
        <f t="shared" si="497"/>
        <v/>
      </c>
      <c r="BN1314" t="str">
        <f t="shared" si="498"/>
        <v/>
      </c>
      <c r="BO1314" t="str">
        <f t="shared" si="499"/>
        <v/>
      </c>
      <c r="BP1314" t="str">
        <f t="shared" si="500"/>
        <v/>
      </c>
      <c r="BQ1314" t="str">
        <f t="shared" si="501"/>
        <v/>
      </c>
      <c r="BR1314" t="str">
        <f t="shared" si="502"/>
        <v/>
      </c>
      <c r="BS1314" t="str">
        <f t="shared" si="503"/>
        <v/>
      </c>
      <c r="BT1314" t="str">
        <f t="shared" si="504"/>
        <v/>
      </c>
      <c r="BU1314" t="str">
        <f t="shared" si="505"/>
        <v/>
      </c>
    </row>
    <row r="1315" spans="1:73">
      <c r="A1315" s="1">
        <v>134643</v>
      </c>
      <c r="B1315" t="str">
        <f>VLOOKUP($A1315,[1]Table!$A$2:$N1457,B$1,FALSE)</f>
        <v>N01BB09</v>
      </c>
      <c r="C1315" t="str">
        <f>VLOOKUP($A1315,[1]Table!$A$2:$N1457,C$1,FALSE)</f>
        <v>ANAESTHETICA</v>
      </c>
      <c r="D1315" t="str">
        <f>VLOOKUP($A1315,[1]Table!$A$2:$N1457,D$1,FALSE)</f>
        <v>ANAESTHETICA, LOKALE</v>
      </c>
      <c r="E1315" t="str">
        <f>VLOOKUP($A1315,[1]Table!$A$2:$N1457,E$1,FALSE)</f>
        <v>ROPIVACAINE</v>
      </c>
      <c r="F1315" t="str">
        <f>VLOOKUP($A1315,[1]Table!$A$2:$N1457,F$1,FALSE)</f>
        <v>ROPIVACAINE 2MG/ML INFVLST 100 ML</v>
      </c>
      <c r="G1315" t="str">
        <f>VLOOKUP($A1315,[1]Table!$A$2:$N1457,G$1,FALSE)</f>
        <v>ROPIVACAINE 2MG/ML INJ/INFO</v>
      </c>
      <c r="H1315" t="str">
        <f>VLOOKUP($A1315,[1]Table!$A$2:$N1457,H$1,FALSE)</f>
        <v>injectie/infusieoplossing</v>
      </c>
      <c r="I1315" t="str">
        <f>VLOOKUP($A1315,[1]Table!$A$2:$N1457,I$1,FALSE)</f>
        <v>epidur||perineur</v>
      </c>
      <c r="J1315">
        <f>VLOOKUP($A1315,[1]Table!$A$2:$N1457,J$1,FALSE)</f>
        <v>2</v>
      </c>
      <c r="K1315" t="str">
        <f>VLOOKUP($A1315,[1]Table!$A$2:$N1457,K$1,FALSE)</f>
        <v>mg/ml</v>
      </c>
      <c r="L1315">
        <f>VLOOKUP($A1315,[1]Table!$A$2:$N1457,L$1,FALSE)</f>
        <v>2</v>
      </c>
      <c r="M1315" t="str">
        <f>VLOOKUP($A1315,[1]Table!$A$2:$N1457,M$1,FALSE)</f>
        <v>mg</v>
      </c>
      <c r="N1315" t="str">
        <f>VLOOKUP($A1315,[1]Table!$A$2:$N1457,N$1,FALSE)</f>
        <v xml:space="preserve">Epidurale pijnstilling||Perifere zenuw blokkade </v>
      </c>
      <c r="O1315" t="str">
        <f>ConcatenateRange(AZ1315:BU1315,"||")</f>
        <v/>
      </c>
      <c r="AZ1315" t="str">
        <f t="shared" si="484"/>
        <v/>
      </c>
      <c r="BA1315" t="str">
        <f t="shared" si="485"/>
        <v/>
      </c>
      <c r="BB1315" t="str">
        <f t="shared" si="486"/>
        <v/>
      </c>
      <c r="BC1315" t="str">
        <f t="shared" si="487"/>
        <v/>
      </c>
      <c r="BD1315" t="str">
        <f t="shared" si="488"/>
        <v/>
      </c>
      <c r="BE1315" t="str">
        <f t="shared" si="489"/>
        <v/>
      </c>
      <c r="BF1315" t="str">
        <f t="shared" si="490"/>
        <v/>
      </c>
      <c r="BG1315" t="str">
        <f t="shared" si="491"/>
        <v/>
      </c>
      <c r="BH1315" t="str">
        <f t="shared" si="492"/>
        <v/>
      </c>
      <c r="BI1315" t="str">
        <f t="shared" si="493"/>
        <v/>
      </c>
      <c r="BJ1315" t="str">
        <f t="shared" si="494"/>
        <v/>
      </c>
      <c r="BK1315" t="str">
        <f t="shared" si="495"/>
        <v/>
      </c>
      <c r="BL1315" t="str">
        <f t="shared" si="496"/>
        <v/>
      </c>
      <c r="BM1315" t="str">
        <f t="shared" si="497"/>
        <v/>
      </c>
      <c r="BN1315" t="str">
        <f t="shared" si="498"/>
        <v/>
      </c>
      <c r="BO1315" t="str">
        <f t="shared" si="499"/>
        <v/>
      </c>
      <c r="BP1315" t="str">
        <f t="shared" si="500"/>
        <v/>
      </c>
      <c r="BQ1315" t="str">
        <f t="shared" si="501"/>
        <v/>
      </c>
      <c r="BR1315" t="str">
        <f t="shared" si="502"/>
        <v/>
      </c>
      <c r="BS1315" t="str">
        <f t="shared" si="503"/>
        <v/>
      </c>
      <c r="BT1315" t="str">
        <f t="shared" si="504"/>
        <v/>
      </c>
      <c r="BU1315" t="str">
        <f t="shared" si="505"/>
        <v/>
      </c>
    </row>
    <row r="1316" spans="1:73">
      <c r="A1316" s="1">
        <v>97241</v>
      </c>
      <c r="B1316" t="str">
        <f>VLOOKUP($A1316,[1]Table!$A$2:$N1458,B$1,FALSE)</f>
        <v>N01BB09</v>
      </c>
      <c r="C1316" t="str">
        <f>VLOOKUP($A1316,[1]Table!$A$2:$N1458,C$1,FALSE)</f>
        <v>ANAESTHETICA</v>
      </c>
      <c r="D1316" t="str">
        <f>VLOOKUP($A1316,[1]Table!$A$2:$N1458,D$1,FALSE)</f>
        <v>ANAESTHETICA, LOKALE</v>
      </c>
      <c r="E1316" t="str">
        <f>VLOOKUP($A1316,[1]Table!$A$2:$N1458,E$1,FALSE)</f>
        <v>ROPIVACAINE</v>
      </c>
      <c r="F1316" t="str">
        <f>VLOOKUP($A1316,[1]Table!$A$2:$N1458,F$1,FALSE)</f>
        <v>ROPIVACAINE 2 MG/ML AMPUL 20 ML</v>
      </c>
      <c r="G1316" t="str">
        <f>VLOOKUP($A1316,[1]Table!$A$2:$N1458,G$1,FALSE)</f>
        <v>ROPIVACAINE 2MG/ML INJVLST</v>
      </c>
      <c r="H1316" t="str">
        <f>VLOOKUP($A1316,[1]Table!$A$2:$N1458,H$1,FALSE)</f>
        <v>injectievloeistof</v>
      </c>
      <c r="I1316" t="str">
        <f>VLOOKUP($A1316,[1]Table!$A$2:$N1458,I$1,FALSE)</f>
        <v>epidur||perineur</v>
      </c>
      <c r="J1316">
        <f>VLOOKUP($A1316,[1]Table!$A$2:$N1458,J$1,FALSE)</f>
        <v>2</v>
      </c>
      <c r="K1316" t="str">
        <f>VLOOKUP($A1316,[1]Table!$A$2:$N1458,K$1,FALSE)</f>
        <v>mg/ml</v>
      </c>
      <c r="L1316">
        <f>VLOOKUP($A1316,[1]Table!$A$2:$N1458,L$1,FALSE)</f>
        <v>2</v>
      </c>
      <c r="M1316" t="str">
        <f>VLOOKUP($A1316,[1]Table!$A$2:$N1458,M$1,FALSE)</f>
        <v>mg</v>
      </c>
      <c r="N1316" t="str">
        <f>VLOOKUP($A1316,[1]Table!$A$2:$N1458,N$1,FALSE)</f>
        <v xml:space="preserve">Epidurale pijnstilling||Perifere zenuw blokkade </v>
      </c>
      <c r="O1316" t="str">
        <f>ConcatenateRange(AZ1316:BU1316,"||")</f>
        <v/>
      </c>
      <c r="AZ1316" t="str">
        <f t="shared" si="484"/>
        <v/>
      </c>
      <c r="BA1316" t="str">
        <f t="shared" si="485"/>
        <v/>
      </c>
      <c r="BB1316" t="str">
        <f t="shared" si="486"/>
        <v/>
      </c>
      <c r="BC1316" t="str">
        <f t="shared" si="487"/>
        <v/>
      </c>
      <c r="BD1316" t="str">
        <f t="shared" si="488"/>
        <v/>
      </c>
      <c r="BE1316" t="str">
        <f t="shared" si="489"/>
        <v/>
      </c>
      <c r="BF1316" t="str">
        <f t="shared" si="490"/>
        <v/>
      </c>
      <c r="BG1316" t="str">
        <f t="shared" si="491"/>
        <v/>
      </c>
      <c r="BH1316" t="str">
        <f t="shared" si="492"/>
        <v/>
      </c>
      <c r="BI1316" t="str">
        <f t="shared" si="493"/>
        <v/>
      </c>
      <c r="BJ1316" t="str">
        <f t="shared" si="494"/>
        <v/>
      </c>
      <c r="BK1316" t="str">
        <f t="shared" si="495"/>
        <v/>
      </c>
      <c r="BL1316" t="str">
        <f t="shared" si="496"/>
        <v/>
      </c>
      <c r="BM1316" t="str">
        <f t="shared" si="497"/>
        <v/>
      </c>
      <c r="BN1316" t="str">
        <f t="shared" si="498"/>
        <v/>
      </c>
      <c r="BO1316" t="str">
        <f t="shared" si="499"/>
        <v/>
      </c>
      <c r="BP1316" t="str">
        <f t="shared" si="500"/>
        <v/>
      </c>
      <c r="BQ1316" t="str">
        <f t="shared" si="501"/>
        <v/>
      </c>
      <c r="BR1316" t="str">
        <f t="shared" si="502"/>
        <v/>
      </c>
      <c r="BS1316" t="str">
        <f t="shared" si="503"/>
        <v/>
      </c>
      <c r="BT1316" t="str">
        <f t="shared" si="504"/>
        <v/>
      </c>
      <c r="BU1316" t="str">
        <f t="shared" si="505"/>
        <v/>
      </c>
    </row>
    <row r="1317" spans="1:73">
      <c r="A1317" s="1">
        <v>97225</v>
      </c>
      <c r="B1317" t="str">
        <f>VLOOKUP($A1317,[1]Table!$A$2:$N1459,B$1,FALSE)</f>
        <v>N01BB09</v>
      </c>
      <c r="C1317" t="str">
        <f>VLOOKUP($A1317,[1]Table!$A$2:$N1459,C$1,FALSE)</f>
        <v>ANAESTHETICA</v>
      </c>
      <c r="D1317" t="str">
        <f>VLOOKUP($A1317,[1]Table!$A$2:$N1459,D$1,FALSE)</f>
        <v>ANAESTHETICA, LOKALE</v>
      </c>
      <c r="E1317" t="str">
        <f>VLOOKUP($A1317,[1]Table!$A$2:$N1459,E$1,FALSE)</f>
        <v>ROPIVACAINE</v>
      </c>
      <c r="F1317" t="str">
        <f>VLOOKUP($A1317,[1]Table!$A$2:$N1459,F$1,FALSE)</f>
        <v>ROPIVACAINE 7.5 MG/ML AMPUL 20 ML</v>
      </c>
      <c r="G1317" t="str">
        <f>VLOOKUP($A1317,[1]Table!$A$2:$N1459,G$1,FALSE)</f>
        <v>ROPIVACAINE 7,5MG/ML INJVLS</v>
      </c>
      <c r="H1317" t="str">
        <f>VLOOKUP($A1317,[1]Table!$A$2:$N1459,H$1,FALSE)</f>
        <v>injectievloeistof</v>
      </c>
      <c r="I1317" t="str">
        <f>VLOOKUP($A1317,[1]Table!$A$2:$N1459,I$1,FALSE)</f>
        <v>epidur||perineur</v>
      </c>
      <c r="J1317">
        <f>VLOOKUP($A1317,[1]Table!$A$2:$N1459,J$1,FALSE)</f>
        <v>7.5</v>
      </c>
      <c r="K1317" t="str">
        <f>VLOOKUP($A1317,[1]Table!$A$2:$N1459,K$1,FALSE)</f>
        <v>mg/ml</v>
      </c>
      <c r="L1317">
        <f>VLOOKUP($A1317,[1]Table!$A$2:$N1459,L$1,FALSE)</f>
        <v>7.5</v>
      </c>
      <c r="M1317" t="str">
        <f>VLOOKUP($A1317,[1]Table!$A$2:$N1459,M$1,FALSE)</f>
        <v>mg</v>
      </c>
      <c r="N1317" t="str">
        <f>VLOOKUP($A1317,[1]Table!$A$2:$N1459,N$1,FALSE)</f>
        <v xml:space="preserve">Epidurale pijnstilling||Perifere zenuw blokkade </v>
      </c>
      <c r="O1317" t="str">
        <f>ConcatenateRange(AZ1317:BU1317,"||")</f>
        <v/>
      </c>
      <c r="AZ1317" t="str">
        <f t="shared" si="484"/>
        <v/>
      </c>
      <c r="BA1317" t="str">
        <f t="shared" si="485"/>
        <v/>
      </c>
      <c r="BB1317" t="str">
        <f t="shared" si="486"/>
        <v/>
      </c>
      <c r="BC1317" t="str">
        <f t="shared" si="487"/>
        <v/>
      </c>
      <c r="BD1317" t="str">
        <f t="shared" si="488"/>
        <v/>
      </c>
      <c r="BE1317" t="str">
        <f t="shared" si="489"/>
        <v/>
      </c>
      <c r="BF1317" t="str">
        <f t="shared" si="490"/>
        <v/>
      </c>
      <c r="BG1317" t="str">
        <f t="shared" si="491"/>
        <v/>
      </c>
      <c r="BH1317" t="str">
        <f t="shared" si="492"/>
        <v/>
      </c>
      <c r="BI1317" t="str">
        <f t="shared" si="493"/>
        <v/>
      </c>
      <c r="BJ1317" t="str">
        <f t="shared" si="494"/>
        <v/>
      </c>
      <c r="BK1317" t="str">
        <f t="shared" si="495"/>
        <v/>
      </c>
      <c r="BL1317" t="str">
        <f t="shared" si="496"/>
        <v/>
      </c>
      <c r="BM1317" t="str">
        <f t="shared" si="497"/>
        <v/>
      </c>
      <c r="BN1317" t="str">
        <f t="shared" si="498"/>
        <v/>
      </c>
      <c r="BO1317" t="str">
        <f t="shared" si="499"/>
        <v/>
      </c>
      <c r="BP1317" t="str">
        <f t="shared" si="500"/>
        <v/>
      </c>
      <c r="BQ1317" t="str">
        <f t="shared" si="501"/>
        <v/>
      </c>
      <c r="BR1317" t="str">
        <f t="shared" si="502"/>
        <v/>
      </c>
      <c r="BS1317" t="str">
        <f t="shared" si="503"/>
        <v/>
      </c>
      <c r="BT1317" t="str">
        <f t="shared" si="504"/>
        <v/>
      </c>
      <c r="BU1317" t="str">
        <f t="shared" si="505"/>
        <v/>
      </c>
    </row>
    <row r="1318" spans="1:73">
      <c r="A1318" s="1">
        <v>97233</v>
      </c>
      <c r="B1318" t="str">
        <f>VLOOKUP($A1318,[1]Table!$A$2:$N1460,B$1,FALSE)</f>
        <v>N01BB09</v>
      </c>
      <c r="C1318" t="str">
        <f>VLOOKUP($A1318,[1]Table!$A$2:$N1460,C$1,FALSE)</f>
        <v>ANAESTHETICA</v>
      </c>
      <c r="D1318" t="str">
        <f>VLOOKUP($A1318,[1]Table!$A$2:$N1460,D$1,FALSE)</f>
        <v>ANAESTHETICA, LOKALE</v>
      </c>
      <c r="E1318" t="str">
        <f>VLOOKUP($A1318,[1]Table!$A$2:$N1460,E$1,FALSE)</f>
        <v>ROPIVACAINE</v>
      </c>
      <c r="F1318" t="str">
        <f>VLOOKUP($A1318,[1]Table!$A$2:$N1460,F$1,FALSE)</f>
        <v>ROPIVACAINE 10MG/ML AMP 20 ML</v>
      </c>
      <c r="G1318" t="str">
        <f>VLOOKUP($A1318,[1]Table!$A$2:$N1460,G$1,FALSE)</f>
        <v>ROPIVACAINE 10MG/ML INJVLST</v>
      </c>
      <c r="H1318" t="str">
        <f>VLOOKUP($A1318,[1]Table!$A$2:$N1460,H$1,FALSE)</f>
        <v>injectievloeistof</v>
      </c>
      <c r="I1318" t="str">
        <f>VLOOKUP($A1318,[1]Table!$A$2:$N1460,I$1,FALSE)</f>
        <v>epidur||perineur</v>
      </c>
      <c r="J1318">
        <f>VLOOKUP($A1318,[1]Table!$A$2:$N1460,J$1,FALSE)</f>
        <v>10</v>
      </c>
      <c r="K1318" t="str">
        <f>VLOOKUP($A1318,[1]Table!$A$2:$N1460,K$1,FALSE)</f>
        <v>mg/ml</v>
      </c>
      <c r="L1318">
        <f>VLOOKUP($A1318,[1]Table!$A$2:$N1460,L$1,FALSE)</f>
        <v>10</v>
      </c>
      <c r="M1318" t="str">
        <f>VLOOKUP($A1318,[1]Table!$A$2:$N1460,M$1,FALSE)</f>
        <v>mg</v>
      </c>
      <c r="N1318" t="str">
        <f>VLOOKUP($A1318,[1]Table!$A$2:$N1460,N$1,FALSE)</f>
        <v xml:space="preserve">Epidurale pijnstilling||Perifere zenuw blokkade </v>
      </c>
      <c r="O1318" t="str">
        <f>ConcatenateRange(AZ1318:BU1318,"||")</f>
        <v/>
      </c>
      <c r="AZ1318" t="str">
        <f t="shared" si="484"/>
        <v/>
      </c>
      <c r="BA1318" t="str">
        <f t="shared" si="485"/>
        <v/>
      </c>
      <c r="BB1318" t="str">
        <f t="shared" si="486"/>
        <v/>
      </c>
      <c r="BC1318" t="str">
        <f t="shared" si="487"/>
        <v/>
      </c>
      <c r="BD1318" t="str">
        <f t="shared" si="488"/>
        <v/>
      </c>
      <c r="BE1318" t="str">
        <f t="shared" si="489"/>
        <v/>
      </c>
      <c r="BF1318" t="str">
        <f t="shared" si="490"/>
        <v/>
      </c>
      <c r="BG1318" t="str">
        <f t="shared" si="491"/>
        <v/>
      </c>
      <c r="BH1318" t="str">
        <f t="shared" si="492"/>
        <v/>
      </c>
      <c r="BI1318" t="str">
        <f t="shared" si="493"/>
        <v/>
      </c>
      <c r="BJ1318" t="str">
        <f t="shared" si="494"/>
        <v/>
      </c>
      <c r="BK1318" t="str">
        <f t="shared" si="495"/>
        <v/>
      </c>
      <c r="BL1318" t="str">
        <f t="shared" si="496"/>
        <v/>
      </c>
      <c r="BM1318" t="str">
        <f t="shared" si="497"/>
        <v/>
      </c>
      <c r="BN1318" t="str">
        <f t="shared" si="498"/>
        <v/>
      </c>
      <c r="BO1318" t="str">
        <f t="shared" si="499"/>
        <v/>
      </c>
      <c r="BP1318" t="str">
        <f t="shared" si="500"/>
        <v/>
      </c>
      <c r="BQ1318" t="str">
        <f t="shared" si="501"/>
        <v/>
      </c>
      <c r="BR1318" t="str">
        <f t="shared" si="502"/>
        <v/>
      </c>
      <c r="BS1318" t="str">
        <f t="shared" si="503"/>
        <v/>
      </c>
      <c r="BT1318" t="str">
        <f t="shared" si="504"/>
        <v/>
      </c>
      <c r="BU1318" t="str">
        <f t="shared" si="505"/>
        <v/>
      </c>
    </row>
    <row r="1319" spans="1:73">
      <c r="A1319" s="1">
        <v>122165</v>
      </c>
      <c r="B1319" t="str">
        <f>VLOOKUP($A1319,[1]Table!$A$2:$N1461,B$1,FALSE)</f>
        <v>C10AA07</v>
      </c>
      <c r="C1319" t="str">
        <f>VLOOKUP($A1319,[1]Table!$A$2:$N1461,C$1,FALSE)</f>
        <v>ANTILIPAEMICA</v>
      </c>
      <c r="D1319" t="str">
        <f>VLOOKUP($A1319,[1]Table!$A$2:$N1461,D$1,FALSE)</f>
        <v>ANTILIPAEMICA, ENKELVOUDIG</v>
      </c>
      <c r="E1319" t="str">
        <f>VLOOKUP($A1319,[1]Table!$A$2:$N1461,E$1,FALSE)</f>
        <v>ROSUVASTATINE</v>
      </c>
      <c r="F1319" t="str">
        <f>VLOOKUP($A1319,[1]Table!$A$2:$N1461,F$1,FALSE)</f>
        <v>CRESTOR 5 MG TABLET FILMOMHULD</v>
      </c>
      <c r="G1319" t="str">
        <f>VLOOKUP($A1319,[1]Table!$A$2:$N1461,G$1,FALSE)</f>
        <v>ROSUVASTATINE 5MG TABLET FO</v>
      </c>
      <c r="H1319" t="str">
        <f>VLOOKUP($A1319,[1]Table!$A$2:$N1461,H$1,FALSE)</f>
        <v>filmomhulde tablet</v>
      </c>
      <c r="I1319" t="str">
        <f>VLOOKUP($A1319,[1]Table!$A$2:$N1461,I$1,FALSE)</f>
        <v>or</v>
      </c>
      <c r="J1319">
        <f>VLOOKUP($A1319,[1]Table!$A$2:$N1461,J$1,FALSE)</f>
        <v>5</v>
      </c>
      <c r="K1319" t="str">
        <f>VLOOKUP($A1319,[1]Table!$A$2:$N1461,K$1,FALSE)</f>
        <v>mg/stuk</v>
      </c>
      <c r="L1319">
        <f>VLOOKUP($A1319,[1]Table!$A$2:$N1461,L$1,FALSE)</f>
        <v>5</v>
      </c>
      <c r="M1319" t="str">
        <f>VLOOKUP($A1319,[1]Table!$A$2:$N1461,M$1,FALSE)</f>
        <v>mg</v>
      </c>
      <c r="N1319" t="str">
        <f>VLOOKUP($A1319,[1]Table!$A$2:$N1461,N$1,FALSE)</f>
        <v>Heterozygote familiaire hypercholesterolemie||Homozygote familiaire hypercholesterolemie</v>
      </c>
      <c r="O1319" t="str">
        <f>ConcatenateRange(AZ1319:BU1319,"||")</f>
        <v/>
      </c>
      <c r="AZ1319" t="str">
        <f t="shared" si="484"/>
        <v/>
      </c>
      <c r="BA1319" t="str">
        <f t="shared" si="485"/>
        <v/>
      </c>
      <c r="BB1319" t="str">
        <f t="shared" si="486"/>
        <v/>
      </c>
      <c r="BC1319" t="str">
        <f t="shared" si="487"/>
        <v/>
      </c>
      <c r="BD1319" t="str">
        <f t="shared" si="488"/>
        <v/>
      </c>
      <c r="BE1319" t="str">
        <f t="shared" si="489"/>
        <v/>
      </c>
      <c r="BF1319" t="str">
        <f t="shared" si="490"/>
        <v/>
      </c>
      <c r="BG1319" t="str">
        <f t="shared" si="491"/>
        <v/>
      </c>
      <c r="BH1319" t="str">
        <f t="shared" si="492"/>
        <v/>
      </c>
      <c r="BI1319" t="str">
        <f t="shared" si="493"/>
        <v/>
      </c>
      <c r="BJ1319" t="str">
        <f t="shared" si="494"/>
        <v/>
      </c>
      <c r="BK1319" t="str">
        <f t="shared" si="495"/>
        <v/>
      </c>
      <c r="BL1319" t="str">
        <f t="shared" si="496"/>
        <v/>
      </c>
      <c r="BM1319" t="str">
        <f t="shared" si="497"/>
        <v/>
      </c>
      <c r="BN1319" t="str">
        <f t="shared" si="498"/>
        <v/>
      </c>
      <c r="BO1319" t="str">
        <f t="shared" si="499"/>
        <v/>
      </c>
      <c r="BP1319" t="str">
        <f t="shared" si="500"/>
        <v/>
      </c>
      <c r="BQ1319" t="str">
        <f t="shared" si="501"/>
        <v/>
      </c>
      <c r="BR1319" t="str">
        <f t="shared" si="502"/>
        <v/>
      </c>
      <c r="BS1319" t="str">
        <f t="shared" si="503"/>
        <v/>
      </c>
      <c r="BT1319" t="str">
        <f t="shared" si="504"/>
        <v/>
      </c>
      <c r="BU1319" t="str">
        <f t="shared" si="505"/>
        <v/>
      </c>
    </row>
    <row r="1320" spans="1:73">
      <c r="A1320" s="1">
        <v>116637</v>
      </c>
      <c r="B1320" t="str">
        <f>VLOOKUP($A1320,[1]Table!$A$2:$N1462,B$1,FALSE)</f>
        <v>C10AA07</v>
      </c>
      <c r="C1320" t="str">
        <f>VLOOKUP($A1320,[1]Table!$A$2:$N1462,C$1,FALSE)</f>
        <v>ANTILIPAEMICA</v>
      </c>
      <c r="D1320" t="str">
        <f>VLOOKUP($A1320,[1]Table!$A$2:$N1462,D$1,FALSE)</f>
        <v>ANTILIPAEMICA, ENKELVOUDIG</v>
      </c>
      <c r="E1320" t="str">
        <f>VLOOKUP($A1320,[1]Table!$A$2:$N1462,E$1,FALSE)</f>
        <v>ROSUVASTATINE</v>
      </c>
      <c r="F1320" t="str">
        <f>VLOOKUP($A1320,[1]Table!$A$2:$N1462,F$1,FALSE)</f>
        <v>CRESTOR 10 MG TABLET FILMOMHULD</v>
      </c>
      <c r="G1320" t="str">
        <f>VLOOKUP($A1320,[1]Table!$A$2:$N1462,G$1,FALSE)</f>
        <v>ROSUVASTATINE 10MG TAB FO</v>
      </c>
      <c r="H1320" t="str">
        <f>VLOOKUP($A1320,[1]Table!$A$2:$N1462,H$1,FALSE)</f>
        <v>filmomhulde tablet</v>
      </c>
      <c r="I1320" t="str">
        <f>VLOOKUP($A1320,[1]Table!$A$2:$N1462,I$1,FALSE)</f>
        <v>or</v>
      </c>
      <c r="J1320">
        <f>VLOOKUP($A1320,[1]Table!$A$2:$N1462,J$1,FALSE)</f>
        <v>10</v>
      </c>
      <c r="K1320" t="str">
        <f>VLOOKUP($A1320,[1]Table!$A$2:$N1462,K$1,FALSE)</f>
        <v>mg/stuk</v>
      </c>
      <c r="L1320">
        <f>VLOOKUP($A1320,[1]Table!$A$2:$N1462,L$1,FALSE)</f>
        <v>10</v>
      </c>
      <c r="M1320" t="str">
        <f>VLOOKUP($A1320,[1]Table!$A$2:$N1462,M$1,FALSE)</f>
        <v>mg</v>
      </c>
      <c r="N1320" t="str">
        <f>VLOOKUP($A1320,[1]Table!$A$2:$N1462,N$1,FALSE)</f>
        <v>Heterozygote familiaire hypercholesterolemie||Homozygote familiaire hypercholesterolemie</v>
      </c>
      <c r="O1320" t="str">
        <f>ConcatenateRange(AZ1320:BU1320,"||")</f>
        <v/>
      </c>
      <c r="AZ1320" t="str">
        <f t="shared" si="484"/>
        <v/>
      </c>
      <c r="BA1320" t="str">
        <f t="shared" si="485"/>
        <v/>
      </c>
      <c r="BB1320" t="str">
        <f t="shared" si="486"/>
        <v/>
      </c>
      <c r="BC1320" t="str">
        <f t="shared" si="487"/>
        <v/>
      </c>
      <c r="BD1320" t="str">
        <f t="shared" si="488"/>
        <v/>
      </c>
      <c r="BE1320" t="str">
        <f t="shared" si="489"/>
        <v/>
      </c>
      <c r="BF1320" t="str">
        <f t="shared" si="490"/>
        <v/>
      </c>
      <c r="BG1320" t="str">
        <f t="shared" si="491"/>
        <v/>
      </c>
      <c r="BH1320" t="str">
        <f t="shared" si="492"/>
        <v/>
      </c>
      <c r="BI1320" t="str">
        <f t="shared" si="493"/>
        <v/>
      </c>
      <c r="BJ1320" t="str">
        <f t="shared" si="494"/>
        <v/>
      </c>
      <c r="BK1320" t="str">
        <f t="shared" si="495"/>
        <v/>
      </c>
      <c r="BL1320" t="str">
        <f t="shared" si="496"/>
        <v/>
      </c>
      <c r="BM1320" t="str">
        <f t="shared" si="497"/>
        <v/>
      </c>
      <c r="BN1320" t="str">
        <f t="shared" si="498"/>
        <v/>
      </c>
      <c r="BO1320" t="str">
        <f t="shared" si="499"/>
        <v/>
      </c>
      <c r="BP1320" t="str">
        <f t="shared" si="500"/>
        <v/>
      </c>
      <c r="BQ1320" t="str">
        <f t="shared" si="501"/>
        <v/>
      </c>
      <c r="BR1320" t="str">
        <f t="shared" si="502"/>
        <v/>
      </c>
      <c r="BS1320" t="str">
        <f t="shared" si="503"/>
        <v/>
      </c>
      <c r="BT1320" t="str">
        <f t="shared" si="504"/>
        <v/>
      </c>
      <c r="BU1320" t="str">
        <f t="shared" si="505"/>
        <v/>
      </c>
    </row>
    <row r="1321" spans="1:73">
      <c r="A1321" s="1">
        <v>116653</v>
      </c>
      <c r="B1321" t="str">
        <f>VLOOKUP($A1321,[1]Table!$A$2:$N1463,B$1,FALSE)</f>
        <v>C10AA07</v>
      </c>
      <c r="C1321" t="str">
        <f>VLOOKUP($A1321,[1]Table!$A$2:$N1463,C$1,FALSE)</f>
        <v>ANTILIPAEMICA</v>
      </c>
      <c r="D1321" t="str">
        <f>VLOOKUP($A1321,[1]Table!$A$2:$N1463,D$1,FALSE)</f>
        <v>ANTILIPAEMICA, ENKELVOUDIG</v>
      </c>
      <c r="E1321" t="str">
        <f>VLOOKUP($A1321,[1]Table!$A$2:$N1463,E$1,FALSE)</f>
        <v>ROSUVASTATINE</v>
      </c>
      <c r="F1321" t="str">
        <f>VLOOKUP($A1321,[1]Table!$A$2:$N1463,F$1,FALSE)</f>
        <v>CRESTOR 40 MG TABLET FILMOMHULD</v>
      </c>
      <c r="G1321" t="str">
        <f>VLOOKUP($A1321,[1]Table!$A$2:$N1463,G$1,FALSE)</f>
        <v>ROSUVASTATINE 40MG TAB FO</v>
      </c>
      <c r="H1321" t="str">
        <f>VLOOKUP($A1321,[1]Table!$A$2:$N1463,H$1,FALSE)</f>
        <v>filmomhulde tablet</v>
      </c>
      <c r="I1321" t="str">
        <f>VLOOKUP($A1321,[1]Table!$A$2:$N1463,I$1,FALSE)</f>
        <v>or</v>
      </c>
      <c r="J1321">
        <f>VLOOKUP($A1321,[1]Table!$A$2:$N1463,J$1,FALSE)</f>
        <v>40</v>
      </c>
      <c r="K1321" t="str">
        <f>VLOOKUP($A1321,[1]Table!$A$2:$N1463,K$1,FALSE)</f>
        <v>mg/stuk</v>
      </c>
      <c r="L1321">
        <f>VLOOKUP($A1321,[1]Table!$A$2:$N1463,L$1,FALSE)</f>
        <v>40</v>
      </c>
      <c r="M1321" t="str">
        <f>VLOOKUP($A1321,[1]Table!$A$2:$N1463,M$1,FALSE)</f>
        <v>mg</v>
      </c>
      <c r="N1321" t="str">
        <f>VLOOKUP($A1321,[1]Table!$A$2:$N1463,N$1,FALSE)</f>
        <v>Heterozygote familiaire hypercholesterolemie||Homozygote familiaire hypercholesterolemie</v>
      </c>
      <c r="O1321" t="str">
        <f>ConcatenateRange(AZ1321:BU1321,"||")</f>
        <v/>
      </c>
      <c r="AZ1321" t="str">
        <f t="shared" si="484"/>
        <v/>
      </c>
      <c r="BA1321" t="str">
        <f t="shared" si="485"/>
        <v/>
      </c>
      <c r="BB1321" t="str">
        <f t="shared" si="486"/>
        <v/>
      </c>
      <c r="BC1321" t="str">
        <f t="shared" si="487"/>
        <v/>
      </c>
      <c r="BD1321" t="str">
        <f t="shared" si="488"/>
        <v/>
      </c>
      <c r="BE1321" t="str">
        <f t="shared" si="489"/>
        <v/>
      </c>
      <c r="BF1321" t="str">
        <f t="shared" si="490"/>
        <v/>
      </c>
      <c r="BG1321" t="str">
        <f t="shared" si="491"/>
        <v/>
      </c>
      <c r="BH1321" t="str">
        <f t="shared" si="492"/>
        <v/>
      </c>
      <c r="BI1321" t="str">
        <f t="shared" si="493"/>
        <v/>
      </c>
      <c r="BJ1321" t="str">
        <f t="shared" si="494"/>
        <v/>
      </c>
      <c r="BK1321" t="str">
        <f t="shared" si="495"/>
        <v/>
      </c>
      <c r="BL1321" t="str">
        <f t="shared" si="496"/>
        <v/>
      </c>
      <c r="BM1321" t="str">
        <f t="shared" si="497"/>
        <v/>
      </c>
      <c r="BN1321" t="str">
        <f t="shared" si="498"/>
        <v/>
      </c>
      <c r="BO1321" t="str">
        <f t="shared" si="499"/>
        <v/>
      </c>
      <c r="BP1321" t="str">
        <f t="shared" si="500"/>
        <v/>
      </c>
      <c r="BQ1321" t="str">
        <f t="shared" si="501"/>
        <v/>
      </c>
      <c r="BR1321" t="str">
        <f t="shared" si="502"/>
        <v/>
      </c>
      <c r="BS1321" t="str">
        <f t="shared" si="503"/>
        <v/>
      </c>
      <c r="BT1321" t="str">
        <f t="shared" si="504"/>
        <v/>
      </c>
      <c r="BU1321" t="str">
        <f t="shared" si="505"/>
        <v/>
      </c>
    </row>
    <row r="1322" spans="1:73">
      <c r="A1322" s="1">
        <v>139165</v>
      </c>
      <c r="B1322" t="str">
        <f>VLOOKUP($A1322,[1]Table!$A$2:$N1464,B$1,FALSE)</f>
        <v>N03AF03</v>
      </c>
      <c r="C1322" t="str">
        <f>VLOOKUP($A1322,[1]Table!$A$2:$N1464,C$1,FALSE)</f>
        <v>ANTI-EPILEPTICA</v>
      </c>
      <c r="D1322" t="str">
        <f>VLOOKUP($A1322,[1]Table!$A$2:$N1464,D$1,FALSE)</f>
        <v>ANTI-EPILEPTICA</v>
      </c>
      <c r="E1322" t="str">
        <f>VLOOKUP($A1322,[1]Table!$A$2:$N1464,E$1,FALSE)</f>
        <v>RUFINAMIDE</v>
      </c>
      <c r="F1322" t="str">
        <f>VLOOKUP($A1322,[1]Table!$A$2:$N1464,F$1,FALSE)</f>
        <v>INOVELON 40MG/ML SUSPENSIE 460 ML</v>
      </c>
      <c r="G1322" t="str">
        <f>VLOOKUP($A1322,[1]Table!$A$2:$N1464,G$1,FALSE)</f>
        <v>RUFINAMIDE 40MG/ML SUSP ORA</v>
      </c>
      <c r="H1322" t="str">
        <f>VLOOKUP($A1322,[1]Table!$A$2:$N1464,H$1,FALSE)</f>
        <v>suspensie voor oraal gebruik</v>
      </c>
      <c r="I1322" t="str">
        <f>VLOOKUP($A1322,[1]Table!$A$2:$N1464,I$1,FALSE)</f>
        <v>or</v>
      </c>
      <c r="J1322">
        <f>VLOOKUP($A1322,[1]Table!$A$2:$N1464,J$1,FALSE)</f>
        <v>40</v>
      </c>
      <c r="K1322" t="str">
        <f>VLOOKUP($A1322,[1]Table!$A$2:$N1464,K$1,FALSE)</f>
        <v>mg/ml</v>
      </c>
      <c r="L1322">
        <f>VLOOKUP($A1322,[1]Table!$A$2:$N1464,L$1,FALSE)</f>
        <v>40</v>
      </c>
      <c r="M1322" t="str">
        <f>VLOOKUP($A1322,[1]Table!$A$2:$N1464,M$1,FALSE)</f>
        <v>mg</v>
      </c>
      <c r="N1322" t="str">
        <f>VLOOKUP($A1322,[1]Table!$A$2:$N1464,N$1,FALSE)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2" t="str">
        <f>ConcatenateRange(AZ1322:BU1322,"||")</f>
        <v/>
      </c>
      <c r="AZ1322" t="str">
        <f t="shared" si="484"/>
        <v/>
      </c>
      <c r="BA1322" t="str">
        <f t="shared" si="485"/>
        <v/>
      </c>
      <c r="BB1322" t="str">
        <f t="shared" si="486"/>
        <v/>
      </c>
      <c r="BC1322" t="str">
        <f t="shared" si="487"/>
        <v/>
      </c>
      <c r="BD1322" t="str">
        <f t="shared" si="488"/>
        <v/>
      </c>
      <c r="BE1322" t="str">
        <f t="shared" si="489"/>
        <v/>
      </c>
      <c r="BF1322" t="str">
        <f t="shared" si="490"/>
        <v/>
      </c>
      <c r="BG1322" t="str">
        <f t="shared" si="491"/>
        <v/>
      </c>
      <c r="BH1322" t="str">
        <f t="shared" si="492"/>
        <v/>
      </c>
      <c r="BI1322" t="str">
        <f t="shared" si="493"/>
        <v/>
      </c>
      <c r="BJ1322" t="str">
        <f t="shared" si="494"/>
        <v/>
      </c>
      <c r="BK1322" t="str">
        <f t="shared" si="495"/>
        <v/>
      </c>
      <c r="BL1322" t="str">
        <f t="shared" si="496"/>
        <v/>
      </c>
      <c r="BM1322" t="str">
        <f t="shared" si="497"/>
        <v/>
      </c>
      <c r="BN1322" t="str">
        <f t="shared" si="498"/>
        <v/>
      </c>
      <c r="BO1322" t="str">
        <f t="shared" si="499"/>
        <v/>
      </c>
      <c r="BP1322" t="str">
        <f t="shared" si="500"/>
        <v/>
      </c>
      <c r="BQ1322" t="str">
        <f t="shared" si="501"/>
        <v/>
      </c>
      <c r="BR1322" t="str">
        <f t="shared" si="502"/>
        <v/>
      </c>
      <c r="BS1322" t="str">
        <f t="shared" si="503"/>
        <v/>
      </c>
      <c r="BT1322" t="str">
        <f t="shared" si="504"/>
        <v/>
      </c>
      <c r="BU1322" t="str">
        <f t="shared" si="505"/>
        <v/>
      </c>
    </row>
    <row r="1323" spans="1:73">
      <c r="A1323" s="1">
        <v>137391</v>
      </c>
      <c r="B1323" t="str">
        <f>VLOOKUP($A1323,[1]Table!$A$2:$N1465,B$1,FALSE)</f>
        <v>N03AF03</v>
      </c>
      <c r="C1323" t="str">
        <f>VLOOKUP($A1323,[1]Table!$A$2:$N1465,C$1,FALSE)</f>
        <v>ANTI-EPILEPTICA</v>
      </c>
      <c r="D1323" t="str">
        <f>VLOOKUP($A1323,[1]Table!$A$2:$N1465,D$1,FALSE)</f>
        <v>ANTI-EPILEPTICA</v>
      </c>
      <c r="E1323" t="str">
        <f>VLOOKUP($A1323,[1]Table!$A$2:$N1465,E$1,FALSE)</f>
        <v>RUFINAMIDE</v>
      </c>
      <c r="F1323" t="str">
        <f>VLOOKUP($A1323,[1]Table!$A$2:$N1465,F$1,FALSE)</f>
        <v>INOVELON 200 MG TABLET</v>
      </c>
      <c r="G1323" t="str">
        <f>VLOOKUP($A1323,[1]Table!$A$2:$N1465,G$1,FALSE)</f>
        <v>RUFINAMIDE 200MG TABLET</v>
      </c>
      <c r="H1323" t="str">
        <f>VLOOKUP($A1323,[1]Table!$A$2:$N1465,H$1,FALSE)</f>
        <v>tablet</v>
      </c>
      <c r="I1323" t="str">
        <f>VLOOKUP($A1323,[1]Table!$A$2:$N1465,I$1,FALSE)</f>
        <v>or</v>
      </c>
      <c r="J1323">
        <f>VLOOKUP($A1323,[1]Table!$A$2:$N1465,J$1,FALSE)</f>
        <v>200</v>
      </c>
      <c r="K1323" t="str">
        <f>VLOOKUP($A1323,[1]Table!$A$2:$N1465,K$1,FALSE)</f>
        <v>mg/stuk</v>
      </c>
      <c r="L1323">
        <f>VLOOKUP($A1323,[1]Table!$A$2:$N1465,L$1,FALSE)</f>
        <v>200</v>
      </c>
      <c r="M1323" t="str">
        <f>VLOOKUP($A1323,[1]Table!$A$2:$N1465,M$1,FALSE)</f>
        <v>mg</v>
      </c>
      <c r="N1323" t="str">
        <f>VLOOKUP($A1323,[1]Table!$A$2:$N1465,N$1,FALSE)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3" t="str">
        <f>ConcatenateRange(AZ1323:BU1323,"||")</f>
        <v/>
      </c>
      <c r="AZ1323" t="str">
        <f t="shared" si="484"/>
        <v/>
      </c>
      <c r="BA1323" t="str">
        <f t="shared" si="485"/>
        <v/>
      </c>
      <c r="BB1323" t="str">
        <f t="shared" si="486"/>
        <v/>
      </c>
      <c r="BC1323" t="str">
        <f t="shared" si="487"/>
        <v/>
      </c>
      <c r="BD1323" t="str">
        <f t="shared" si="488"/>
        <v/>
      </c>
      <c r="BE1323" t="str">
        <f t="shared" si="489"/>
        <v/>
      </c>
      <c r="BF1323" t="str">
        <f t="shared" si="490"/>
        <v/>
      </c>
      <c r="BG1323" t="str">
        <f t="shared" si="491"/>
        <v/>
      </c>
      <c r="BH1323" t="str">
        <f t="shared" si="492"/>
        <v/>
      </c>
      <c r="BI1323" t="str">
        <f t="shared" si="493"/>
        <v/>
      </c>
      <c r="BJ1323" t="str">
        <f t="shared" si="494"/>
        <v/>
      </c>
      <c r="BK1323" t="str">
        <f t="shared" si="495"/>
        <v/>
      </c>
      <c r="BL1323" t="str">
        <f t="shared" si="496"/>
        <v/>
      </c>
      <c r="BM1323" t="str">
        <f t="shared" si="497"/>
        <v/>
      </c>
      <c r="BN1323" t="str">
        <f t="shared" si="498"/>
        <v/>
      </c>
      <c r="BO1323" t="str">
        <f t="shared" si="499"/>
        <v/>
      </c>
      <c r="BP1323" t="str">
        <f t="shared" si="500"/>
        <v/>
      </c>
      <c r="BQ1323" t="str">
        <f t="shared" si="501"/>
        <v/>
      </c>
      <c r="BR1323" t="str">
        <f t="shared" si="502"/>
        <v/>
      </c>
      <c r="BS1323" t="str">
        <f t="shared" si="503"/>
        <v/>
      </c>
      <c r="BT1323" t="str">
        <f t="shared" si="504"/>
        <v/>
      </c>
      <c r="BU1323" t="str">
        <f t="shared" si="505"/>
        <v/>
      </c>
    </row>
    <row r="1324" spans="1:73">
      <c r="A1324" s="1">
        <v>137405</v>
      </c>
      <c r="B1324" t="str">
        <f>VLOOKUP($A1324,[1]Table!$A$2:$N1466,B$1,FALSE)</f>
        <v>N03AF03</v>
      </c>
      <c r="C1324" t="str">
        <f>VLOOKUP($A1324,[1]Table!$A$2:$N1466,C$1,FALSE)</f>
        <v>ANTI-EPILEPTICA</v>
      </c>
      <c r="D1324" t="str">
        <f>VLOOKUP($A1324,[1]Table!$A$2:$N1466,D$1,FALSE)</f>
        <v>ANTI-EPILEPTICA</v>
      </c>
      <c r="E1324" t="str">
        <f>VLOOKUP($A1324,[1]Table!$A$2:$N1466,E$1,FALSE)</f>
        <v>RUFINAMIDE</v>
      </c>
      <c r="F1324" t="str">
        <f>VLOOKUP($A1324,[1]Table!$A$2:$N1466,F$1,FALSE)</f>
        <v>INOVELON 400 MG TABLET</v>
      </c>
      <c r="G1324" t="str">
        <f>VLOOKUP($A1324,[1]Table!$A$2:$N1466,G$1,FALSE)</f>
        <v>RUFINAMIDE 400MG TABLET</v>
      </c>
      <c r="H1324" t="str">
        <f>VLOOKUP($A1324,[1]Table!$A$2:$N1466,H$1,FALSE)</f>
        <v>tablet</v>
      </c>
      <c r="I1324" t="str">
        <f>VLOOKUP($A1324,[1]Table!$A$2:$N1466,I$1,FALSE)</f>
        <v>or</v>
      </c>
      <c r="J1324">
        <f>VLOOKUP($A1324,[1]Table!$A$2:$N1466,J$1,FALSE)</f>
        <v>400</v>
      </c>
      <c r="K1324" t="str">
        <f>VLOOKUP($A1324,[1]Table!$A$2:$N1466,K$1,FALSE)</f>
        <v>mg/stuk</v>
      </c>
      <c r="L1324">
        <f>VLOOKUP($A1324,[1]Table!$A$2:$N1466,L$1,FALSE)</f>
        <v>400</v>
      </c>
      <c r="M1324" t="str">
        <f>VLOOKUP($A1324,[1]Table!$A$2:$N1466,M$1,FALSE)</f>
        <v>mg</v>
      </c>
      <c r="N1324" t="str">
        <f>VLOOKUP($A1324,[1]Table!$A$2:$N1466,N$1,FALSE)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4" t="str">
        <f>ConcatenateRange(AZ1324:BU1324,"||")</f>
        <v/>
      </c>
      <c r="AZ1324" t="str">
        <f t="shared" si="484"/>
        <v/>
      </c>
      <c r="BA1324" t="str">
        <f t="shared" si="485"/>
        <v/>
      </c>
      <c r="BB1324" t="str">
        <f t="shared" si="486"/>
        <v/>
      </c>
      <c r="BC1324" t="str">
        <f t="shared" si="487"/>
        <v/>
      </c>
      <c r="BD1324" t="str">
        <f t="shared" si="488"/>
        <v/>
      </c>
      <c r="BE1324" t="str">
        <f t="shared" si="489"/>
        <v/>
      </c>
      <c r="BF1324" t="str">
        <f t="shared" si="490"/>
        <v/>
      </c>
      <c r="BG1324" t="str">
        <f t="shared" si="491"/>
        <v/>
      </c>
      <c r="BH1324" t="str">
        <f t="shared" si="492"/>
        <v/>
      </c>
      <c r="BI1324" t="str">
        <f t="shared" si="493"/>
        <v/>
      </c>
      <c r="BJ1324" t="str">
        <f t="shared" si="494"/>
        <v/>
      </c>
      <c r="BK1324" t="str">
        <f t="shared" si="495"/>
        <v/>
      </c>
      <c r="BL1324" t="str">
        <f t="shared" si="496"/>
        <v/>
      </c>
      <c r="BM1324" t="str">
        <f t="shared" si="497"/>
        <v/>
      </c>
      <c r="BN1324" t="str">
        <f t="shared" si="498"/>
        <v/>
      </c>
      <c r="BO1324" t="str">
        <f t="shared" si="499"/>
        <v/>
      </c>
      <c r="BP1324" t="str">
        <f t="shared" si="500"/>
        <v/>
      </c>
      <c r="BQ1324" t="str">
        <f t="shared" si="501"/>
        <v/>
      </c>
      <c r="BR1324" t="str">
        <f t="shared" si="502"/>
        <v/>
      </c>
      <c r="BS1324" t="str">
        <f t="shared" si="503"/>
        <v/>
      </c>
      <c r="BT1324" t="str">
        <f t="shared" si="504"/>
        <v/>
      </c>
      <c r="BU1324" t="str">
        <f t="shared" si="505"/>
        <v/>
      </c>
    </row>
    <row r="1325" spans="1:73">
      <c r="A1325" s="1">
        <v>137081</v>
      </c>
      <c r="B1325" t="str">
        <f>VLOOKUP($A1325,[1]Table!$A$2:$N1467,B$1,FALSE)</f>
        <v>R06AX28</v>
      </c>
      <c r="C1325" t="str">
        <f>VLOOKUP($A1325,[1]Table!$A$2:$N1467,C$1,FALSE)</f>
        <v>ANTIHISTAMINICA VOOR SYSTEMISCH GEBRUIK</v>
      </c>
      <c r="D1325" t="str">
        <f>VLOOKUP($A1325,[1]Table!$A$2:$N1467,D$1,FALSE)</f>
        <v>ANTIHISTAMINICA VOOR SYSTEMISCH GEBRUIK</v>
      </c>
      <c r="E1325" t="str">
        <f>VLOOKUP($A1325,[1]Table!$A$2:$N1467,E$1,FALSE)</f>
        <v>RUPATADINE</v>
      </c>
      <c r="F1325" t="str">
        <f>VLOOKUP($A1325,[1]Table!$A$2:$N1467,F$1,FALSE)</f>
        <v>RUPAFIN 10 MG TABLET</v>
      </c>
      <c r="G1325" t="str">
        <f>VLOOKUP($A1325,[1]Table!$A$2:$N1467,G$1,FALSE)</f>
        <v>RUPATADINE 10MG TABLET</v>
      </c>
      <c r="H1325" t="str">
        <f>VLOOKUP($A1325,[1]Table!$A$2:$N1467,H$1,FALSE)</f>
        <v>tablet</v>
      </c>
      <c r="I1325" t="str">
        <f>VLOOKUP($A1325,[1]Table!$A$2:$N1467,I$1,FALSE)</f>
        <v>or</v>
      </c>
      <c r="J1325">
        <f>VLOOKUP($A1325,[1]Table!$A$2:$N1467,J$1,FALSE)</f>
        <v>10</v>
      </c>
      <c r="K1325" t="str">
        <f>VLOOKUP($A1325,[1]Table!$A$2:$N1467,K$1,FALSE)</f>
        <v>mg/stuk</v>
      </c>
      <c r="L1325">
        <f>VLOOKUP($A1325,[1]Table!$A$2:$N1467,L$1,FALSE)</f>
        <v>10</v>
      </c>
      <c r="M1325" t="str">
        <f>VLOOKUP($A1325,[1]Table!$A$2:$N1467,M$1,FALSE)</f>
        <v>mg</v>
      </c>
      <c r="N1325" t="str">
        <f>VLOOKUP($A1325,[1]Table!$A$2:$N1467,N$1,FALSE)</f>
        <v>Allergische rhinitis en chronische urticaria</v>
      </c>
      <c r="O1325" t="str">
        <f>ConcatenateRange(AZ1325:BU1325,"||")</f>
        <v/>
      </c>
      <c r="AZ1325" t="str">
        <f t="shared" si="484"/>
        <v/>
      </c>
      <c r="BA1325" t="str">
        <f t="shared" si="485"/>
        <v/>
      </c>
      <c r="BB1325" t="str">
        <f t="shared" si="486"/>
        <v/>
      </c>
      <c r="BC1325" t="str">
        <f t="shared" si="487"/>
        <v/>
      </c>
      <c r="BD1325" t="str">
        <f t="shared" si="488"/>
        <v/>
      </c>
      <c r="BE1325" t="str">
        <f t="shared" si="489"/>
        <v/>
      </c>
      <c r="BF1325" t="str">
        <f t="shared" si="490"/>
        <v/>
      </c>
      <c r="BG1325" t="str">
        <f t="shared" si="491"/>
        <v/>
      </c>
      <c r="BH1325" t="str">
        <f t="shared" si="492"/>
        <v/>
      </c>
      <c r="BI1325" t="str">
        <f t="shared" si="493"/>
        <v/>
      </c>
      <c r="BJ1325" t="str">
        <f t="shared" si="494"/>
        <v/>
      </c>
      <c r="BK1325" t="str">
        <f t="shared" si="495"/>
        <v/>
      </c>
      <c r="BL1325" t="str">
        <f t="shared" si="496"/>
        <v/>
      </c>
      <c r="BM1325" t="str">
        <f t="shared" si="497"/>
        <v/>
      </c>
      <c r="BN1325" t="str">
        <f t="shared" si="498"/>
        <v/>
      </c>
      <c r="BO1325" t="str">
        <f t="shared" si="499"/>
        <v/>
      </c>
      <c r="BP1325" t="str">
        <f t="shared" si="500"/>
        <v/>
      </c>
      <c r="BQ1325" t="str">
        <f t="shared" si="501"/>
        <v/>
      </c>
      <c r="BR1325" t="str">
        <f t="shared" si="502"/>
        <v/>
      </c>
      <c r="BS1325" t="str">
        <f t="shared" si="503"/>
        <v/>
      </c>
      <c r="BT1325" t="str">
        <f t="shared" si="504"/>
        <v/>
      </c>
      <c r="BU1325" t="str">
        <f t="shared" si="505"/>
        <v/>
      </c>
    </row>
    <row r="1326" spans="1:73">
      <c r="A1326" s="1">
        <v>83704</v>
      </c>
      <c r="B1326" t="str">
        <f>VLOOKUP($A1326,[1]Table!$A$2:$N1468,B$1,FALSE)</f>
        <v>R03AC02</v>
      </c>
      <c r="C1326" t="str">
        <f>VLOOKUP($A1326,[1]Table!$A$2:$N1468,C$1,FALSE)</f>
        <v>MIDDELEN BIJ ASTMA/COPD</v>
      </c>
      <c r="D1326" t="str">
        <f>VLOOKUP($A1326,[1]Table!$A$2:$N1468,D$1,FALSE)</f>
        <v>SYMPATHICOMIMETICA VOOR INHALATIE</v>
      </c>
      <c r="E1326" t="str">
        <f>VLOOKUP($A1326,[1]Table!$A$2:$N1468,E$1,FALSE)</f>
        <v>SALBUTAMOL</v>
      </c>
      <c r="F1326" t="str">
        <f>VLOOKUP($A1326,[1]Table!$A$2:$N1468,F$1,FALSE)</f>
        <v>AIROMIR 100 MICROG/DOSIS AUTOHALER</v>
      </c>
      <c r="G1326" t="str">
        <f>VLOOKUP($A1326,[1]Table!$A$2:$N1468,G$1,FALSE)</f>
        <v>SALBUTAMOL 100UG/DO AEROSOL</v>
      </c>
      <c r="H1326" t="str">
        <f>VLOOKUP($A1326,[1]Table!$A$2:$N1468,H$1,FALSE)</f>
        <v>aerosol</v>
      </c>
      <c r="I1326" t="str">
        <f>VLOOKUP($A1326,[1]Table!$A$2:$N1468,I$1,FALSE)</f>
        <v>inh</v>
      </c>
      <c r="J1326">
        <f>VLOOKUP($A1326,[1]Table!$A$2:$N1468,J$1,FALSE)</f>
        <v>100</v>
      </c>
      <c r="K1326" t="str">
        <f>VLOOKUP($A1326,[1]Table!$A$2:$N1468,K$1,FALSE)</f>
        <v>mcg/dose</v>
      </c>
      <c r="L1326">
        <f>VLOOKUP($A1326,[1]Table!$A$2:$N1468,L$1,FALSE)</f>
        <v>100</v>
      </c>
      <c r="M1326" t="str">
        <f>VLOOKUP($A1326,[1]Table!$A$2:$N1468,M$1,FALSE)</f>
        <v>mcg</v>
      </c>
      <c r="N1326" t="s">
        <v>63</v>
      </c>
      <c r="O1326" t="str">
        <f>ConcatenateRange(AZ1326:BU1326,"||")</f>
        <v/>
      </c>
      <c r="AZ1326" t="str">
        <f t="shared" si="484"/>
        <v/>
      </c>
      <c r="BA1326" t="str">
        <f t="shared" si="485"/>
        <v/>
      </c>
      <c r="BB1326" t="str">
        <f t="shared" si="486"/>
        <v/>
      </c>
      <c r="BC1326" t="str">
        <f t="shared" si="487"/>
        <v/>
      </c>
      <c r="BD1326" t="str">
        <f t="shared" si="488"/>
        <v/>
      </c>
      <c r="BE1326" t="str">
        <f t="shared" si="489"/>
        <v/>
      </c>
      <c r="BF1326" t="str">
        <f t="shared" si="490"/>
        <v/>
      </c>
      <c r="BG1326" t="str">
        <f t="shared" si="491"/>
        <v/>
      </c>
      <c r="BH1326" t="str">
        <f t="shared" si="492"/>
        <v/>
      </c>
      <c r="BI1326" t="str">
        <f t="shared" si="493"/>
        <v/>
      </c>
      <c r="BJ1326" t="str">
        <f t="shared" si="494"/>
        <v/>
      </c>
      <c r="BK1326" t="str">
        <f t="shared" si="495"/>
        <v/>
      </c>
      <c r="BL1326" t="str">
        <f t="shared" si="496"/>
        <v/>
      </c>
      <c r="BM1326" t="str">
        <f t="shared" si="497"/>
        <v/>
      </c>
      <c r="BN1326" t="str">
        <f t="shared" si="498"/>
        <v/>
      </c>
      <c r="BO1326" t="str">
        <f t="shared" si="499"/>
        <v/>
      </c>
      <c r="BP1326" t="str">
        <f t="shared" si="500"/>
        <v/>
      </c>
      <c r="BQ1326" t="str">
        <f t="shared" si="501"/>
        <v/>
      </c>
      <c r="BR1326" t="str">
        <f t="shared" si="502"/>
        <v/>
      </c>
      <c r="BS1326" t="str">
        <f t="shared" si="503"/>
        <v/>
      </c>
      <c r="BT1326" t="str">
        <f t="shared" si="504"/>
        <v/>
      </c>
      <c r="BU1326" t="str">
        <f t="shared" si="505"/>
        <v/>
      </c>
    </row>
    <row r="1327" spans="1:73">
      <c r="A1327" s="1">
        <v>75272</v>
      </c>
      <c r="B1327" t="str">
        <f>VLOOKUP($A1327,[1]Table!$A$2:$N1469,B$1,FALSE)</f>
        <v>R03AC02</v>
      </c>
      <c r="C1327" t="str">
        <f>VLOOKUP($A1327,[1]Table!$A$2:$N1469,C$1,FALSE)</f>
        <v>MIDDELEN BIJ ASTMA/COPD</v>
      </c>
      <c r="D1327" t="str">
        <f>VLOOKUP($A1327,[1]Table!$A$2:$N1469,D$1,FALSE)</f>
        <v>SYMPATHICOMIMETICA VOOR INHALATIE</v>
      </c>
      <c r="E1327" t="str">
        <f>VLOOKUP($A1327,[1]Table!$A$2:$N1469,E$1,FALSE)</f>
        <v>SALBUTAMOL</v>
      </c>
      <c r="F1327" t="str">
        <f>VLOOKUP($A1327,[1]Table!$A$2:$N1469,F$1,FALSE)</f>
        <v>VENTOLIN 200  DISKUS 60 DOSES</v>
      </c>
      <c r="G1327" t="str">
        <f>VLOOKUP($A1327,[1]Table!$A$2:$N1469,G$1,FALSE)</f>
        <v>SALBUTAMOL 200UG/DO INHPDR</v>
      </c>
      <c r="H1327" t="str">
        <f>VLOOKUP($A1327,[1]Table!$A$2:$N1469,H$1,FALSE)</f>
        <v>inhalatiepoeder</v>
      </c>
      <c r="I1327" t="str">
        <f>VLOOKUP($A1327,[1]Table!$A$2:$N1469,I$1,FALSE)</f>
        <v>inh</v>
      </c>
      <c r="J1327">
        <f>VLOOKUP($A1327,[1]Table!$A$2:$N1469,J$1,FALSE)</f>
        <v>200</v>
      </c>
      <c r="K1327" t="str">
        <f>VLOOKUP($A1327,[1]Table!$A$2:$N1469,K$1,FALSE)</f>
        <v>mcg/dose</v>
      </c>
      <c r="L1327">
        <f>VLOOKUP($A1327,[1]Table!$A$2:$N1469,L$1,FALSE)</f>
        <v>200</v>
      </c>
      <c r="M1327" t="str">
        <f>VLOOKUP($A1327,[1]Table!$A$2:$N1469,M$1,FALSE)</f>
        <v>mcg</v>
      </c>
      <c r="N1327" t="s">
        <v>63</v>
      </c>
      <c r="O1327" t="str">
        <f>ConcatenateRange(AZ1327:BU1327,"||")</f>
        <v/>
      </c>
      <c r="AZ1327" t="str">
        <f t="shared" si="484"/>
        <v/>
      </c>
      <c r="BA1327" t="str">
        <f t="shared" si="485"/>
        <v/>
      </c>
      <c r="BB1327" t="str">
        <f t="shared" si="486"/>
        <v/>
      </c>
      <c r="BC1327" t="str">
        <f t="shared" si="487"/>
        <v/>
      </c>
      <c r="BD1327" t="str">
        <f t="shared" si="488"/>
        <v/>
      </c>
      <c r="BE1327" t="str">
        <f t="shared" si="489"/>
        <v/>
      </c>
      <c r="BF1327" t="str">
        <f t="shared" si="490"/>
        <v/>
      </c>
      <c r="BG1327" t="str">
        <f t="shared" si="491"/>
        <v/>
      </c>
      <c r="BH1327" t="str">
        <f t="shared" si="492"/>
        <v/>
      </c>
      <c r="BI1327" t="str">
        <f t="shared" si="493"/>
        <v/>
      </c>
      <c r="BJ1327" t="str">
        <f t="shared" si="494"/>
        <v/>
      </c>
      <c r="BK1327" t="str">
        <f t="shared" si="495"/>
        <v/>
      </c>
      <c r="BL1327" t="str">
        <f t="shared" si="496"/>
        <v/>
      </c>
      <c r="BM1327" t="str">
        <f t="shared" si="497"/>
        <v/>
      </c>
      <c r="BN1327" t="str">
        <f t="shared" si="498"/>
        <v/>
      </c>
      <c r="BO1327" t="str">
        <f t="shared" si="499"/>
        <v/>
      </c>
      <c r="BP1327" t="str">
        <f t="shared" si="500"/>
        <v/>
      </c>
      <c r="BQ1327" t="str">
        <f t="shared" si="501"/>
        <v/>
      </c>
      <c r="BR1327" t="str">
        <f t="shared" si="502"/>
        <v/>
      </c>
      <c r="BS1327" t="str">
        <f t="shared" si="503"/>
        <v/>
      </c>
      <c r="BT1327" t="str">
        <f t="shared" si="504"/>
        <v/>
      </c>
      <c r="BU1327" t="str">
        <f t="shared" si="505"/>
        <v/>
      </c>
    </row>
    <row r="1328" spans="1:73">
      <c r="A1328" s="1">
        <v>75124</v>
      </c>
      <c r="B1328" t="str">
        <f>VLOOKUP($A1328,[1]Table!$A$2:$N1470,B$1,FALSE)</f>
        <v>R03AC02</v>
      </c>
      <c r="C1328" t="str">
        <f>VLOOKUP($A1328,[1]Table!$A$2:$N1470,C$1,FALSE)</f>
        <v>MIDDELEN BIJ ASTMA/COPD</v>
      </c>
      <c r="D1328" t="str">
        <f>VLOOKUP($A1328,[1]Table!$A$2:$N1470,D$1,FALSE)</f>
        <v>SYMPATHICOMIMETICA VOOR INHALATIE</v>
      </c>
      <c r="E1328" t="str">
        <f>VLOOKUP($A1328,[1]Table!$A$2:$N1470,E$1,FALSE)</f>
        <v>SALBUTAMOL</v>
      </c>
      <c r="F1328" t="str">
        <f>VLOOKUP($A1328,[1]Table!$A$2:$N1470,F$1,FALSE)</f>
        <v>VENTOLIN 1 MG/ML NEBULES 2,5ML</v>
      </c>
      <c r="G1328" t="str">
        <f>VLOOKUP($A1328,[1]Table!$A$2:$N1470,G$1,FALSE)</f>
        <v>SALBUTAMOL 1MG/ML VERNEVELV</v>
      </c>
      <c r="H1328" t="str">
        <f>VLOOKUP($A1328,[1]Table!$A$2:$N1470,H$1,FALSE)</f>
        <v>vernevelvloeistof</v>
      </c>
      <c r="I1328" t="str">
        <f>VLOOKUP($A1328,[1]Table!$A$2:$N1470,I$1,FALSE)</f>
        <v>inh</v>
      </c>
      <c r="J1328">
        <f>VLOOKUP($A1328,[1]Table!$A$2:$N1470,J$1,FALSE)</f>
        <v>1</v>
      </c>
      <c r="K1328" t="str">
        <f>VLOOKUP($A1328,[1]Table!$A$2:$N1470,K$1,FALSE)</f>
        <v>mg/ml</v>
      </c>
      <c r="L1328">
        <f>VLOOKUP($A1328,[1]Table!$A$2:$N1470,L$1,FALSE)</f>
        <v>1</v>
      </c>
      <c r="M1328" t="str">
        <f>VLOOKUP($A1328,[1]Table!$A$2:$N1470,M$1,FALSE)</f>
        <v>mg</v>
      </c>
      <c r="N1328" t="s">
        <v>63</v>
      </c>
      <c r="O1328" t="str">
        <f>ConcatenateRange(AZ1328:BU1328,"||")</f>
        <v/>
      </c>
      <c r="AZ1328" t="str">
        <f t="shared" si="484"/>
        <v/>
      </c>
      <c r="BA1328" t="str">
        <f t="shared" si="485"/>
        <v/>
      </c>
      <c r="BB1328" t="str">
        <f t="shared" si="486"/>
        <v/>
      </c>
      <c r="BC1328" t="str">
        <f t="shared" si="487"/>
        <v/>
      </c>
      <c r="BD1328" t="str">
        <f t="shared" si="488"/>
        <v/>
      </c>
      <c r="BE1328" t="str">
        <f t="shared" si="489"/>
        <v/>
      </c>
      <c r="BF1328" t="str">
        <f t="shared" si="490"/>
        <v/>
      </c>
      <c r="BG1328" t="str">
        <f t="shared" si="491"/>
        <v/>
      </c>
      <c r="BH1328" t="str">
        <f t="shared" si="492"/>
        <v/>
      </c>
      <c r="BI1328" t="str">
        <f t="shared" si="493"/>
        <v/>
      </c>
      <c r="BJ1328" t="str">
        <f t="shared" si="494"/>
        <v/>
      </c>
      <c r="BK1328" t="str">
        <f t="shared" si="495"/>
        <v/>
      </c>
      <c r="BL1328" t="str">
        <f t="shared" si="496"/>
        <v/>
      </c>
      <c r="BM1328" t="str">
        <f t="shared" si="497"/>
        <v/>
      </c>
      <c r="BN1328" t="str">
        <f t="shared" si="498"/>
        <v/>
      </c>
      <c r="BO1328" t="str">
        <f t="shared" si="499"/>
        <v/>
      </c>
      <c r="BP1328" t="str">
        <f t="shared" si="500"/>
        <v/>
      </c>
      <c r="BQ1328" t="str">
        <f t="shared" si="501"/>
        <v/>
      </c>
      <c r="BR1328" t="str">
        <f t="shared" si="502"/>
        <v/>
      </c>
      <c r="BS1328" t="str">
        <f t="shared" si="503"/>
        <v/>
      </c>
      <c r="BT1328" t="str">
        <f t="shared" si="504"/>
        <v/>
      </c>
      <c r="BU1328" t="str">
        <f t="shared" si="505"/>
        <v/>
      </c>
    </row>
    <row r="1329" spans="1:73">
      <c r="A1329" s="1">
        <v>22098</v>
      </c>
      <c r="B1329" t="str">
        <f>VLOOKUP($A1329,[1]Table!$A$2:$N1471,B$1,FALSE)</f>
        <v>R03AC02</v>
      </c>
      <c r="C1329" t="str">
        <f>VLOOKUP($A1329,[1]Table!$A$2:$N1471,C$1,FALSE)</f>
        <v>MIDDELEN BIJ ASTMA/COPD</v>
      </c>
      <c r="D1329" t="str">
        <f>VLOOKUP($A1329,[1]Table!$A$2:$N1471,D$1,FALSE)</f>
        <v>SYMPATHICOMIMETICA VOOR INHALATIE</v>
      </c>
      <c r="E1329" t="str">
        <f>VLOOKUP($A1329,[1]Table!$A$2:$N1471,E$1,FALSE)</f>
        <v>SALBUTAMOL</v>
      </c>
      <c r="F1329" t="str">
        <f>VLOOKUP($A1329,[1]Table!$A$2:$N1471,F$1,FALSE)</f>
        <v>VENTOLIN 5 MG/ML INHALATIEVLST 20ML</v>
      </c>
      <c r="G1329" t="str">
        <f>VLOOKUP($A1329,[1]Table!$A$2:$N1471,G$1,FALSE)</f>
        <v>SALBUTAMOL 5MG/ML VERNEVELV</v>
      </c>
      <c r="H1329" t="str">
        <f>VLOOKUP($A1329,[1]Table!$A$2:$N1471,H$1,FALSE)</f>
        <v>vernevelvloeistof</v>
      </c>
      <c r="I1329" t="str">
        <f>VLOOKUP($A1329,[1]Table!$A$2:$N1471,I$1,FALSE)</f>
        <v>inh</v>
      </c>
      <c r="J1329">
        <f>VLOOKUP($A1329,[1]Table!$A$2:$N1471,J$1,FALSE)</f>
        <v>5</v>
      </c>
      <c r="K1329" t="str">
        <f>VLOOKUP($A1329,[1]Table!$A$2:$N1471,K$1,FALSE)</f>
        <v>mg/ml</v>
      </c>
      <c r="L1329">
        <f>VLOOKUP($A1329,[1]Table!$A$2:$N1471,L$1,FALSE)</f>
        <v>5</v>
      </c>
      <c r="M1329" t="str">
        <f>VLOOKUP($A1329,[1]Table!$A$2:$N1471,M$1,FALSE)</f>
        <v>mg</v>
      </c>
      <c r="N1329" t="s">
        <v>63</v>
      </c>
      <c r="O1329" t="str">
        <f>ConcatenateRange(AZ1329:BU1329,"||")</f>
        <v/>
      </c>
      <c r="AZ1329" t="str">
        <f t="shared" si="484"/>
        <v/>
      </c>
      <c r="BA1329" t="str">
        <f t="shared" si="485"/>
        <v/>
      </c>
      <c r="BB1329" t="str">
        <f t="shared" si="486"/>
        <v/>
      </c>
      <c r="BC1329" t="str">
        <f t="shared" si="487"/>
        <v/>
      </c>
      <c r="BD1329" t="str">
        <f t="shared" si="488"/>
        <v/>
      </c>
      <c r="BE1329" t="str">
        <f t="shared" si="489"/>
        <v/>
      </c>
      <c r="BF1329" t="str">
        <f t="shared" si="490"/>
        <v/>
      </c>
      <c r="BG1329" t="str">
        <f t="shared" si="491"/>
        <v/>
      </c>
      <c r="BH1329" t="str">
        <f t="shared" si="492"/>
        <v/>
      </c>
      <c r="BI1329" t="str">
        <f t="shared" si="493"/>
        <v/>
      </c>
      <c r="BJ1329" t="str">
        <f t="shared" si="494"/>
        <v/>
      </c>
      <c r="BK1329" t="str">
        <f t="shared" si="495"/>
        <v/>
      </c>
      <c r="BL1329" t="str">
        <f t="shared" si="496"/>
        <v/>
      </c>
      <c r="BM1329" t="str">
        <f t="shared" si="497"/>
        <v/>
      </c>
      <c r="BN1329" t="str">
        <f t="shared" si="498"/>
        <v/>
      </c>
      <c r="BO1329" t="str">
        <f t="shared" si="499"/>
        <v/>
      </c>
      <c r="BP1329" t="str">
        <f t="shared" si="500"/>
        <v/>
      </c>
      <c r="BQ1329" t="str">
        <f t="shared" si="501"/>
        <v/>
      </c>
      <c r="BR1329" t="str">
        <f t="shared" si="502"/>
        <v/>
      </c>
      <c r="BS1329" t="str">
        <f t="shared" si="503"/>
        <v/>
      </c>
      <c r="BT1329" t="str">
        <f t="shared" si="504"/>
        <v/>
      </c>
      <c r="BU1329" t="str">
        <f t="shared" si="505"/>
        <v/>
      </c>
    </row>
    <row r="1330" spans="1:73">
      <c r="A1330" s="1">
        <v>126101</v>
      </c>
      <c r="B1330" t="str">
        <f>VLOOKUP($A1330,[1]Table!$A$2:$N949,B$1,FALSE)</f>
        <v>R03AL02</v>
      </c>
      <c r="C1330" t="str">
        <f>VLOOKUP($A1330,[1]Table!$A$2:$N949,C$1,FALSE)</f>
        <v>MIDDELEN BIJ ASTMA/COPD</v>
      </c>
      <c r="D1330" t="str">
        <f>VLOOKUP($A1330,[1]Table!$A$2:$N949,D$1,FALSE)</f>
        <v>SYMPATHICOMIMETICA VOOR INHALATIE</v>
      </c>
      <c r="E1330" t="str">
        <f>VLOOKUP($A1330,[1]Table!$A$2:$N949,E$1,FALSE)</f>
        <v>SALBUTAMOL/IPRATROPIUM</v>
      </c>
      <c r="F1330" t="str">
        <f>VLOOKUP($A1330,[1]Table!$A$2:$N949,F$1,FALSE)</f>
        <v>COMBIVENT UNIT DOSE 2,5 ML</v>
      </c>
      <c r="G1330" t="str">
        <f>VLOOKUP($A1330,[1]Table!$A$2:$N949,G$1,FALSE)</f>
        <v>SALBUT/IPRATR 1/0,2MG/ML VE</v>
      </c>
      <c r="H1330" t="str">
        <f>VLOOKUP($A1330,[1]Table!$A$2:$N949,H$1,FALSE)</f>
        <v>vernevelvloeistof</v>
      </c>
      <c r="I1330" t="str">
        <f>VLOOKUP($A1330,[1]Table!$A$2:$N949,I$1,FALSE)</f>
        <v>inh</v>
      </c>
      <c r="J1330">
        <f>VLOOKUP($A1330,[1]Table!$A$2:$N949,J$1,FALSE)</f>
        <v>0.2</v>
      </c>
      <c r="K1330" t="str">
        <f>VLOOKUP($A1330,[1]Table!$A$2:$N949,K$1,FALSE)</f>
        <v>mg/ml</v>
      </c>
      <c r="L1330">
        <f>VLOOKUP($A1330,[1]Table!$A$2:$N949,L$1,FALSE)</f>
        <v>0.2</v>
      </c>
      <c r="M1330" t="str">
        <f>VLOOKUP($A1330,[1]Table!$A$2:$N949,M$1,FALSE)</f>
        <v>mg</v>
      </c>
      <c r="N1330" t="str">
        <f>VLOOKUP($A1330,[1]Table!$A$2:$N949,N$1,FALSE)</f>
        <v xml:space="preserve">Opheffen reversibele luchtwegobstructie </v>
      </c>
      <c r="O1330" t="str">
        <f>ConcatenateRange(AZ1330:BU1330,"||")</f>
        <v/>
      </c>
      <c r="AZ1330" t="str">
        <f t="shared" si="484"/>
        <v/>
      </c>
      <c r="BA1330" t="str">
        <f t="shared" si="485"/>
        <v/>
      </c>
      <c r="BB1330" t="str">
        <f t="shared" si="486"/>
        <v/>
      </c>
      <c r="BC1330" t="str">
        <f t="shared" si="487"/>
        <v/>
      </c>
      <c r="BD1330" t="str">
        <f t="shared" si="488"/>
        <v/>
      </c>
      <c r="BE1330" t="str">
        <f t="shared" si="489"/>
        <v/>
      </c>
      <c r="BF1330" t="str">
        <f t="shared" si="490"/>
        <v/>
      </c>
      <c r="BG1330" t="str">
        <f t="shared" si="491"/>
        <v/>
      </c>
      <c r="BH1330" t="str">
        <f t="shared" si="492"/>
        <v/>
      </c>
      <c r="BI1330" t="str">
        <f t="shared" si="493"/>
        <v/>
      </c>
      <c r="BJ1330" t="str">
        <f t="shared" si="494"/>
        <v/>
      </c>
      <c r="BK1330" t="str">
        <f t="shared" si="495"/>
        <v/>
      </c>
      <c r="BL1330" t="str">
        <f t="shared" si="496"/>
        <v/>
      </c>
      <c r="BM1330" t="str">
        <f t="shared" si="497"/>
        <v/>
      </c>
      <c r="BN1330" t="str">
        <f t="shared" si="498"/>
        <v/>
      </c>
      <c r="BO1330" t="str">
        <f t="shared" si="499"/>
        <v/>
      </c>
      <c r="BP1330" t="str">
        <f t="shared" si="500"/>
        <v/>
      </c>
      <c r="BQ1330" t="str">
        <f t="shared" si="501"/>
        <v/>
      </c>
      <c r="BR1330" t="str">
        <f t="shared" si="502"/>
        <v/>
      </c>
      <c r="BS1330" t="str">
        <f t="shared" si="503"/>
        <v/>
      </c>
      <c r="BT1330" t="str">
        <f t="shared" si="504"/>
        <v/>
      </c>
      <c r="BU1330" t="str">
        <f t="shared" si="505"/>
        <v/>
      </c>
    </row>
    <row r="1331" spans="1:73">
      <c r="A1331" s="1">
        <v>123528</v>
      </c>
      <c r="B1331" t="str">
        <f>VLOOKUP($A1331,[1]Table!$A$2:$N1472,B$1,FALSE)</f>
        <v>D01AE12</v>
      </c>
      <c r="C1331" t="str">
        <f>VLOOKUP($A1331,[1]Table!$A$2:$N1472,C$1,FALSE)</f>
        <v>ANTIMYCOTICA VOOR DERMATOLOGISCH GEBRUIK</v>
      </c>
      <c r="D1331" t="str">
        <f>VLOOKUP($A1331,[1]Table!$A$2:$N1472,D$1,FALSE)</f>
        <v>ANTIMYCOTICA, LOKALE</v>
      </c>
      <c r="E1331" t="str">
        <f>VLOOKUP($A1331,[1]Table!$A$2:$N1472,E$1,FALSE)</f>
        <v>SALICYLZUUR</v>
      </c>
      <c r="F1331" t="str">
        <f>VLOOKUP($A1331,[1]Table!$A$2:$N1472,F$1,FALSE)</f>
        <v>SALICYLZUURVASELINEZALF 10% POT 30 GRAM</v>
      </c>
      <c r="G1331" t="str">
        <f>VLOOKUP($A1331,[1]Table!$A$2:$N1472,G$1,FALSE)</f>
        <v>SALICYLZUUR 100MG/G ZALF</v>
      </c>
      <c r="H1331" t="str">
        <f>VLOOKUP($A1331,[1]Table!$A$2:$N1472,H$1,FALSE)</f>
        <v>zalf</v>
      </c>
      <c r="I1331" t="str">
        <f>VLOOKUP($A1331,[1]Table!$A$2:$N1472,I$1,FALSE)</f>
        <v>cutaan</v>
      </c>
      <c r="J1331">
        <f>VLOOKUP($A1331,[1]Table!$A$2:$N1472,J$1,FALSE)</f>
        <v>100</v>
      </c>
      <c r="K1331" t="str">
        <f>VLOOKUP($A1331,[1]Table!$A$2:$N1472,K$1,FALSE)</f>
        <v>mg/gr</v>
      </c>
      <c r="L1331">
        <f>VLOOKUP($A1331,[1]Table!$A$2:$N1472,L$1,FALSE)</f>
        <v>100</v>
      </c>
      <c r="M1331" t="str">
        <f>VLOOKUP($A1331,[1]Table!$A$2:$N1472,M$1,FALSE)</f>
        <v>mg</v>
      </c>
      <c r="N1331" t="str">
        <f>VLOOKUP($A1331,[1]Table!$A$2:$N1472,N$1,FALSE)</f>
        <v>Hyperkeratose||Wratten</v>
      </c>
      <c r="O1331" t="str">
        <f>ConcatenateRange(AZ1331:BU1331,"||")</f>
        <v/>
      </c>
      <c r="AZ1331" t="str">
        <f t="shared" si="484"/>
        <v/>
      </c>
      <c r="BA1331" t="str">
        <f t="shared" si="485"/>
        <v/>
      </c>
      <c r="BB1331" t="str">
        <f t="shared" si="486"/>
        <v/>
      </c>
      <c r="BC1331" t="str">
        <f t="shared" si="487"/>
        <v/>
      </c>
      <c r="BD1331" t="str">
        <f t="shared" si="488"/>
        <v/>
      </c>
      <c r="BE1331" t="str">
        <f t="shared" si="489"/>
        <v/>
      </c>
      <c r="BF1331" t="str">
        <f t="shared" si="490"/>
        <v/>
      </c>
      <c r="BG1331" t="str">
        <f t="shared" si="491"/>
        <v/>
      </c>
      <c r="BH1331" t="str">
        <f t="shared" si="492"/>
        <v/>
      </c>
      <c r="BI1331" t="str">
        <f t="shared" si="493"/>
        <v/>
      </c>
      <c r="BJ1331" t="str">
        <f t="shared" si="494"/>
        <v/>
      </c>
      <c r="BK1331" t="str">
        <f t="shared" si="495"/>
        <v/>
      </c>
      <c r="BL1331" t="str">
        <f t="shared" si="496"/>
        <v/>
      </c>
      <c r="BM1331" t="str">
        <f t="shared" si="497"/>
        <v/>
      </c>
      <c r="BN1331" t="str">
        <f t="shared" si="498"/>
        <v/>
      </c>
      <c r="BO1331" t="str">
        <f t="shared" si="499"/>
        <v/>
      </c>
      <c r="BP1331" t="str">
        <f t="shared" si="500"/>
        <v/>
      </c>
      <c r="BQ1331" t="str">
        <f t="shared" si="501"/>
        <v/>
      </c>
      <c r="BR1331" t="str">
        <f t="shared" si="502"/>
        <v/>
      </c>
      <c r="BS1331" t="str">
        <f t="shared" si="503"/>
        <v/>
      </c>
      <c r="BT1331" t="str">
        <f t="shared" si="504"/>
        <v/>
      </c>
      <c r="BU1331" t="str">
        <f t="shared" si="505"/>
        <v/>
      </c>
    </row>
    <row r="1332" spans="1:73">
      <c r="A1332" s="1">
        <v>123536</v>
      </c>
      <c r="B1332" t="str">
        <f>VLOOKUP($A1332,[1]Table!$A$2:$N1473,B$1,FALSE)</f>
        <v>D01AE12</v>
      </c>
      <c r="C1332" t="str">
        <f>VLOOKUP($A1332,[1]Table!$A$2:$N1473,C$1,FALSE)</f>
        <v>ANTIMYCOTICA VOOR DERMATOLOGISCH GEBRUIK</v>
      </c>
      <c r="D1332" t="str">
        <f>VLOOKUP($A1332,[1]Table!$A$2:$N1473,D$1,FALSE)</f>
        <v>ANTIMYCOTICA, LOKALE</v>
      </c>
      <c r="E1332" t="str">
        <f>VLOOKUP($A1332,[1]Table!$A$2:$N1473,E$1,FALSE)</f>
        <v>SALICYLZUUR</v>
      </c>
      <c r="F1332" t="str">
        <f>VLOOKUP($A1332,[1]Table!$A$2:$N1473,F$1,FALSE)</f>
        <v>SALICYLZUURVASELINEZALF 20% 500 G</v>
      </c>
      <c r="G1332" t="str">
        <f>VLOOKUP($A1332,[1]Table!$A$2:$N1473,G$1,FALSE)</f>
        <v>SALICYLZUUR 200MG/G ZALF</v>
      </c>
      <c r="H1332" t="str">
        <f>VLOOKUP($A1332,[1]Table!$A$2:$N1473,H$1,FALSE)</f>
        <v>zalf</v>
      </c>
      <c r="I1332" t="str">
        <f>VLOOKUP($A1332,[1]Table!$A$2:$N1473,I$1,FALSE)</f>
        <v>cutaan</v>
      </c>
      <c r="J1332">
        <f>VLOOKUP($A1332,[1]Table!$A$2:$N1473,J$1,FALSE)</f>
        <v>200</v>
      </c>
      <c r="K1332" t="str">
        <f>VLOOKUP($A1332,[1]Table!$A$2:$N1473,K$1,FALSE)</f>
        <v>mg/gr</v>
      </c>
      <c r="L1332">
        <f>VLOOKUP($A1332,[1]Table!$A$2:$N1473,L$1,FALSE)</f>
        <v>200</v>
      </c>
      <c r="M1332" t="str">
        <f>VLOOKUP($A1332,[1]Table!$A$2:$N1473,M$1,FALSE)</f>
        <v>mg</v>
      </c>
      <c r="N1332" t="str">
        <f>VLOOKUP($A1332,[1]Table!$A$2:$N1473,N$1,FALSE)</f>
        <v>Hyperkeratose||Wratten</v>
      </c>
      <c r="O1332" t="str">
        <f>ConcatenateRange(AZ1332:BU1332,"||")</f>
        <v/>
      </c>
      <c r="AZ1332" t="str">
        <f t="shared" si="484"/>
        <v/>
      </c>
      <c r="BA1332" t="str">
        <f t="shared" si="485"/>
        <v/>
      </c>
      <c r="BB1332" t="str">
        <f t="shared" si="486"/>
        <v/>
      </c>
      <c r="BC1332" t="str">
        <f t="shared" si="487"/>
        <v/>
      </c>
      <c r="BD1332" t="str">
        <f t="shared" si="488"/>
        <v/>
      </c>
      <c r="BE1332" t="str">
        <f t="shared" si="489"/>
        <v/>
      </c>
      <c r="BF1332" t="str">
        <f t="shared" si="490"/>
        <v/>
      </c>
      <c r="BG1332" t="str">
        <f t="shared" si="491"/>
        <v/>
      </c>
      <c r="BH1332" t="str">
        <f t="shared" si="492"/>
        <v/>
      </c>
      <c r="BI1332" t="str">
        <f t="shared" si="493"/>
        <v/>
      </c>
      <c r="BJ1332" t="str">
        <f t="shared" si="494"/>
        <v/>
      </c>
      <c r="BK1332" t="str">
        <f t="shared" si="495"/>
        <v/>
      </c>
      <c r="BL1332" t="str">
        <f t="shared" si="496"/>
        <v/>
      </c>
      <c r="BM1332" t="str">
        <f t="shared" si="497"/>
        <v/>
      </c>
      <c r="BN1332" t="str">
        <f t="shared" si="498"/>
        <v/>
      </c>
      <c r="BO1332" t="str">
        <f t="shared" si="499"/>
        <v/>
      </c>
      <c r="BP1332" t="str">
        <f t="shared" si="500"/>
        <v/>
      </c>
      <c r="BQ1332" t="str">
        <f t="shared" si="501"/>
        <v/>
      </c>
      <c r="BR1332" t="str">
        <f t="shared" si="502"/>
        <v/>
      </c>
      <c r="BS1332" t="str">
        <f t="shared" si="503"/>
        <v/>
      </c>
      <c r="BT1332" t="str">
        <f t="shared" si="504"/>
        <v/>
      </c>
      <c r="BU1332" t="str">
        <f t="shared" si="505"/>
        <v/>
      </c>
    </row>
    <row r="1333" spans="1:73">
      <c r="A1333" s="1">
        <v>87416</v>
      </c>
      <c r="B1333" t="str">
        <f>VLOOKUP($A1333,[1]Table!$A$2:$N1474,B$1,FALSE)</f>
        <v>R03AC12</v>
      </c>
      <c r="C1333" t="str">
        <f>VLOOKUP($A1333,[1]Table!$A$2:$N1474,C$1,FALSE)</f>
        <v>MIDDELEN BIJ ASTMA/COPD</v>
      </c>
      <c r="D1333" t="str">
        <f>VLOOKUP($A1333,[1]Table!$A$2:$N1474,D$1,FALSE)</f>
        <v>SYMPATHICOMIMETICA VOOR INHALATIE</v>
      </c>
      <c r="E1333" t="str">
        <f>VLOOKUP($A1333,[1]Table!$A$2:$N1474,E$1,FALSE)</f>
        <v>SALMETEROL</v>
      </c>
      <c r="F1333" t="str">
        <f>VLOOKUP($A1333,[1]Table!$A$2:$N1474,F$1,FALSE)</f>
        <v>SEREVENT 25 MICROG/DOSIS AEROSOL</v>
      </c>
      <c r="G1333" t="str">
        <f>VLOOKUP($A1333,[1]Table!$A$2:$N1474,G$1,FALSE)</f>
        <v>SALMETEROL 25UG/DO AEROSOL</v>
      </c>
      <c r="H1333" t="str">
        <f>VLOOKUP($A1333,[1]Table!$A$2:$N1474,H$1,FALSE)</f>
        <v>aerosol</v>
      </c>
      <c r="I1333" t="str">
        <f>VLOOKUP($A1333,[1]Table!$A$2:$N1474,I$1,FALSE)</f>
        <v>inh</v>
      </c>
      <c r="J1333">
        <f>VLOOKUP($A1333,[1]Table!$A$2:$N1474,J$1,FALSE)</f>
        <v>25</v>
      </c>
      <c r="K1333" t="str">
        <f>VLOOKUP($A1333,[1]Table!$A$2:$N1474,K$1,FALSE)</f>
        <v>mcg/dose</v>
      </c>
      <c r="L1333">
        <f>VLOOKUP($A1333,[1]Table!$A$2:$N1474,L$1,FALSE)</f>
        <v>25</v>
      </c>
      <c r="M1333" t="str">
        <f>VLOOKUP($A1333,[1]Table!$A$2:$N1474,M$1,FALSE)</f>
        <v>mcg</v>
      </c>
      <c r="N1333" t="str">
        <f>VLOOKUP($A1333,[1]Table!$A$2:$N1474,N$1,FALSE)</f>
        <v xml:space="preserve">Bronchusverwijding (langwerkend) </v>
      </c>
      <c r="O1333" t="str">
        <f>ConcatenateRange(AZ1333:BU1333,"||")</f>
        <v/>
      </c>
      <c r="AZ1333" t="str">
        <f t="shared" si="484"/>
        <v/>
      </c>
      <c r="BA1333" t="str">
        <f t="shared" si="485"/>
        <v/>
      </c>
      <c r="BB1333" t="str">
        <f t="shared" si="486"/>
        <v/>
      </c>
      <c r="BC1333" t="str">
        <f t="shared" si="487"/>
        <v/>
      </c>
      <c r="BD1333" t="str">
        <f t="shared" si="488"/>
        <v/>
      </c>
      <c r="BE1333" t="str">
        <f t="shared" si="489"/>
        <v/>
      </c>
      <c r="BF1333" t="str">
        <f t="shared" si="490"/>
        <v/>
      </c>
      <c r="BG1333" t="str">
        <f t="shared" si="491"/>
        <v/>
      </c>
      <c r="BH1333" t="str">
        <f t="shared" si="492"/>
        <v/>
      </c>
      <c r="BI1333" t="str">
        <f t="shared" si="493"/>
        <v/>
      </c>
      <c r="BJ1333" t="str">
        <f t="shared" si="494"/>
        <v/>
      </c>
      <c r="BK1333" t="str">
        <f t="shared" si="495"/>
        <v/>
      </c>
      <c r="BL1333" t="str">
        <f t="shared" si="496"/>
        <v/>
      </c>
      <c r="BM1333" t="str">
        <f t="shared" si="497"/>
        <v/>
      </c>
      <c r="BN1333" t="str">
        <f t="shared" si="498"/>
        <v/>
      </c>
      <c r="BO1333" t="str">
        <f t="shared" si="499"/>
        <v/>
      </c>
      <c r="BP1333" t="str">
        <f t="shared" si="500"/>
        <v/>
      </c>
      <c r="BQ1333" t="str">
        <f t="shared" si="501"/>
        <v/>
      </c>
      <c r="BR1333" t="str">
        <f t="shared" si="502"/>
        <v/>
      </c>
      <c r="BS1333" t="str">
        <f t="shared" si="503"/>
        <v/>
      </c>
      <c r="BT1333" t="str">
        <f t="shared" si="504"/>
        <v/>
      </c>
      <c r="BU1333" t="str">
        <f t="shared" si="505"/>
        <v/>
      </c>
    </row>
    <row r="1334" spans="1:73">
      <c r="A1334" s="1">
        <v>87424</v>
      </c>
      <c r="B1334" t="str">
        <f>VLOOKUP($A1334,[1]Table!$A$2:$N1475,B$1,FALSE)</f>
        <v>R03AC12</v>
      </c>
      <c r="C1334" t="str">
        <f>VLOOKUP($A1334,[1]Table!$A$2:$N1475,C$1,FALSE)</f>
        <v>MIDDELEN BIJ ASTMA/COPD</v>
      </c>
      <c r="D1334" t="str">
        <f>VLOOKUP($A1334,[1]Table!$A$2:$N1475,D$1,FALSE)</f>
        <v>SYMPATHICOMIMETICA VOOR INHALATIE</v>
      </c>
      <c r="E1334" t="str">
        <f>VLOOKUP($A1334,[1]Table!$A$2:$N1475,E$1,FALSE)</f>
        <v>SALMETEROL</v>
      </c>
      <c r="F1334" t="str">
        <f>VLOOKUP($A1334,[1]Table!$A$2:$N1475,F$1,FALSE)</f>
        <v>SEREVENT 50 MICROG/DOSIS DISKUS 60 DOSES</v>
      </c>
      <c r="G1334" t="str">
        <f>VLOOKUP($A1334,[1]Table!$A$2:$N1475,G$1,FALSE)</f>
        <v>SALMETEROL 50UG/DO INHALPDR</v>
      </c>
      <c r="H1334" t="str">
        <f>VLOOKUP($A1334,[1]Table!$A$2:$N1475,H$1,FALSE)</f>
        <v>inhalatiepoeder</v>
      </c>
      <c r="I1334" t="str">
        <f>VLOOKUP($A1334,[1]Table!$A$2:$N1475,I$1,FALSE)</f>
        <v>inh</v>
      </c>
      <c r="J1334">
        <f>VLOOKUP($A1334,[1]Table!$A$2:$N1475,J$1,FALSE)</f>
        <v>50</v>
      </c>
      <c r="K1334" t="str">
        <f>VLOOKUP($A1334,[1]Table!$A$2:$N1475,K$1,FALSE)</f>
        <v>mcg/dose</v>
      </c>
      <c r="L1334">
        <f>VLOOKUP($A1334,[1]Table!$A$2:$N1475,L$1,FALSE)</f>
        <v>50</v>
      </c>
      <c r="M1334" t="str">
        <f>VLOOKUP($A1334,[1]Table!$A$2:$N1475,M$1,FALSE)</f>
        <v>mcg</v>
      </c>
      <c r="N1334" t="str">
        <f>VLOOKUP($A1334,[1]Table!$A$2:$N1475,N$1,FALSE)</f>
        <v xml:space="preserve">Bronchusverwijding (langwerkend) </v>
      </c>
      <c r="O1334" t="str">
        <f>ConcatenateRange(AZ1334:BU1334,"||")</f>
        <v/>
      </c>
      <c r="AZ1334" t="str">
        <f t="shared" si="484"/>
        <v/>
      </c>
      <c r="BA1334" t="str">
        <f t="shared" si="485"/>
        <v/>
      </c>
      <c r="BB1334" t="str">
        <f t="shared" si="486"/>
        <v/>
      </c>
      <c r="BC1334" t="str">
        <f t="shared" si="487"/>
        <v/>
      </c>
      <c r="BD1334" t="str">
        <f t="shared" si="488"/>
        <v/>
      </c>
      <c r="BE1334" t="str">
        <f t="shared" si="489"/>
        <v/>
      </c>
      <c r="BF1334" t="str">
        <f t="shared" si="490"/>
        <v/>
      </c>
      <c r="BG1334" t="str">
        <f t="shared" si="491"/>
        <v/>
      </c>
      <c r="BH1334" t="str">
        <f t="shared" si="492"/>
        <v/>
      </c>
      <c r="BI1334" t="str">
        <f t="shared" si="493"/>
        <v/>
      </c>
      <c r="BJ1334" t="str">
        <f t="shared" si="494"/>
        <v/>
      </c>
      <c r="BK1334" t="str">
        <f t="shared" si="495"/>
        <v/>
      </c>
      <c r="BL1334" t="str">
        <f t="shared" si="496"/>
        <v/>
      </c>
      <c r="BM1334" t="str">
        <f t="shared" si="497"/>
        <v/>
      </c>
      <c r="BN1334" t="str">
        <f t="shared" si="498"/>
        <v/>
      </c>
      <c r="BO1334" t="str">
        <f t="shared" si="499"/>
        <v/>
      </c>
      <c r="BP1334" t="str">
        <f t="shared" si="500"/>
        <v/>
      </c>
      <c r="BQ1334" t="str">
        <f t="shared" si="501"/>
        <v/>
      </c>
      <c r="BR1334" t="str">
        <f t="shared" si="502"/>
        <v/>
      </c>
      <c r="BS1334" t="str">
        <f t="shared" si="503"/>
        <v/>
      </c>
      <c r="BT1334" t="str">
        <f t="shared" si="504"/>
        <v/>
      </c>
      <c r="BU1334" t="str">
        <f t="shared" si="505"/>
        <v/>
      </c>
    </row>
    <row r="1335" spans="1:73">
      <c r="A1335" s="1">
        <v>112828</v>
      </c>
      <c r="B1335" t="str">
        <f>VLOOKUP($A1335,[1]Table!$A$2:$N1476,B$1,FALSE)</f>
        <v>R03AK06</v>
      </c>
      <c r="C1335" t="str">
        <f>VLOOKUP($A1335,[1]Table!$A$2:$N1476,C$1,FALSE)</f>
        <v>MIDDELEN BIJ ASTMA/COPD</v>
      </c>
      <c r="D1335" t="str">
        <f>VLOOKUP($A1335,[1]Table!$A$2:$N1476,D$1,FALSE)</f>
        <v>SYMPATHICOMIMETICA VOOR INHALATIE</v>
      </c>
      <c r="E1335" t="str">
        <f>VLOOKUP($A1335,[1]Table!$A$2:$N1476,E$1,FALSE)</f>
        <v>SALMETEROL/FLUTICASON</v>
      </c>
      <c r="F1335" t="str">
        <f>VLOOKUP($A1335,[1]Table!$A$2:$N1476,F$1,FALSE)</f>
        <v>SERETIDE 25/125 MICROG/DO  DOSIS AEROSOL</v>
      </c>
      <c r="G1335" t="str">
        <f>VLOOKUP($A1335,[1]Table!$A$2:$N1476,G$1,FALSE)</f>
        <v>SALMET/FLUTICA 25/125UG/DO</v>
      </c>
      <c r="H1335" t="str">
        <f>VLOOKUP($A1335,[1]Table!$A$2:$N1476,H$1,FALSE)</f>
        <v>aerosol</v>
      </c>
      <c r="I1335" t="str">
        <f>VLOOKUP($A1335,[1]Table!$A$2:$N1476,I$1,FALSE)</f>
        <v>inh</v>
      </c>
      <c r="J1335">
        <f>VLOOKUP($A1335,[1]Table!$A$2:$N1476,J$1,FALSE)</f>
        <v>25</v>
      </c>
      <c r="K1335" t="str">
        <f>VLOOKUP($A1335,[1]Table!$A$2:$N1476,K$1,FALSE)</f>
        <v>mcg/dose</v>
      </c>
      <c r="L1335">
        <f>VLOOKUP($A1335,[1]Table!$A$2:$N1476,L$1,FALSE)</f>
        <v>25</v>
      </c>
      <c r="M1335" t="str">
        <f>VLOOKUP($A1335,[1]Table!$A$2:$N1476,M$1,FALSE)</f>
        <v>mcg</v>
      </c>
      <c r="N1335" t="str">
        <f>VLOOKUP($A1335,[1]Table!$A$2:$N1476,N$1,FALSE)</f>
        <v>Astma onderhoudsbehandeling</v>
      </c>
      <c r="O1335" t="str">
        <f>ConcatenateRange(AZ1335:BU1335,"||")</f>
        <v/>
      </c>
      <c r="AZ1335" t="str">
        <f t="shared" si="484"/>
        <v/>
      </c>
      <c r="BA1335" t="str">
        <f t="shared" si="485"/>
        <v/>
      </c>
      <c r="BB1335" t="str">
        <f t="shared" si="486"/>
        <v/>
      </c>
      <c r="BC1335" t="str">
        <f t="shared" si="487"/>
        <v/>
      </c>
      <c r="BD1335" t="str">
        <f t="shared" si="488"/>
        <v/>
      </c>
      <c r="BE1335" t="str">
        <f t="shared" si="489"/>
        <v/>
      </c>
      <c r="BF1335" t="str">
        <f t="shared" si="490"/>
        <v/>
      </c>
      <c r="BG1335" t="str">
        <f t="shared" si="491"/>
        <v/>
      </c>
      <c r="BH1335" t="str">
        <f t="shared" si="492"/>
        <v/>
      </c>
      <c r="BI1335" t="str">
        <f t="shared" si="493"/>
        <v/>
      </c>
      <c r="BJ1335" t="str">
        <f t="shared" si="494"/>
        <v/>
      </c>
      <c r="BK1335" t="str">
        <f t="shared" si="495"/>
        <v/>
      </c>
      <c r="BL1335" t="str">
        <f t="shared" si="496"/>
        <v/>
      </c>
      <c r="BM1335" t="str">
        <f t="shared" si="497"/>
        <v/>
      </c>
      <c r="BN1335" t="str">
        <f t="shared" si="498"/>
        <v/>
      </c>
      <c r="BO1335" t="str">
        <f t="shared" si="499"/>
        <v/>
      </c>
      <c r="BP1335" t="str">
        <f t="shared" si="500"/>
        <v/>
      </c>
      <c r="BQ1335" t="str">
        <f t="shared" si="501"/>
        <v/>
      </c>
      <c r="BR1335" t="str">
        <f t="shared" si="502"/>
        <v/>
      </c>
      <c r="BS1335" t="str">
        <f t="shared" si="503"/>
        <v/>
      </c>
      <c r="BT1335" t="str">
        <f t="shared" si="504"/>
        <v/>
      </c>
      <c r="BU1335" t="str">
        <f t="shared" si="505"/>
        <v/>
      </c>
    </row>
    <row r="1336" spans="1:73">
      <c r="A1336" s="1">
        <v>112836</v>
      </c>
      <c r="B1336" t="str">
        <f>VLOOKUP($A1336,[1]Table!$A$2:$N1477,B$1,FALSE)</f>
        <v>R03AK06</v>
      </c>
      <c r="C1336" t="str">
        <f>VLOOKUP($A1336,[1]Table!$A$2:$N1477,C$1,FALSE)</f>
        <v>MIDDELEN BIJ ASTMA/COPD</v>
      </c>
      <c r="D1336" t="str">
        <f>VLOOKUP($A1336,[1]Table!$A$2:$N1477,D$1,FALSE)</f>
        <v>SYMPATHICOMIMETICA VOOR INHALATIE</v>
      </c>
      <c r="E1336" t="str">
        <f>VLOOKUP($A1336,[1]Table!$A$2:$N1477,E$1,FALSE)</f>
        <v>SALMETEROL/FLUTICASON</v>
      </c>
      <c r="F1336" t="str">
        <f>VLOOKUP($A1336,[1]Table!$A$2:$N1477,F$1,FALSE)</f>
        <v>SERETIDE 25/250 MICROG/DO  DOSIS AEROSOL</v>
      </c>
      <c r="G1336" t="str">
        <f>VLOOKUP($A1336,[1]Table!$A$2:$N1477,G$1,FALSE)</f>
        <v>SALMET/FLUTICA 25/250UG/DO</v>
      </c>
      <c r="H1336" t="str">
        <f>VLOOKUP($A1336,[1]Table!$A$2:$N1477,H$1,FALSE)</f>
        <v>aerosol</v>
      </c>
      <c r="I1336" t="str">
        <f>VLOOKUP($A1336,[1]Table!$A$2:$N1477,I$1,FALSE)</f>
        <v>inh</v>
      </c>
      <c r="J1336">
        <f>VLOOKUP($A1336,[1]Table!$A$2:$N1477,J$1,FALSE)</f>
        <v>25</v>
      </c>
      <c r="K1336" t="str">
        <f>VLOOKUP($A1336,[1]Table!$A$2:$N1477,K$1,FALSE)</f>
        <v>mcg/dose</v>
      </c>
      <c r="L1336">
        <f>VLOOKUP($A1336,[1]Table!$A$2:$N1477,L$1,FALSE)</f>
        <v>25</v>
      </c>
      <c r="M1336" t="str">
        <f>VLOOKUP($A1336,[1]Table!$A$2:$N1477,M$1,FALSE)</f>
        <v>mcg</v>
      </c>
      <c r="N1336" t="str">
        <f>VLOOKUP($A1336,[1]Table!$A$2:$N1477,N$1,FALSE)</f>
        <v>Astma onderhoudsbehandeling</v>
      </c>
      <c r="O1336" t="str">
        <f>ConcatenateRange(AZ1336:BU1336,"||")</f>
        <v/>
      </c>
      <c r="AZ1336" t="str">
        <f t="shared" si="484"/>
        <v/>
      </c>
      <c r="BA1336" t="str">
        <f t="shared" si="485"/>
        <v/>
      </c>
      <c r="BB1336" t="str">
        <f t="shared" si="486"/>
        <v/>
      </c>
      <c r="BC1336" t="str">
        <f t="shared" si="487"/>
        <v/>
      </c>
      <c r="BD1336" t="str">
        <f t="shared" si="488"/>
        <v/>
      </c>
      <c r="BE1336" t="str">
        <f t="shared" si="489"/>
        <v/>
      </c>
      <c r="BF1336" t="str">
        <f t="shared" si="490"/>
        <v/>
      </c>
      <c r="BG1336" t="str">
        <f t="shared" si="491"/>
        <v/>
      </c>
      <c r="BH1336" t="str">
        <f t="shared" si="492"/>
        <v/>
      </c>
      <c r="BI1336" t="str">
        <f t="shared" si="493"/>
        <v/>
      </c>
      <c r="BJ1336" t="str">
        <f t="shared" si="494"/>
        <v/>
      </c>
      <c r="BK1336" t="str">
        <f t="shared" si="495"/>
        <v/>
      </c>
      <c r="BL1336" t="str">
        <f t="shared" si="496"/>
        <v/>
      </c>
      <c r="BM1336" t="str">
        <f t="shared" si="497"/>
        <v/>
      </c>
      <c r="BN1336" t="str">
        <f t="shared" si="498"/>
        <v/>
      </c>
      <c r="BO1336" t="str">
        <f t="shared" si="499"/>
        <v/>
      </c>
      <c r="BP1336" t="str">
        <f t="shared" si="500"/>
        <v/>
      </c>
      <c r="BQ1336" t="str">
        <f t="shared" si="501"/>
        <v/>
      </c>
      <c r="BR1336" t="str">
        <f t="shared" si="502"/>
        <v/>
      </c>
      <c r="BS1336" t="str">
        <f t="shared" si="503"/>
        <v/>
      </c>
      <c r="BT1336" t="str">
        <f t="shared" si="504"/>
        <v/>
      </c>
      <c r="BU1336" t="str">
        <f t="shared" si="505"/>
        <v/>
      </c>
    </row>
    <row r="1337" spans="1:73">
      <c r="A1337" s="1">
        <v>106534</v>
      </c>
      <c r="B1337" t="str">
        <f>VLOOKUP($A1337,[1]Table!$A$2:$N1479,B$1,FALSE)</f>
        <v>R03AK06</v>
      </c>
      <c r="C1337" t="str">
        <f>VLOOKUP($A1337,[1]Table!$A$2:$N1479,C$1,FALSE)</f>
        <v>MIDDELEN BIJ ASTMA/COPD</v>
      </c>
      <c r="D1337" t="str">
        <f>VLOOKUP($A1337,[1]Table!$A$2:$N1479,D$1,FALSE)</f>
        <v>SYMPATHICOMIMETICA VOOR INHALATIE</v>
      </c>
      <c r="E1337" t="str">
        <f>VLOOKUP($A1337,[1]Table!$A$2:$N1479,E$1,FALSE)</f>
        <v>SALMETEROL/FLUTICASON</v>
      </c>
      <c r="F1337" t="str">
        <f>VLOOKUP($A1337,[1]Table!$A$2:$N1479,F$1,FALSE)</f>
        <v>SERETIDE 50/100 MICROG/DO  DISKUS 60 DO</v>
      </c>
      <c r="G1337" t="str">
        <f>VLOOKUP($A1337,[1]Table!$A$2:$N1479,G$1,FALSE)</f>
        <v>SALMET/FLUTICA 50/100UG/DO</v>
      </c>
      <c r="H1337" t="str">
        <f>VLOOKUP($A1337,[1]Table!$A$2:$N1479,H$1,FALSE)</f>
        <v>inhalatiepoeder</v>
      </c>
      <c r="I1337" t="str">
        <f>VLOOKUP($A1337,[1]Table!$A$2:$N1479,I$1,FALSE)</f>
        <v>inh</v>
      </c>
      <c r="J1337">
        <f>VLOOKUP($A1337,[1]Table!$A$2:$N1479,J$1,FALSE)</f>
        <v>50</v>
      </c>
      <c r="K1337" t="str">
        <f>VLOOKUP($A1337,[1]Table!$A$2:$N1479,K$1,FALSE)</f>
        <v>mcg/dose</v>
      </c>
      <c r="L1337">
        <f>VLOOKUP($A1337,[1]Table!$A$2:$N1479,L$1,FALSE)</f>
        <v>50</v>
      </c>
      <c r="M1337" t="str">
        <f>VLOOKUP($A1337,[1]Table!$A$2:$N1479,M$1,FALSE)</f>
        <v>mcg</v>
      </c>
      <c r="N1337" t="str">
        <f>VLOOKUP($A1337,[1]Table!$A$2:$N1479,N$1,FALSE)</f>
        <v>Astma onderhoudsbehandeling</v>
      </c>
      <c r="O1337" t="str">
        <f>ConcatenateRange(AZ1337:BU1337,"||")</f>
        <v/>
      </c>
      <c r="AZ1337" t="str">
        <f t="shared" si="484"/>
        <v/>
      </c>
      <c r="BA1337" t="str">
        <f t="shared" si="485"/>
        <v/>
      </c>
      <c r="BB1337" t="str">
        <f t="shared" si="486"/>
        <v/>
      </c>
      <c r="BC1337" t="str">
        <f t="shared" si="487"/>
        <v/>
      </c>
      <c r="BD1337" t="str">
        <f t="shared" si="488"/>
        <v/>
      </c>
      <c r="BE1337" t="str">
        <f t="shared" si="489"/>
        <v/>
      </c>
      <c r="BF1337" t="str">
        <f t="shared" si="490"/>
        <v/>
      </c>
      <c r="BG1337" t="str">
        <f t="shared" si="491"/>
        <v/>
      </c>
      <c r="BH1337" t="str">
        <f t="shared" si="492"/>
        <v/>
      </c>
      <c r="BI1337" t="str">
        <f t="shared" si="493"/>
        <v/>
      </c>
      <c r="BJ1337" t="str">
        <f t="shared" si="494"/>
        <v/>
      </c>
      <c r="BK1337" t="str">
        <f t="shared" si="495"/>
        <v/>
      </c>
      <c r="BL1337" t="str">
        <f t="shared" si="496"/>
        <v/>
      </c>
      <c r="BM1337" t="str">
        <f t="shared" si="497"/>
        <v/>
      </c>
      <c r="BN1337" t="str">
        <f t="shared" si="498"/>
        <v/>
      </c>
      <c r="BO1337" t="str">
        <f t="shared" si="499"/>
        <v/>
      </c>
      <c r="BP1337" t="str">
        <f t="shared" si="500"/>
        <v/>
      </c>
      <c r="BQ1337" t="str">
        <f t="shared" si="501"/>
        <v/>
      </c>
      <c r="BR1337" t="str">
        <f t="shared" si="502"/>
        <v/>
      </c>
      <c r="BS1337" t="str">
        <f t="shared" si="503"/>
        <v/>
      </c>
      <c r="BT1337" t="str">
        <f t="shared" si="504"/>
        <v/>
      </c>
      <c r="BU1337" t="str">
        <f t="shared" si="505"/>
        <v/>
      </c>
    </row>
    <row r="1338" spans="1:73">
      <c r="A1338" s="1">
        <v>106550</v>
      </c>
      <c r="B1338" t="str">
        <f>VLOOKUP($A1338,[1]Table!$A$2:$N1480,B$1,FALSE)</f>
        <v>R03AK06</v>
      </c>
      <c r="C1338" t="str">
        <f>VLOOKUP($A1338,[1]Table!$A$2:$N1480,C$1,FALSE)</f>
        <v>MIDDELEN BIJ ASTMA/COPD</v>
      </c>
      <c r="D1338" t="str">
        <f>VLOOKUP($A1338,[1]Table!$A$2:$N1480,D$1,FALSE)</f>
        <v>SYMPATHICOMIMETICA VOOR INHALATIE</v>
      </c>
      <c r="E1338" t="str">
        <f>VLOOKUP($A1338,[1]Table!$A$2:$N1480,E$1,FALSE)</f>
        <v>SALMETEROL/FLUTICASON</v>
      </c>
      <c r="F1338" t="str">
        <f>VLOOKUP($A1338,[1]Table!$A$2:$N1480,F$1,FALSE)</f>
        <v>SERETIDE 50/500 MICROG/DO DISKUS 60 DO</v>
      </c>
      <c r="G1338" t="str">
        <f>VLOOKUP($A1338,[1]Table!$A$2:$N1480,G$1,FALSE)</f>
        <v>SALMET/FLUTICA 50/500UG/DO</v>
      </c>
      <c r="H1338" t="str">
        <f>VLOOKUP($A1338,[1]Table!$A$2:$N1480,H$1,FALSE)</f>
        <v>inhalatiepoeder</v>
      </c>
      <c r="I1338" t="str">
        <f>VLOOKUP($A1338,[1]Table!$A$2:$N1480,I$1,FALSE)</f>
        <v>inh</v>
      </c>
      <c r="J1338">
        <f>VLOOKUP($A1338,[1]Table!$A$2:$N1480,J$1,FALSE)</f>
        <v>50</v>
      </c>
      <c r="K1338" t="str">
        <f>VLOOKUP($A1338,[1]Table!$A$2:$N1480,K$1,FALSE)</f>
        <v>mcg/dose</v>
      </c>
      <c r="L1338">
        <f>VLOOKUP($A1338,[1]Table!$A$2:$N1480,L$1,FALSE)</f>
        <v>50</v>
      </c>
      <c r="M1338" t="str">
        <f>VLOOKUP($A1338,[1]Table!$A$2:$N1480,M$1,FALSE)</f>
        <v>mcg</v>
      </c>
      <c r="N1338" t="str">
        <f>VLOOKUP($A1338,[1]Table!$A$2:$N1480,N$1,FALSE)</f>
        <v>Astma onderhoudsbehandeling</v>
      </c>
      <c r="O1338" t="str">
        <f>ConcatenateRange(AZ1338:BU1338,"||")</f>
        <v/>
      </c>
      <c r="AZ1338" t="str">
        <f t="shared" si="484"/>
        <v/>
      </c>
      <c r="BA1338" t="str">
        <f t="shared" si="485"/>
        <v/>
      </c>
      <c r="BB1338" t="str">
        <f t="shared" si="486"/>
        <v/>
      </c>
      <c r="BC1338" t="str">
        <f t="shared" si="487"/>
        <v/>
      </c>
      <c r="BD1338" t="str">
        <f t="shared" si="488"/>
        <v/>
      </c>
      <c r="BE1338" t="str">
        <f t="shared" si="489"/>
        <v/>
      </c>
      <c r="BF1338" t="str">
        <f t="shared" si="490"/>
        <v/>
      </c>
      <c r="BG1338" t="str">
        <f t="shared" si="491"/>
        <v/>
      </c>
      <c r="BH1338" t="str">
        <f t="shared" si="492"/>
        <v/>
      </c>
      <c r="BI1338" t="str">
        <f t="shared" si="493"/>
        <v/>
      </c>
      <c r="BJ1338" t="str">
        <f t="shared" si="494"/>
        <v/>
      </c>
      <c r="BK1338" t="str">
        <f t="shared" si="495"/>
        <v/>
      </c>
      <c r="BL1338" t="str">
        <f t="shared" si="496"/>
        <v/>
      </c>
      <c r="BM1338" t="str">
        <f t="shared" si="497"/>
        <v/>
      </c>
      <c r="BN1338" t="str">
        <f t="shared" si="498"/>
        <v/>
      </c>
      <c r="BO1338" t="str">
        <f t="shared" si="499"/>
        <v/>
      </c>
      <c r="BP1338" t="str">
        <f t="shared" si="500"/>
        <v/>
      </c>
      <c r="BQ1338" t="str">
        <f t="shared" si="501"/>
        <v/>
      </c>
      <c r="BR1338" t="str">
        <f t="shared" si="502"/>
        <v/>
      </c>
      <c r="BS1338" t="str">
        <f t="shared" si="503"/>
        <v/>
      </c>
      <c r="BT1338" t="str">
        <f t="shared" si="504"/>
        <v/>
      </c>
      <c r="BU1338" t="str">
        <f t="shared" si="505"/>
        <v/>
      </c>
    </row>
    <row r="1339" spans="1:73">
      <c r="A1339" s="1">
        <v>106542</v>
      </c>
      <c r="B1339" t="str">
        <f>VLOOKUP($A1339,[1]Table!$A$2:$N1481,B$1,FALSE)</f>
        <v>R03AK06</v>
      </c>
      <c r="C1339" t="str">
        <f>VLOOKUP($A1339,[1]Table!$A$2:$N1481,C$1,FALSE)</f>
        <v>MIDDELEN BIJ ASTMA/COPD</v>
      </c>
      <c r="D1339" t="str">
        <f>VLOOKUP($A1339,[1]Table!$A$2:$N1481,D$1,FALSE)</f>
        <v>SYMPATHICOMIMETICA VOOR INHALATIE</v>
      </c>
      <c r="E1339" t="str">
        <f>VLOOKUP($A1339,[1]Table!$A$2:$N1481,E$1,FALSE)</f>
        <v>SALMETEROL/FLUTICASON</v>
      </c>
      <c r="F1339" t="str">
        <f>VLOOKUP($A1339,[1]Table!$A$2:$N1481,F$1,FALSE)</f>
        <v>SERETIDE 50/250 MICROG/DO DISKUS 60 DO</v>
      </c>
      <c r="G1339" t="str">
        <f>VLOOKUP($A1339,[1]Table!$A$2:$N1481,G$1,FALSE)</f>
        <v>SALMET/FLUTICA 50/250UG/DO</v>
      </c>
      <c r="H1339" t="str">
        <f>VLOOKUP($A1339,[1]Table!$A$2:$N1481,H$1,FALSE)</f>
        <v>inhalatiepoeder</v>
      </c>
      <c r="I1339" t="str">
        <f>VLOOKUP($A1339,[1]Table!$A$2:$N1481,I$1,FALSE)</f>
        <v>inh</v>
      </c>
      <c r="J1339">
        <f>VLOOKUP($A1339,[1]Table!$A$2:$N1481,J$1,FALSE)</f>
        <v>50</v>
      </c>
      <c r="K1339" t="str">
        <f>VLOOKUP($A1339,[1]Table!$A$2:$N1481,K$1,FALSE)</f>
        <v>mcg/dose</v>
      </c>
      <c r="L1339">
        <f>VLOOKUP($A1339,[1]Table!$A$2:$N1481,L$1,FALSE)</f>
        <v>50</v>
      </c>
      <c r="M1339" t="str">
        <f>VLOOKUP($A1339,[1]Table!$A$2:$N1481,M$1,FALSE)</f>
        <v>mcg</v>
      </c>
      <c r="N1339" t="str">
        <f>VLOOKUP($A1339,[1]Table!$A$2:$N1481,N$1,FALSE)</f>
        <v>Astma onderhoudsbehandeling</v>
      </c>
      <c r="O1339" t="str">
        <f>ConcatenateRange(AZ1339:BU1339,"||")</f>
        <v/>
      </c>
      <c r="AZ1339" t="str">
        <f t="shared" si="484"/>
        <v/>
      </c>
      <c r="BA1339" t="str">
        <f t="shared" si="485"/>
        <v/>
      </c>
      <c r="BB1339" t="str">
        <f t="shared" si="486"/>
        <v/>
      </c>
      <c r="BC1339" t="str">
        <f t="shared" si="487"/>
        <v/>
      </c>
      <c r="BD1339" t="str">
        <f t="shared" si="488"/>
        <v/>
      </c>
      <c r="BE1339" t="str">
        <f t="shared" si="489"/>
        <v/>
      </c>
      <c r="BF1339" t="str">
        <f t="shared" si="490"/>
        <v/>
      </c>
      <c r="BG1339" t="str">
        <f t="shared" si="491"/>
        <v/>
      </c>
      <c r="BH1339" t="str">
        <f t="shared" si="492"/>
        <v/>
      </c>
      <c r="BI1339" t="str">
        <f t="shared" si="493"/>
        <v/>
      </c>
      <c r="BJ1339" t="str">
        <f t="shared" si="494"/>
        <v/>
      </c>
      <c r="BK1339" t="str">
        <f t="shared" si="495"/>
        <v/>
      </c>
      <c r="BL1339" t="str">
        <f t="shared" si="496"/>
        <v/>
      </c>
      <c r="BM1339" t="str">
        <f t="shared" si="497"/>
        <v/>
      </c>
      <c r="BN1339" t="str">
        <f t="shared" si="498"/>
        <v/>
      </c>
      <c r="BO1339" t="str">
        <f t="shared" si="499"/>
        <v/>
      </c>
      <c r="BP1339" t="str">
        <f t="shared" si="500"/>
        <v/>
      </c>
      <c r="BQ1339" t="str">
        <f t="shared" si="501"/>
        <v/>
      </c>
      <c r="BR1339" t="str">
        <f t="shared" si="502"/>
        <v/>
      </c>
      <c r="BS1339" t="str">
        <f t="shared" si="503"/>
        <v/>
      </c>
      <c r="BT1339" t="str">
        <f t="shared" si="504"/>
        <v/>
      </c>
      <c r="BU1339" t="str">
        <f t="shared" si="505"/>
        <v/>
      </c>
    </row>
    <row r="1340" spans="1:73">
      <c r="A1340" s="1">
        <v>124125</v>
      </c>
      <c r="B1340" t="str">
        <f>VLOOKUP($A1340,[1]Table!$A$2:$N1482,B$1,FALSE)</f>
        <v>J05AE01</v>
      </c>
      <c r="C1340" t="str">
        <f>VLOOKUP($A1340,[1]Table!$A$2:$N1482,C$1,FALSE)</f>
        <v>ANTIVIRALE MIDDELEN VOOR SYSTEMISCH GEBRUIK</v>
      </c>
      <c r="D1340" t="str">
        <f>VLOOKUP($A1340,[1]Table!$A$2:$N1482,D$1,FALSE)</f>
        <v>DIRECT WERKENDE ANTIVIRALE MIDDELEN</v>
      </c>
      <c r="E1340" t="str">
        <f>VLOOKUP($A1340,[1]Table!$A$2:$N1482,E$1,FALSE)</f>
        <v>SAQUINAVIR</v>
      </c>
      <c r="F1340" t="str">
        <f>VLOOKUP($A1340,[1]Table!$A$2:$N1482,F$1,FALSE)</f>
        <v>INVIRASE 500 MG TABLET FILMOMHULD</v>
      </c>
      <c r="G1340" t="str">
        <f>VLOOKUP($A1340,[1]Table!$A$2:$N1482,G$1,FALSE)</f>
        <v>SAQUINAVIR 500MG TABLET</v>
      </c>
      <c r="H1340" t="str">
        <f>VLOOKUP($A1340,[1]Table!$A$2:$N1482,H$1,FALSE)</f>
        <v>tablet</v>
      </c>
      <c r="I1340" t="str">
        <f>VLOOKUP($A1340,[1]Table!$A$2:$N1482,I$1,FALSE)</f>
        <v>or</v>
      </c>
      <c r="J1340">
        <f>VLOOKUP($A1340,[1]Table!$A$2:$N1482,J$1,FALSE)</f>
        <v>500</v>
      </c>
      <c r="K1340" t="str">
        <f>VLOOKUP($A1340,[1]Table!$A$2:$N1482,K$1,FALSE)</f>
        <v>mg/stuk</v>
      </c>
      <c r="L1340">
        <f>VLOOKUP($A1340,[1]Table!$A$2:$N1482,L$1,FALSE)</f>
        <v>500</v>
      </c>
      <c r="M1340" t="str">
        <f>VLOOKUP($A1340,[1]Table!$A$2:$N1482,M$1,FALSE)</f>
        <v>mg</v>
      </c>
      <c r="N1340" t="str">
        <f>VLOOKUP($A1340,[1]Table!$A$2:$N1482,N$1,FALSE)</f>
        <v>HIV</v>
      </c>
      <c r="O1340" t="str">
        <f>ConcatenateRange(AZ1340:BU1340,"||")</f>
        <v/>
      </c>
      <c r="AZ1340" t="str">
        <f t="shared" si="484"/>
        <v/>
      </c>
      <c r="BA1340" t="str">
        <f t="shared" si="485"/>
        <v/>
      </c>
      <c r="BB1340" t="str">
        <f t="shared" si="486"/>
        <v/>
      </c>
      <c r="BC1340" t="str">
        <f t="shared" si="487"/>
        <v/>
      </c>
      <c r="BD1340" t="str">
        <f t="shared" si="488"/>
        <v/>
      </c>
      <c r="BE1340" t="str">
        <f t="shared" si="489"/>
        <v/>
      </c>
      <c r="BF1340" t="str">
        <f t="shared" si="490"/>
        <v/>
      </c>
      <c r="BG1340" t="str">
        <f t="shared" si="491"/>
        <v/>
      </c>
      <c r="BH1340" t="str">
        <f t="shared" si="492"/>
        <v/>
      </c>
      <c r="BI1340" t="str">
        <f t="shared" si="493"/>
        <v/>
      </c>
      <c r="BJ1340" t="str">
        <f t="shared" si="494"/>
        <v/>
      </c>
      <c r="BK1340" t="str">
        <f t="shared" si="495"/>
        <v/>
      </c>
      <c r="BL1340" t="str">
        <f t="shared" si="496"/>
        <v/>
      </c>
      <c r="BM1340" t="str">
        <f t="shared" si="497"/>
        <v/>
      </c>
      <c r="BN1340" t="str">
        <f t="shared" si="498"/>
        <v/>
      </c>
      <c r="BO1340" t="str">
        <f t="shared" si="499"/>
        <v/>
      </c>
      <c r="BP1340" t="str">
        <f t="shared" si="500"/>
        <v/>
      </c>
      <c r="BQ1340" t="str">
        <f t="shared" si="501"/>
        <v/>
      </c>
      <c r="BR1340" t="str">
        <f t="shared" si="502"/>
        <v/>
      </c>
      <c r="BS1340" t="str">
        <f t="shared" si="503"/>
        <v/>
      </c>
      <c r="BT1340" t="str">
        <f t="shared" si="504"/>
        <v/>
      </c>
      <c r="BU1340" t="str">
        <f t="shared" si="505"/>
        <v/>
      </c>
    </row>
    <row r="1341" spans="1:73">
      <c r="A1341" s="1">
        <v>8281</v>
      </c>
      <c r="B1341" t="str">
        <f>VLOOKUP($A1341,[1]Table!$A$2:$N1483,B$1,FALSE)</f>
        <v>A03BB01</v>
      </c>
      <c r="C1341" t="str">
        <f>VLOOKUP($A1341,[1]Table!$A$2:$N1483,C$1,FALSE)</f>
        <v>MIDDELEN BIJ FUNCTIONELE MAAGDARMSTOORNISSEN</v>
      </c>
      <c r="D1341" t="str">
        <f>VLOOKUP($A1341,[1]Table!$A$2:$N1483,D$1,FALSE)</f>
        <v>BELLADONNA EN DERIVATEN</v>
      </c>
      <c r="E1341" t="str">
        <f>VLOOKUP($A1341,[1]Table!$A$2:$N1483,E$1,FALSE)</f>
        <v>SCOPOLAMINEBUTYL</v>
      </c>
      <c r="F1341" t="str">
        <f>VLOOKUP($A1341,[1]Table!$A$2:$N1483,F$1,FALSE)</f>
        <v>BUSCOPAN 20 MG/ML AMPUL 1ML</v>
      </c>
      <c r="G1341" t="str">
        <f>VLOOKUP($A1341,[1]Table!$A$2:$N1483,G$1,FALSE)</f>
        <v>SCOPOLAMINEBUTYL 20MG/ML IN</v>
      </c>
      <c r="H1341" t="str">
        <f>VLOOKUP($A1341,[1]Table!$A$2:$N1483,H$1,FALSE)</f>
        <v>injectievloeistof</v>
      </c>
      <c r="I1341" t="str">
        <f>VLOOKUP($A1341,[1]Table!$A$2:$N1483,I$1,FALSE)</f>
        <v>im||iv||sc</v>
      </c>
      <c r="J1341">
        <f>VLOOKUP($A1341,[1]Table!$A$2:$N1483,J$1,FALSE)</f>
        <v>20</v>
      </c>
      <c r="K1341" t="str">
        <f>VLOOKUP($A1341,[1]Table!$A$2:$N1483,K$1,FALSE)</f>
        <v>mg/ml</v>
      </c>
      <c r="L1341">
        <f>VLOOKUP($A1341,[1]Table!$A$2:$N1483,L$1,FALSE)</f>
        <v>20</v>
      </c>
      <c r="M1341" t="str">
        <f>VLOOKUP($A1341,[1]Table!$A$2:$N1483,M$1,FALSE)</f>
        <v>mg</v>
      </c>
      <c r="N1341" t="str">
        <f>VLOOKUP($A1341,[1]Table!$A$2:$N1483,N$1,FALSE)</f>
        <v>Ter coupering van kolieken van het maagdarmkanaal||Ter coupering van kolieken van het maagdarmkanaal, galwegen en urinewegen</v>
      </c>
      <c r="O1341" t="str">
        <f>ConcatenateRange(AZ1341:BU1341,"||")</f>
        <v/>
      </c>
      <c r="AZ1341" t="str">
        <f t="shared" si="484"/>
        <v/>
      </c>
      <c r="BA1341" t="str">
        <f t="shared" si="485"/>
        <v/>
      </c>
      <c r="BB1341" t="str">
        <f t="shared" si="486"/>
        <v/>
      </c>
      <c r="BC1341" t="str">
        <f t="shared" si="487"/>
        <v/>
      </c>
      <c r="BD1341" t="str">
        <f t="shared" si="488"/>
        <v/>
      </c>
      <c r="BE1341" t="str">
        <f t="shared" si="489"/>
        <v/>
      </c>
      <c r="BF1341" t="str">
        <f t="shared" si="490"/>
        <v/>
      </c>
      <c r="BG1341" t="str">
        <f t="shared" si="491"/>
        <v/>
      </c>
      <c r="BH1341" t="str">
        <f t="shared" si="492"/>
        <v/>
      </c>
      <c r="BI1341" t="str">
        <f t="shared" si="493"/>
        <v/>
      </c>
      <c r="BJ1341" t="str">
        <f t="shared" si="494"/>
        <v/>
      </c>
      <c r="BK1341" t="str">
        <f t="shared" si="495"/>
        <v/>
      </c>
      <c r="BL1341" t="str">
        <f t="shared" si="496"/>
        <v/>
      </c>
      <c r="BM1341" t="str">
        <f t="shared" si="497"/>
        <v/>
      </c>
      <c r="BN1341" t="str">
        <f t="shared" si="498"/>
        <v/>
      </c>
      <c r="BO1341" t="str">
        <f t="shared" si="499"/>
        <v/>
      </c>
      <c r="BP1341" t="str">
        <f t="shared" si="500"/>
        <v/>
      </c>
      <c r="BQ1341" t="str">
        <f t="shared" si="501"/>
        <v/>
      </c>
      <c r="BR1341" t="str">
        <f t="shared" si="502"/>
        <v/>
      </c>
      <c r="BS1341" t="str">
        <f t="shared" si="503"/>
        <v/>
      </c>
      <c r="BT1341" t="str">
        <f t="shared" si="504"/>
        <v/>
      </c>
      <c r="BU1341" t="str">
        <f t="shared" si="505"/>
        <v/>
      </c>
    </row>
    <row r="1342" spans="1:73">
      <c r="A1342" s="1">
        <v>142360</v>
      </c>
      <c r="B1342" t="str">
        <f>VLOOKUP($A1342,[1]Table!$A$2:$N1484,B$1,FALSE)</f>
        <v>A03BB01</v>
      </c>
      <c r="C1342" t="str">
        <f>VLOOKUP($A1342,[1]Table!$A$2:$N1484,C$1,FALSE)</f>
        <v>MIDDELEN BIJ FUNCTIONELE MAAGDARMSTOORNISSEN</v>
      </c>
      <c r="D1342" t="str">
        <f>VLOOKUP($A1342,[1]Table!$A$2:$N1484,D$1,FALSE)</f>
        <v>BELLADONNA EN DERIVATEN</v>
      </c>
      <c r="E1342" t="str">
        <f>VLOOKUP($A1342,[1]Table!$A$2:$N1484,E$1,FALSE)</f>
        <v>SCOPOLAMINEBUTYL</v>
      </c>
      <c r="F1342" t="str">
        <f>VLOOKUP($A1342,[1]Table!$A$2:$N1484,F$1,FALSE)</f>
        <v>BUSCOPAN 10 MG TABLET OMHULD</v>
      </c>
      <c r="G1342" t="str">
        <f>VLOOKUP($A1342,[1]Table!$A$2:$N1484,G$1,FALSE)</f>
        <v>SCOPOLAMINEBUTYL 10MG TABLE</v>
      </c>
      <c r="H1342" t="str">
        <f>VLOOKUP($A1342,[1]Table!$A$2:$N1484,H$1,FALSE)</f>
        <v>tablet</v>
      </c>
      <c r="I1342" t="str">
        <f>VLOOKUP($A1342,[1]Table!$A$2:$N1484,I$1,FALSE)</f>
        <v>or</v>
      </c>
      <c r="J1342">
        <f>VLOOKUP($A1342,[1]Table!$A$2:$N1484,J$1,FALSE)</f>
        <v>10</v>
      </c>
      <c r="K1342" t="str">
        <f>VLOOKUP($A1342,[1]Table!$A$2:$N1484,K$1,FALSE)</f>
        <v>mg/stuk</v>
      </c>
      <c r="L1342">
        <f>VLOOKUP($A1342,[1]Table!$A$2:$N1484,L$1,FALSE)</f>
        <v>10</v>
      </c>
      <c r="M1342" t="str">
        <f>VLOOKUP($A1342,[1]Table!$A$2:$N1484,M$1,FALSE)</f>
        <v>mg</v>
      </c>
      <c r="N1342" t="str">
        <f>VLOOKUP($A1342,[1]Table!$A$2:$N1484,N$1,FALSE)</f>
        <v>Ter coupering van kolieken van het maagdarmkanaal||Ter coupering van kolieken van het maagdarmkanaal, galwegen en urinewegen</v>
      </c>
      <c r="O1342" t="str">
        <f>ConcatenateRange(AZ1342:BU1342,"||")</f>
        <v/>
      </c>
      <c r="AZ1342" t="str">
        <f t="shared" si="484"/>
        <v/>
      </c>
      <c r="BA1342" t="str">
        <f t="shared" si="485"/>
        <v/>
      </c>
      <c r="BB1342" t="str">
        <f t="shared" si="486"/>
        <v/>
      </c>
      <c r="BC1342" t="str">
        <f t="shared" si="487"/>
        <v/>
      </c>
      <c r="BD1342" t="str">
        <f t="shared" si="488"/>
        <v/>
      </c>
      <c r="BE1342" t="str">
        <f t="shared" si="489"/>
        <v/>
      </c>
      <c r="BF1342" t="str">
        <f t="shared" si="490"/>
        <v/>
      </c>
      <c r="BG1342" t="str">
        <f t="shared" si="491"/>
        <v/>
      </c>
      <c r="BH1342" t="str">
        <f t="shared" si="492"/>
        <v/>
      </c>
      <c r="BI1342" t="str">
        <f t="shared" si="493"/>
        <v/>
      </c>
      <c r="BJ1342" t="str">
        <f t="shared" si="494"/>
        <v/>
      </c>
      <c r="BK1342" t="str">
        <f t="shared" si="495"/>
        <v/>
      </c>
      <c r="BL1342" t="str">
        <f t="shared" si="496"/>
        <v/>
      </c>
      <c r="BM1342" t="str">
        <f t="shared" si="497"/>
        <v/>
      </c>
      <c r="BN1342" t="str">
        <f t="shared" si="498"/>
        <v/>
      </c>
      <c r="BO1342" t="str">
        <f t="shared" si="499"/>
        <v/>
      </c>
      <c r="BP1342" t="str">
        <f t="shared" si="500"/>
        <v/>
      </c>
      <c r="BQ1342" t="str">
        <f t="shared" si="501"/>
        <v/>
      </c>
      <c r="BR1342" t="str">
        <f t="shared" si="502"/>
        <v/>
      </c>
      <c r="BS1342" t="str">
        <f t="shared" si="503"/>
        <v/>
      </c>
      <c r="BT1342" t="str">
        <f t="shared" si="504"/>
        <v/>
      </c>
      <c r="BU1342" t="str">
        <f t="shared" si="505"/>
        <v/>
      </c>
    </row>
    <row r="1343" spans="1:73">
      <c r="A1343" s="1">
        <v>13277</v>
      </c>
      <c r="B1343" t="str">
        <f>VLOOKUP($A1343,[1]Table!$A$2:$N1485,B$1,FALSE)</f>
        <v>A03BB01</v>
      </c>
      <c r="C1343" t="str">
        <f>VLOOKUP($A1343,[1]Table!$A$2:$N1485,C$1,FALSE)</f>
        <v>MIDDELEN BIJ FUNCTIONELE MAAGDARMSTOORNISSEN</v>
      </c>
      <c r="D1343" t="str">
        <f>VLOOKUP($A1343,[1]Table!$A$2:$N1485,D$1,FALSE)</f>
        <v>BELLADONNA EN DERIVATEN</v>
      </c>
      <c r="E1343" t="str">
        <f>VLOOKUP($A1343,[1]Table!$A$2:$N1485,E$1,FALSE)</f>
        <v>SCOPOLAMINEBUTYL</v>
      </c>
      <c r="F1343" t="str">
        <f>VLOOKUP($A1343,[1]Table!$A$2:$N1485,F$1,FALSE)</f>
        <v>BUSCOPAN 10 MG ZETPIL</v>
      </c>
      <c r="G1343" t="str">
        <f>VLOOKUP($A1343,[1]Table!$A$2:$N1485,G$1,FALSE)</f>
        <v>SCOPOLAMINEBUTYL 10MG ZETP</v>
      </c>
      <c r="H1343" t="str">
        <f>VLOOKUP($A1343,[1]Table!$A$2:$N1485,H$1,FALSE)</f>
        <v>zetpil</v>
      </c>
      <c r="I1343" t="str">
        <f>VLOOKUP($A1343,[1]Table!$A$2:$N1485,I$1,FALSE)</f>
        <v>rect</v>
      </c>
      <c r="J1343">
        <f>VLOOKUP($A1343,[1]Table!$A$2:$N1485,J$1,FALSE)</f>
        <v>10</v>
      </c>
      <c r="K1343" t="str">
        <f>VLOOKUP($A1343,[1]Table!$A$2:$N1485,K$1,FALSE)</f>
        <v>mg/stuk</v>
      </c>
      <c r="L1343">
        <f>VLOOKUP($A1343,[1]Table!$A$2:$N1485,L$1,FALSE)</f>
        <v>5</v>
      </c>
      <c r="M1343" t="str">
        <f>VLOOKUP($A1343,[1]Table!$A$2:$N1485,M$1,FALSE)</f>
        <v>mg</v>
      </c>
      <c r="N1343" t="str">
        <f>VLOOKUP($A1343,[1]Table!$A$2:$N1485,N$1,FALSE)</f>
        <v>Ter coupering van kolieken van het maagdarmkanaal||Ter coupering van kolieken van het maagdarmkanaal, galwegen en urinewegen</v>
      </c>
      <c r="O1343" t="str">
        <f>ConcatenateRange(AZ1343:BU1343,"||")</f>
        <v/>
      </c>
      <c r="AZ1343" t="str">
        <f t="shared" si="484"/>
        <v/>
      </c>
      <c r="BA1343" t="str">
        <f t="shared" si="485"/>
        <v/>
      </c>
      <c r="BB1343" t="str">
        <f t="shared" si="486"/>
        <v/>
      </c>
      <c r="BC1343" t="str">
        <f t="shared" si="487"/>
        <v/>
      </c>
      <c r="BD1343" t="str">
        <f t="shared" si="488"/>
        <v/>
      </c>
      <c r="BE1343" t="str">
        <f t="shared" si="489"/>
        <v/>
      </c>
      <c r="BF1343" t="str">
        <f t="shared" si="490"/>
        <v/>
      </c>
      <c r="BG1343" t="str">
        <f t="shared" si="491"/>
        <v/>
      </c>
      <c r="BH1343" t="str">
        <f t="shared" si="492"/>
        <v/>
      </c>
      <c r="BI1343" t="str">
        <f t="shared" si="493"/>
        <v/>
      </c>
      <c r="BJ1343" t="str">
        <f t="shared" si="494"/>
        <v/>
      </c>
      <c r="BK1343" t="str">
        <f t="shared" si="495"/>
        <v/>
      </c>
      <c r="BL1343" t="str">
        <f t="shared" si="496"/>
        <v/>
      </c>
      <c r="BM1343" t="str">
        <f t="shared" si="497"/>
        <v/>
      </c>
      <c r="BN1343" t="str">
        <f t="shared" si="498"/>
        <v/>
      </c>
      <c r="BO1343" t="str">
        <f t="shared" si="499"/>
        <v/>
      </c>
      <c r="BP1343" t="str">
        <f t="shared" si="500"/>
        <v/>
      </c>
      <c r="BQ1343" t="str">
        <f t="shared" si="501"/>
        <v/>
      </c>
      <c r="BR1343" t="str">
        <f t="shared" si="502"/>
        <v/>
      </c>
      <c r="BS1343" t="str">
        <f t="shared" si="503"/>
        <v/>
      </c>
      <c r="BT1343" t="str">
        <f t="shared" si="504"/>
        <v/>
      </c>
      <c r="BU1343" t="str">
        <f t="shared" si="505"/>
        <v/>
      </c>
    </row>
    <row r="1344" spans="1:73">
      <c r="A1344" s="1">
        <v>53732</v>
      </c>
      <c r="B1344" t="str">
        <f>VLOOKUP($A1344,[1]Table!$A$2:$N1486,B$1,FALSE)</f>
        <v>D01AE13</v>
      </c>
      <c r="C1344" t="str">
        <f>VLOOKUP($A1344,[1]Table!$A$2:$N1486,C$1,FALSE)</f>
        <v>ANTIMYCOTICA VOOR DERMATOLOGISCH GEBRUIK</v>
      </c>
      <c r="D1344" t="str">
        <f>VLOOKUP($A1344,[1]Table!$A$2:$N1486,D$1,FALSE)</f>
        <v>ANTIMYCOTICA, LOKALE</v>
      </c>
      <c r="E1344" t="str">
        <f>VLOOKUP($A1344,[1]Table!$A$2:$N1486,E$1,FALSE)</f>
        <v>SELEENSULFIDE</v>
      </c>
      <c r="F1344" t="str">
        <f>VLOOKUP($A1344,[1]Table!$A$2:$N1486,F$1,FALSE)</f>
        <v>SELSUN 25MG/ML SUSPENSIE 120ML</v>
      </c>
      <c r="G1344" t="str">
        <f>VLOOKUP($A1344,[1]Table!$A$2:$N1486,G$1,FALSE)</f>
        <v>SELEENSULF 25MG/ML SUSP</v>
      </c>
      <c r="H1344" t="str">
        <f>VLOOKUP($A1344,[1]Table!$A$2:$N1486,H$1,FALSE)</f>
        <v>suspensie voor cutaan gebruik</v>
      </c>
      <c r="I1344" t="str">
        <f>VLOOKUP($A1344,[1]Table!$A$2:$N1486,I$1,FALSE)</f>
        <v>cutaan</v>
      </c>
      <c r="J1344">
        <f>VLOOKUP($A1344,[1]Table!$A$2:$N1486,J$1,FALSE)</f>
        <v>25</v>
      </c>
      <c r="K1344" t="str">
        <f>VLOOKUP($A1344,[1]Table!$A$2:$N1486,K$1,FALSE)</f>
        <v>mg/ml</v>
      </c>
      <c r="L1344">
        <f>VLOOKUP($A1344,[1]Table!$A$2:$N1486,L$1,FALSE)</f>
        <v>25</v>
      </c>
      <c r="M1344" t="str">
        <f>VLOOKUP($A1344,[1]Table!$A$2:$N1486,M$1,FALSE)</f>
        <v>mg</v>
      </c>
      <c r="N1344" t="str">
        <f>VLOOKUP($A1344,[1]Table!$A$2:$N1486,N$1,FALSE)</f>
        <v>Sebborhoisch eczeem behaarde hoofdhuid</v>
      </c>
      <c r="O1344" t="str">
        <f>ConcatenateRange(AZ1344:BU1344,"||")</f>
        <v/>
      </c>
      <c r="AZ1344" t="str">
        <f t="shared" si="484"/>
        <v/>
      </c>
      <c r="BA1344" t="str">
        <f t="shared" si="485"/>
        <v/>
      </c>
      <c r="BB1344" t="str">
        <f t="shared" si="486"/>
        <v/>
      </c>
      <c r="BC1344" t="str">
        <f t="shared" si="487"/>
        <v/>
      </c>
      <c r="BD1344" t="str">
        <f t="shared" si="488"/>
        <v/>
      </c>
      <c r="BE1344" t="str">
        <f t="shared" si="489"/>
        <v/>
      </c>
      <c r="BF1344" t="str">
        <f t="shared" si="490"/>
        <v/>
      </c>
      <c r="BG1344" t="str">
        <f t="shared" si="491"/>
        <v/>
      </c>
      <c r="BH1344" t="str">
        <f t="shared" si="492"/>
        <v/>
      </c>
      <c r="BI1344" t="str">
        <f t="shared" si="493"/>
        <v/>
      </c>
      <c r="BJ1344" t="str">
        <f t="shared" si="494"/>
        <v/>
      </c>
      <c r="BK1344" t="str">
        <f t="shared" si="495"/>
        <v/>
      </c>
      <c r="BL1344" t="str">
        <f t="shared" si="496"/>
        <v/>
      </c>
      <c r="BM1344" t="str">
        <f t="shared" si="497"/>
        <v/>
      </c>
      <c r="BN1344" t="str">
        <f t="shared" si="498"/>
        <v/>
      </c>
      <c r="BO1344" t="str">
        <f t="shared" si="499"/>
        <v/>
      </c>
      <c r="BP1344" t="str">
        <f t="shared" si="500"/>
        <v/>
      </c>
      <c r="BQ1344" t="str">
        <f t="shared" si="501"/>
        <v/>
      </c>
      <c r="BR1344" t="str">
        <f t="shared" si="502"/>
        <v/>
      </c>
      <c r="BS1344" t="str">
        <f t="shared" si="503"/>
        <v/>
      </c>
      <c r="BT1344" t="str">
        <f t="shared" si="504"/>
        <v/>
      </c>
      <c r="BU1344" t="str">
        <f t="shared" si="505"/>
        <v/>
      </c>
    </row>
    <row r="1345" spans="1:73">
      <c r="A1345" s="1">
        <v>65269</v>
      </c>
      <c r="B1345" t="str">
        <f>VLOOKUP($A1345,[1]Table!$A$2:$N1487,B$1,FALSE)</f>
        <v>A06AB06</v>
      </c>
      <c r="C1345" t="str">
        <f>VLOOKUP($A1345,[1]Table!$A$2:$N1487,C$1,FALSE)</f>
        <v>MIDDELEN BIJ OBSTIPATIE</v>
      </c>
      <c r="D1345" t="str">
        <f>VLOOKUP($A1345,[1]Table!$A$2:$N1487,D$1,FALSE)</f>
        <v>MIDDELEN BIJ OBSTIPATIE</v>
      </c>
      <c r="E1345" t="str">
        <f>VLOOKUP($A1345,[1]Table!$A$2:$N1487,E$1,FALSE)</f>
        <v>SENNA</v>
      </c>
      <c r="F1345" t="str">
        <f>VLOOKUP($A1345,[1]Table!$A$2:$N1487,F$1,FALSE)</f>
        <v>SENNOCOL 185MG TABLET</v>
      </c>
      <c r="G1345" t="str">
        <f>VLOOKUP($A1345,[1]Table!$A$2:$N1487,G$1,FALSE)</f>
        <v>SENNA 185 MG TABLET</v>
      </c>
      <c r="H1345" t="str">
        <f>VLOOKUP($A1345,[1]Table!$A$2:$N1487,H$1,FALSE)</f>
        <v>tablet</v>
      </c>
      <c r="I1345" t="str">
        <f>VLOOKUP($A1345,[1]Table!$A$2:$N1487,I$1,FALSE)</f>
        <v>or</v>
      </c>
      <c r="J1345">
        <f>VLOOKUP($A1345,[1]Table!$A$2:$N1487,J$1,FALSE)</f>
        <v>185</v>
      </c>
      <c r="K1345" t="str">
        <f>VLOOKUP($A1345,[1]Table!$A$2:$N1487,K$1,FALSE)</f>
        <v>mg/stuk</v>
      </c>
      <c r="L1345">
        <f>VLOOKUP($A1345,[1]Table!$A$2:$N1487,L$1,FALSE)</f>
        <v>92.5</v>
      </c>
      <c r="M1345" t="str">
        <f>VLOOKUP($A1345,[1]Table!$A$2:$N1487,M$1,FALSE)</f>
        <v>mg</v>
      </c>
      <c r="N1345" t="str">
        <f>VLOOKUP($A1345,[1]Table!$A$2:$N1487,N$1,FALSE)</f>
        <v>Obstipatie</v>
      </c>
      <c r="O1345" t="str">
        <f>ConcatenateRange(AZ1345:BU1345,"||")</f>
        <v/>
      </c>
      <c r="AZ1345" t="str">
        <f t="shared" si="484"/>
        <v/>
      </c>
      <c r="BA1345" t="str">
        <f t="shared" si="485"/>
        <v/>
      </c>
      <c r="BB1345" t="str">
        <f t="shared" si="486"/>
        <v/>
      </c>
      <c r="BC1345" t="str">
        <f t="shared" si="487"/>
        <v/>
      </c>
      <c r="BD1345" t="str">
        <f t="shared" si="488"/>
        <v/>
      </c>
      <c r="BE1345" t="str">
        <f t="shared" si="489"/>
        <v/>
      </c>
      <c r="BF1345" t="str">
        <f t="shared" si="490"/>
        <v/>
      </c>
      <c r="BG1345" t="str">
        <f t="shared" si="491"/>
        <v/>
      </c>
      <c r="BH1345" t="str">
        <f t="shared" si="492"/>
        <v/>
      </c>
      <c r="BI1345" t="str">
        <f t="shared" si="493"/>
        <v/>
      </c>
      <c r="BJ1345" t="str">
        <f t="shared" si="494"/>
        <v/>
      </c>
      <c r="BK1345" t="str">
        <f t="shared" si="495"/>
        <v/>
      </c>
      <c r="BL1345" t="str">
        <f t="shared" si="496"/>
        <v/>
      </c>
      <c r="BM1345" t="str">
        <f t="shared" si="497"/>
        <v/>
      </c>
      <c r="BN1345" t="str">
        <f t="shared" si="498"/>
        <v/>
      </c>
      <c r="BO1345" t="str">
        <f t="shared" si="499"/>
        <v/>
      </c>
      <c r="BP1345" t="str">
        <f t="shared" si="500"/>
        <v/>
      </c>
      <c r="BQ1345" t="str">
        <f t="shared" si="501"/>
        <v/>
      </c>
      <c r="BR1345" t="str">
        <f t="shared" si="502"/>
        <v/>
      </c>
      <c r="BS1345" t="str">
        <f t="shared" si="503"/>
        <v/>
      </c>
      <c r="BT1345" t="str">
        <f t="shared" si="504"/>
        <v/>
      </c>
      <c r="BU1345" t="str">
        <f t="shared" si="505"/>
        <v/>
      </c>
    </row>
    <row r="1346" spans="1:73">
      <c r="A1346" s="1">
        <v>10960</v>
      </c>
      <c r="B1346" t="str">
        <f>VLOOKUP($A1346,[1]Table!$A$2:$N1488,B$1,FALSE)</f>
        <v>A06AB06</v>
      </c>
      <c r="C1346" t="str">
        <f>VLOOKUP($A1346,[1]Table!$A$2:$N1488,C$1,FALSE)</f>
        <v>MIDDELEN BIJ OBSTIPATIE</v>
      </c>
      <c r="D1346" t="str">
        <f>VLOOKUP($A1346,[1]Table!$A$2:$N1488,D$1,FALSE)</f>
        <v>MIDDELEN BIJ OBSTIPATIE</v>
      </c>
      <c r="E1346" t="str">
        <f>VLOOKUP($A1346,[1]Table!$A$2:$N1488,E$1,FALSE)</f>
        <v>SENNOSIDEN A+B</v>
      </c>
      <c r="F1346" t="str">
        <f>VLOOKUP($A1346,[1]Table!$A$2:$N1488,F$1,FALSE)</f>
        <v>XPRAEP 2MG/ML SIROOP</v>
      </c>
      <c r="G1346" t="str">
        <f>VLOOKUP($A1346,[1]Table!$A$2:$N1488,G$1,FALSE)</f>
        <v>SENNOSIDEN A+B 2MG/ML STROO</v>
      </c>
      <c r="H1346" t="str">
        <f>VLOOKUP($A1346,[1]Table!$A$2:$N1488,H$1,FALSE)</f>
        <v>stroop</v>
      </c>
      <c r="I1346" t="str">
        <f>VLOOKUP($A1346,[1]Table!$A$2:$N1488,I$1,FALSE)</f>
        <v>or</v>
      </c>
      <c r="J1346">
        <f>VLOOKUP($A1346,[1]Table!$A$2:$N1488,J$1,FALSE)</f>
        <v>2</v>
      </c>
      <c r="K1346" t="str">
        <f>VLOOKUP($A1346,[1]Table!$A$2:$N1488,K$1,FALSE)</f>
        <v>mg/ml</v>
      </c>
      <c r="L1346">
        <f>VLOOKUP($A1346,[1]Table!$A$2:$N1488,L$1,FALSE)</f>
        <v>2</v>
      </c>
      <c r="M1346" t="str">
        <f>VLOOKUP($A1346,[1]Table!$A$2:$N1488,M$1,FALSE)</f>
        <v>mg</v>
      </c>
      <c r="N1346" t="str">
        <f>VLOOKUP($A1346,[1]Table!$A$2:$N1488,N$1,FALSE)</f>
        <v>Obstipatie</v>
      </c>
      <c r="O1346" t="str">
        <f>ConcatenateRange(AZ1346:BU1346,"||")</f>
        <v/>
      </c>
      <c r="AZ1346" t="str">
        <f t="shared" si="484"/>
        <v/>
      </c>
      <c r="BA1346" t="str">
        <f t="shared" si="485"/>
        <v/>
      </c>
      <c r="BB1346" t="str">
        <f t="shared" si="486"/>
        <v/>
      </c>
      <c r="BC1346" t="str">
        <f t="shared" si="487"/>
        <v/>
      </c>
      <c r="BD1346" t="str">
        <f t="shared" si="488"/>
        <v/>
      </c>
      <c r="BE1346" t="str">
        <f t="shared" si="489"/>
        <v/>
      </c>
      <c r="BF1346" t="str">
        <f t="shared" si="490"/>
        <v/>
      </c>
      <c r="BG1346" t="str">
        <f t="shared" si="491"/>
        <v/>
      </c>
      <c r="BH1346" t="str">
        <f t="shared" si="492"/>
        <v/>
      </c>
      <c r="BI1346" t="str">
        <f t="shared" si="493"/>
        <v/>
      </c>
      <c r="BJ1346" t="str">
        <f t="shared" si="494"/>
        <v/>
      </c>
      <c r="BK1346" t="str">
        <f t="shared" si="495"/>
        <v/>
      </c>
      <c r="BL1346" t="str">
        <f t="shared" si="496"/>
        <v/>
      </c>
      <c r="BM1346" t="str">
        <f t="shared" si="497"/>
        <v/>
      </c>
      <c r="BN1346" t="str">
        <f t="shared" si="498"/>
        <v/>
      </c>
      <c r="BO1346" t="str">
        <f t="shared" si="499"/>
        <v/>
      </c>
      <c r="BP1346" t="str">
        <f t="shared" si="500"/>
        <v/>
      </c>
      <c r="BQ1346" t="str">
        <f t="shared" si="501"/>
        <v/>
      </c>
      <c r="BR1346" t="str">
        <f t="shared" si="502"/>
        <v/>
      </c>
      <c r="BS1346" t="str">
        <f t="shared" si="503"/>
        <v/>
      </c>
      <c r="BT1346" t="str">
        <f t="shared" si="504"/>
        <v/>
      </c>
      <c r="BU1346" t="str">
        <f t="shared" si="505"/>
        <v/>
      </c>
    </row>
    <row r="1347" spans="1:73">
      <c r="A1347" s="1">
        <v>113255</v>
      </c>
      <c r="B1347" t="str">
        <f>VLOOKUP($A1347,[1]Table!$A$2:$N1489,B$1,FALSE)</f>
        <v>N06AB06</v>
      </c>
      <c r="C1347" t="str">
        <f>VLOOKUP($A1347,[1]Table!$A$2:$N1489,C$1,FALSE)</f>
        <v>PSYCHOANALEPTICA</v>
      </c>
      <c r="D1347" t="str">
        <f>VLOOKUP($A1347,[1]Table!$A$2:$N1489,D$1,FALSE)</f>
        <v>ANTIDEPRESSIVA</v>
      </c>
      <c r="E1347" t="str">
        <f>VLOOKUP($A1347,[1]Table!$A$2:$N1489,E$1,FALSE)</f>
        <v>SERTRALINE</v>
      </c>
      <c r="F1347" t="str">
        <f>VLOOKUP($A1347,[1]Table!$A$2:$N1489,F$1,FALSE)</f>
        <v>ZOLOFT 20 MG/ML CONC VOOR DRANK</v>
      </c>
      <c r="G1347" t="str">
        <f>VLOOKUP($A1347,[1]Table!$A$2:$N1489,G$1,FALSE)</f>
        <v>SERTRALINE 20MG/ML CONC.DR.</v>
      </c>
      <c r="H1347" t="str">
        <f>VLOOKUP($A1347,[1]Table!$A$2:$N1489,H$1,FALSE)</f>
        <v>concentraat voor drank</v>
      </c>
      <c r="I1347" t="str">
        <f>VLOOKUP($A1347,[1]Table!$A$2:$N1489,I$1,FALSE)</f>
        <v>or</v>
      </c>
      <c r="J1347">
        <f>VLOOKUP($A1347,[1]Table!$A$2:$N1489,J$1,FALSE)</f>
        <v>20</v>
      </c>
      <c r="K1347" t="str">
        <f>VLOOKUP($A1347,[1]Table!$A$2:$N1489,K$1,FALSE)</f>
        <v>mg/ml</v>
      </c>
      <c r="L1347">
        <f>VLOOKUP($A1347,[1]Table!$A$2:$N1489,L$1,FALSE)</f>
        <v>20</v>
      </c>
      <c r="M1347" t="str">
        <f>VLOOKUP($A1347,[1]Table!$A$2:$N1489,M$1,FALSE)</f>
        <v>mg</v>
      </c>
      <c r="N1347" t="str">
        <f>VLOOKUP($A1347,[1]Table!$A$2:$N1489,N$1,FALSE)</f>
        <v>Obsessief compulsieve stoornis</v>
      </c>
      <c r="O1347" t="str">
        <f>ConcatenateRange(AZ1347:BU1347,"||")</f>
        <v/>
      </c>
      <c r="AZ1347" t="str">
        <f t="shared" si="484"/>
        <v/>
      </c>
      <c r="BA1347" t="str">
        <f t="shared" si="485"/>
        <v/>
      </c>
      <c r="BB1347" t="str">
        <f t="shared" si="486"/>
        <v/>
      </c>
      <c r="BC1347" t="str">
        <f t="shared" si="487"/>
        <v/>
      </c>
      <c r="BD1347" t="str">
        <f t="shared" si="488"/>
        <v/>
      </c>
      <c r="BE1347" t="str">
        <f t="shared" si="489"/>
        <v/>
      </c>
      <c r="BF1347" t="str">
        <f t="shared" si="490"/>
        <v/>
      </c>
      <c r="BG1347" t="str">
        <f t="shared" si="491"/>
        <v/>
      </c>
      <c r="BH1347" t="str">
        <f t="shared" si="492"/>
        <v/>
      </c>
      <c r="BI1347" t="str">
        <f t="shared" si="493"/>
        <v/>
      </c>
      <c r="BJ1347" t="str">
        <f t="shared" si="494"/>
        <v/>
      </c>
      <c r="BK1347" t="str">
        <f t="shared" si="495"/>
        <v/>
      </c>
      <c r="BL1347" t="str">
        <f t="shared" si="496"/>
        <v/>
      </c>
      <c r="BM1347" t="str">
        <f t="shared" si="497"/>
        <v/>
      </c>
      <c r="BN1347" t="str">
        <f t="shared" si="498"/>
        <v/>
      </c>
      <c r="BO1347" t="str">
        <f t="shared" si="499"/>
        <v/>
      </c>
      <c r="BP1347" t="str">
        <f t="shared" si="500"/>
        <v/>
      </c>
      <c r="BQ1347" t="str">
        <f t="shared" si="501"/>
        <v/>
      </c>
      <c r="BR1347" t="str">
        <f t="shared" si="502"/>
        <v/>
      </c>
      <c r="BS1347" t="str">
        <f t="shared" si="503"/>
        <v/>
      </c>
      <c r="BT1347" t="str">
        <f t="shared" si="504"/>
        <v/>
      </c>
      <c r="BU1347" t="str">
        <f t="shared" si="505"/>
        <v/>
      </c>
    </row>
    <row r="1348" spans="1:73">
      <c r="A1348" s="1">
        <v>92991</v>
      </c>
      <c r="B1348" t="str">
        <f>VLOOKUP($A1348,[1]Table!$A$2:$N1490,B$1,FALSE)</f>
        <v>N06AB06</v>
      </c>
      <c r="C1348" t="str">
        <f>VLOOKUP($A1348,[1]Table!$A$2:$N1490,C$1,FALSE)</f>
        <v>PSYCHOANALEPTICA</v>
      </c>
      <c r="D1348" t="str">
        <f>VLOOKUP($A1348,[1]Table!$A$2:$N1490,D$1,FALSE)</f>
        <v>ANTIDEPRESSIVA</v>
      </c>
      <c r="E1348" t="str">
        <f>VLOOKUP($A1348,[1]Table!$A$2:$N1490,E$1,FALSE)</f>
        <v>SERTRALINE</v>
      </c>
      <c r="F1348" t="str">
        <f>VLOOKUP($A1348,[1]Table!$A$2:$N1490,F$1,FALSE)</f>
        <v>SERTRALINE 50 MG TABLET OMHULD</v>
      </c>
      <c r="G1348" t="str">
        <f>VLOOKUP($A1348,[1]Table!$A$2:$N1490,G$1,FALSE)</f>
        <v>SERTRALINE 50MG TABLET</v>
      </c>
      <c r="H1348" t="str">
        <f>VLOOKUP($A1348,[1]Table!$A$2:$N1490,H$1,FALSE)</f>
        <v>tablet</v>
      </c>
      <c r="I1348" t="str">
        <f>VLOOKUP($A1348,[1]Table!$A$2:$N1490,I$1,FALSE)</f>
        <v>or</v>
      </c>
      <c r="J1348">
        <f>VLOOKUP($A1348,[1]Table!$A$2:$N1490,J$1,FALSE)</f>
        <v>50</v>
      </c>
      <c r="K1348" t="str">
        <f>VLOOKUP($A1348,[1]Table!$A$2:$N1490,K$1,FALSE)</f>
        <v>mg/stuk</v>
      </c>
      <c r="L1348">
        <f>VLOOKUP($A1348,[1]Table!$A$2:$N1490,L$1,FALSE)</f>
        <v>25</v>
      </c>
      <c r="M1348" t="str">
        <f>VLOOKUP($A1348,[1]Table!$A$2:$N1490,M$1,FALSE)</f>
        <v>mg</v>
      </c>
      <c r="N1348" t="str">
        <f>VLOOKUP($A1348,[1]Table!$A$2:$N1490,N$1,FALSE)</f>
        <v>Obsessief compulsieve stoornis</v>
      </c>
      <c r="O1348" t="str">
        <f>ConcatenateRange(AZ1348:BU1348,"||")</f>
        <v/>
      </c>
      <c r="AZ1348" t="str">
        <f t="shared" si="484"/>
        <v/>
      </c>
      <c r="BA1348" t="str">
        <f t="shared" si="485"/>
        <v/>
      </c>
      <c r="BB1348" t="str">
        <f t="shared" si="486"/>
        <v/>
      </c>
      <c r="BC1348" t="str">
        <f t="shared" si="487"/>
        <v/>
      </c>
      <c r="BD1348" t="str">
        <f t="shared" si="488"/>
        <v/>
      </c>
      <c r="BE1348" t="str">
        <f t="shared" si="489"/>
        <v/>
      </c>
      <c r="BF1348" t="str">
        <f t="shared" si="490"/>
        <v/>
      </c>
      <c r="BG1348" t="str">
        <f t="shared" si="491"/>
        <v/>
      </c>
      <c r="BH1348" t="str">
        <f t="shared" si="492"/>
        <v/>
      </c>
      <c r="BI1348" t="str">
        <f t="shared" si="493"/>
        <v/>
      </c>
      <c r="BJ1348" t="str">
        <f t="shared" si="494"/>
        <v/>
      </c>
      <c r="BK1348" t="str">
        <f t="shared" si="495"/>
        <v/>
      </c>
      <c r="BL1348" t="str">
        <f t="shared" si="496"/>
        <v/>
      </c>
      <c r="BM1348" t="str">
        <f t="shared" si="497"/>
        <v/>
      </c>
      <c r="BN1348" t="str">
        <f t="shared" si="498"/>
        <v/>
      </c>
      <c r="BO1348" t="str">
        <f t="shared" si="499"/>
        <v/>
      </c>
      <c r="BP1348" t="str">
        <f t="shared" si="500"/>
        <v/>
      </c>
      <c r="BQ1348" t="str">
        <f t="shared" si="501"/>
        <v/>
      </c>
      <c r="BR1348" t="str">
        <f t="shared" si="502"/>
        <v/>
      </c>
      <c r="BS1348" t="str">
        <f t="shared" si="503"/>
        <v/>
      </c>
      <c r="BT1348" t="str">
        <f t="shared" si="504"/>
        <v/>
      </c>
      <c r="BU1348" t="str">
        <f t="shared" si="505"/>
        <v/>
      </c>
    </row>
    <row r="1349" spans="1:73">
      <c r="A1349" s="1">
        <v>93009</v>
      </c>
      <c r="B1349" t="str">
        <f>VLOOKUP($A1349,[1]Table!$A$2:$N1491,B$1,FALSE)</f>
        <v>N06AB06</v>
      </c>
      <c r="C1349" t="str">
        <f>VLOOKUP($A1349,[1]Table!$A$2:$N1491,C$1,FALSE)</f>
        <v>PSYCHOANALEPTICA</v>
      </c>
      <c r="D1349" t="str">
        <f>VLOOKUP($A1349,[1]Table!$A$2:$N1491,D$1,FALSE)</f>
        <v>ANTIDEPRESSIVA</v>
      </c>
      <c r="E1349" t="str">
        <f>VLOOKUP($A1349,[1]Table!$A$2:$N1491,E$1,FALSE)</f>
        <v>SERTRALINE</v>
      </c>
      <c r="F1349" t="str">
        <f>VLOOKUP($A1349,[1]Table!$A$2:$N1491,F$1,FALSE)</f>
        <v>SERTRALINE 100 MG TABLET OMHULD</v>
      </c>
      <c r="G1349" t="str">
        <f>VLOOKUP($A1349,[1]Table!$A$2:$N1491,G$1,FALSE)</f>
        <v>SERTRALINE 100MG TABLET</v>
      </c>
      <c r="H1349" t="str">
        <f>VLOOKUP($A1349,[1]Table!$A$2:$N1491,H$1,FALSE)</f>
        <v>tablet</v>
      </c>
      <c r="I1349" t="str">
        <f>VLOOKUP($A1349,[1]Table!$A$2:$N1491,I$1,FALSE)</f>
        <v>or</v>
      </c>
      <c r="J1349">
        <f>VLOOKUP($A1349,[1]Table!$A$2:$N1491,J$1,FALSE)</f>
        <v>100</v>
      </c>
      <c r="K1349" t="str">
        <f>VLOOKUP($A1349,[1]Table!$A$2:$N1491,K$1,FALSE)</f>
        <v>mg/stuk</v>
      </c>
      <c r="L1349">
        <f>VLOOKUP($A1349,[1]Table!$A$2:$N1491,L$1,FALSE)</f>
        <v>100</v>
      </c>
      <c r="M1349" t="str">
        <f>VLOOKUP($A1349,[1]Table!$A$2:$N1491,M$1,FALSE)</f>
        <v>mg</v>
      </c>
      <c r="N1349" t="str">
        <f>VLOOKUP($A1349,[1]Table!$A$2:$N1491,N$1,FALSE)</f>
        <v>Obsessief compulsieve stoornis</v>
      </c>
      <c r="O1349" t="str">
        <f>ConcatenateRange(AZ1349:BU1349,"||")</f>
        <v/>
      </c>
      <c r="AZ1349" t="str">
        <f t="shared" si="484"/>
        <v/>
      </c>
      <c r="BA1349" t="str">
        <f t="shared" si="485"/>
        <v/>
      </c>
      <c r="BB1349" t="str">
        <f t="shared" si="486"/>
        <v/>
      </c>
      <c r="BC1349" t="str">
        <f t="shared" si="487"/>
        <v/>
      </c>
      <c r="BD1349" t="str">
        <f t="shared" si="488"/>
        <v/>
      </c>
      <c r="BE1349" t="str">
        <f t="shared" si="489"/>
        <v/>
      </c>
      <c r="BF1349" t="str">
        <f t="shared" si="490"/>
        <v/>
      </c>
      <c r="BG1349" t="str">
        <f t="shared" si="491"/>
        <v/>
      </c>
      <c r="BH1349" t="str">
        <f t="shared" si="492"/>
        <v/>
      </c>
      <c r="BI1349" t="str">
        <f t="shared" si="493"/>
        <v/>
      </c>
      <c r="BJ1349" t="str">
        <f t="shared" si="494"/>
        <v/>
      </c>
      <c r="BK1349" t="str">
        <f t="shared" si="495"/>
        <v/>
      </c>
      <c r="BL1349" t="str">
        <f t="shared" si="496"/>
        <v/>
      </c>
      <c r="BM1349" t="str">
        <f t="shared" si="497"/>
        <v/>
      </c>
      <c r="BN1349" t="str">
        <f t="shared" si="498"/>
        <v/>
      </c>
      <c r="BO1349" t="str">
        <f t="shared" si="499"/>
        <v/>
      </c>
      <c r="BP1349" t="str">
        <f t="shared" si="500"/>
        <v/>
      </c>
      <c r="BQ1349" t="str">
        <f t="shared" si="501"/>
        <v/>
      </c>
      <c r="BR1349" t="str">
        <f t="shared" si="502"/>
        <v/>
      </c>
      <c r="BS1349" t="str">
        <f t="shared" si="503"/>
        <v/>
      </c>
      <c r="BT1349" t="str">
        <f t="shared" si="504"/>
        <v/>
      </c>
      <c r="BU1349" t="str">
        <f t="shared" si="505"/>
        <v/>
      </c>
    </row>
    <row r="1350" spans="1:73">
      <c r="A1350" s="1">
        <v>131482</v>
      </c>
      <c r="B1350" t="str">
        <f>VLOOKUP($A1350,[1]Table!$A$2:$N1492,B$1,FALSE)</f>
        <v>V03AE02</v>
      </c>
      <c r="C1350" t="str">
        <f>VLOOKUP($A1350,[1]Table!$A$2:$N1492,C$1,FALSE)</f>
        <v>ALLE OVERIGE THERAPEUTISCHE MIDDELEN</v>
      </c>
      <c r="D1350" t="str">
        <f>VLOOKUP($A1350,[1]Table!$A$2:$N1492,D$1,FALSE)</f>
        <v>ALLE OVERIGE THERAPEUTISCHE MIDDELEN</v>
      </c>
      <c r="E1350" t="str">
        <f>VLOOKUP($A1350,[1]Table!$A$2:$N1492,E$1,FALSE)</f>
        <v>SEVELAMEER</v>
      </c>
      <c r="F1350" t="str">
        <f>VLOOKUP($A1350,[1]Table!$A$2:$N1492,F$1,FALSE)</f>
        <v>RENVELA 2.4 G PDR V SUSPENSIE SACHET</v>
      </c>
      <c r="G1350" t="str">
        <f>VLOOKUP($A1350,[1]Table!$A$2:$N1492,G$1,FALSE)</f>
        <v>SEVELAMEER 2,4G PDR V SUSP</v>
      </c>
      <c r="H1350" t="str">
        <f>VLOOKUP($A1350,[1]Table!$A$2:$N1492,H$1,FALSE)</f>
        <v>poeder voor orale suspensie</v>
      </c>
      <c r="I1350" t="str">
        <f>VLOOKUP($A1350,[1]Table!$A$2:$N1492,I$1,FALSE)</f>
        <v>or</v>
      </c>
      <c r="J1350">
        <f>VLOOKUP($A1350,[1]Table!$A$2:$N1492,J$1,FALSE)</f>
        <v>2.4</v>
      </c>
      <c r="K1350" t="str">
        <f>VLOOKUP($A1350,[1]Table!$A$2:$N1492,K$1,FALSE)</f>
        <v>gr/stuk</v>
      </c>
      <c r="L1350">
        <f>VLOOKUP($A1350,[1]Table!$A$2:$N1492,L$1,FALSE)</f>
        <v>2.4</v>
      </c>
      <c r="M1350" t="str">
        <f>VLOOKUP($A1350,[1]Table!$A$2:$N1492,M$1,FALSE)</f>
        <v>gr</v>
      </c>
      <c r="N1350" t="str">
        <f>VLOOKUP($A1350,[1]Table!$A$2:$N1492,N$1,FALSE)</f>
        <v>Hyperfosfatemie bij hemodialyse</v>
      </c>
      <c r="O1350" t="str">
        <f>ConcatenateRange(AZ1350:BU1350,"||")</f>
        <v/>
      </c>
      <c r="AZ1350" t="str">
        <f t="shared" si="484"/>
        <v/>
      </c>
      <c r="BA1350" t="str">
        <f t="shared" si="485"/>
        <v/>
      </c>
      <c r="BB1350" t="str">
        <f t="shared" si="486"/>
        <v/>
      </c>
      <c r="BC1350" t="str">
        <f t="shared" si="487"/>
        <v/>
      </c>
      <c r="BD1350" t="str">
        <f t="shared" si="488"/>
        <v/>
      </c>
      <c r="BE1350" t="str">
        <f t="shared" si="489"/>
        <v/>
      </c>
      <c r="BF1350" t="str">
        <f t="shared" si="490"/>
        <v/>
      </c>
      <c r="BG1350" t="str">
        <f t="shared" si="491"/>
        <v/>
      </c>
      <c r="BH1350" t="str">
        <f t="shared" si="492"/>
        <v/>
      </c>
      <c r="BI1350" t="str">
        <f t="shared" si="493"/>
        <v/>
      </c>
      <c r="BJ1350" t="str">
        <f t="shared" si="494"/>
        <v/>
      </c>
      <c r="BK1350" t="str">
        <f t="shared" si="495"/>
        <v/>
      </c>
      <c r="BL1350" t="str">
        <f t="shared" si="496"/>
        <v/>
      </c>
      <c r="BM1350" t="str">
        <f t="shared" si="497"/>
        <v/>
      </c>
      <c r="BN1350" t="str">
        <f t="shared" si="498"/>
        <v/>
      </c>
      <c r="BO1350" t="str">
        <f t="shared" si="499"/>
        <v/>
      </c>
      <c r="BP1350" t="str">
        <f t="shared" si="500"/>
        <v/>
      </c>
      <c r="BQ1350" t="str">
        <f t="shared" si="501"/>
        <v/>
      </c>
      <c r="BR1350" t="str">
        <f t="shared" si="502"/>
        <v/>
      </c>
      <c r="BS1350" t="str">
        <f t="shared" si="503"/>
        <v/>
      </c>
      <c r="BT1350" t="str">
        <f t="shared" si="504"/>
        <v/>
      </c>
      <c r="BU1350" t="str">
        <f t="shared" si="505"/>
        <v/>
      </c>
    </row>
    <row r="1351" spans="1:73">
      <c r="A1351" s="1">
        <v>131474</v>
      </c>
      <c r="B1351" t="str">
        <f>VLOOKUP($A1351,[1]Table!$A$2:$N1493,B$1,FALSE)</f>
        <v>V03AE02</v>
      </c>
      <c r="C1351" t="str">
        <f>VLOOKUP($A1351,[1]Table!$A$2:$N1493,C$1,FALSE)</f>
        <v>ALLE OVERIGE THERAPEUTISCHE MIDDELEN</v>
      </c>
      <c r="D1351" t="str">
        <f>VLOOKUP($A1351,[1]Table!$A$2:$N1493,D$1,FALSE)</f>
        <v>ALLE OVERIGE THERAPEUTISCHE MIDDELEN</v>
      </c>
      <c r="E1351" t="str">
        <f>VLOOKUP($A1351,[1]Table!$A$2:$N1493,E$1,FALSE)</f>
        <v>SEVELAMEER</v>
      </c>
      <c r="F1351" t="str">
        <f>VLOOKUP($A1351,[1]Table!$A$2:$N1493,F$1,FALSE)</f>
        <v>RENVELA  800 MG TABLET FILMOMHULD</v>
      </c>
      <c r="G1351" t="str">
        <f>VLOOKUP($A1351,[1]Table!$A$2:$N1493,G$1,FALSE)</f>
        <v>SEVELAMEER 800MG TABLET</v>
      </c>
      <c r="H1351" t="str">
        <f>VLOOKUP($A1351,[1]Table!$A$2:$N1493,H$1,FALSE)</f>
        <v>tablet</v>
      </c>
      <c r="I1351" t="str">
        <f>VLOOKUP($A1351,[1]Table!$A$2:$N1493,I$1,FALSE)</f>
        <v>or</v>
      </c>
      <c r="J1351">
        <f>VLOOKUP($A1351,[1]Table!$A$2:$N1493,J$1,FALSE)</f>
        <v>800</v>
      </c>
      <c r="K1351" t="str">
        <f>VLOOKUP($A1351,[1]Table!$A$2:$N1493,K$1,FALSE)</f>
        <v>mg/stuk</v>
      </c>
      <c r="L1351">
        <f>VLOOKUP($A1351,[1]Table!$A$2:$N1493,L$1,FALSE)</f>
        <v>800</v>
      </c>
      <c r="M1351" t="str">
        <f>VLOOKUP($A1351,[1]Table!$A$2:$N1493,M$1,FALSE)</f>
        <v>mg</v>
      </c>
      <c r="N1351" t="str">
        <f>VLOOKUP($A1351,[1]Table!$A$2:$N1493,N$1,FALSE)</f>
        <v>Hyperfosfatemie bij hemodialyse</v>
      </c>
      <c r="O1351" t="str">
        <f>ConcatenateRange(AZ1351:BU1351,"||")</f>
        <v/>
      </c>
      <c r="AZ1351" t="str">
        <f t="shared" si="484"/>
        <v/>
      </c>
      <c r="BA1351" t="str">
        <f t="shared" si="485"/>
        <v/>
      </c>
      <c r="BB1351" t="str">
        <f t="shared" si="486"/>
        <v/>
      </c>
      <c r="BC1351" t="str">
        <f t="shared" si="487"/>
        <v/>
      </c>
      <c r="BD1351" t="str">
        <f t="shared" si="488"/>
        <v/>
      </c>
      <c r="BE1351" t="str">
        <f t="shared" si="489"/>
        <v/>
      </c>
      <c r="BF1351" t="str">
        <f t="shared" si="490"/>
        <v/>
      </c>
      <c r="BG1351" t="str">
        <f t="shared" si="491"/>
        <v/>
      </c>
      <c r="BH1351" t="str">
        <f t="shared" si="492"/>
        <v/>
      </c>
      <c r="BI1351" t="str">
        <f t="shared" si="493"/>
        <v/>
      </c>
      <c r="BJ1351" t="str">
        <f t="shared" si="494"/>
        <v/>
      </c>
      <c r="BK1351" t="str">
        <f t="shared" si="495"/>
        <v/>
      </c>
      <c r="BL1351" t="str">
        <f t="shared" si="496"/>
        <v/>
      </c>
      <c r="BM1351" t="str">
        <f t="shared" si="497"/>
        <v/>
      </c>
      <c r="BN1351" t="str">
        <f t="shared" si="498"/>
        <v/>
      </c>
      <c r="BO1351" t="str">
        <f t="shared" si="499"/>
        <v/>
      </c>
      <c r="BP1351" t="str">
        <f t="shared" si="500"/>
        <v/>
      </c>
      <c r="BQ1351" t="str">
        <f t="shared" si="501"/>
        <v/>
      </c>
      <c r="BR1351" t="str">
        <f t="shared" si="502"/>
        <v/>
      </c>
      <c r="BS1351" t="str">
        <f t="shared" si="503"/>
        <v/>
      </c>
      <c r="BT1351" t="str">
        <f t="shared" si="504"/>
        <v/>
      </c>
      <c r="BU1351" t="str">
        <f t="shared" si="505"/>
        <v/>
      </c>
    </row>
    <row r="1352" spans="1:73">
      <c r="A1352" s="1">
        <v>97160</v>
      </c>
      <c r="B1352" t="str">
        <f>VLOOKUP($A1352,[1]Table!$A$2:$N1494,B$1,FALSE)</f>
        <v>N01AB08</v>
      </c>
      <c r="C1352" t="str">
        <f>VLOOKUP($A1352,[1]Table!$A$2:$N1494,C$1,FALSE)</f>
        <v>ANAESTHETICA</v>
      </c>
      <c r="D1352" t="str">
        <f>VLOOKUP($A1352,[1]Table!$A$2:$N1494,D$1,FALSE)</f>
        <v>ALGEMENE ANAESTHETICA</v>
      </c>
      <c r="E1352" t="str">
        <f>VLOOKUP($A1352,[1]Table!$A$2:$N1494,E$1,FALSE)</f>
        <v>SEVOFLURAAN</v>
      </c>
      <c r="F1352" t="str">
        <f>VLOOKUP($A1352,[1]Table!$A$2:$N1494,F$1,FALSE)</f>
        <v>SEVORANE 250ML QUICK FILL (4456)</v>
      </c>
      <c r="G1352" t="str">
        <f>VLOOKUP($A1352,[1]Table!$A$2:$N1494,G$1,FALSE)</f>
        <v>SEVOFLURAAN INHALVLST/GAS</v>
      </c>
      <c r="H1352" t="str">
        <f>VLOOKUP($A1352,[1]Table!$A$2:$N1494,H$1,FALSE)</f>
        <v>inhalatiegas</v>
      </c>
      <c r="I1352" t="str">
        <f>VLOOKUP($A1352,[1]Table!$A$2:$N1494,I$1,FALSE)</f>
        <v>inh</v>
      </c>
      <c r="J1352">
        <f>VLOOKUP($A1352,[1]Table!$A$2:$N1494,J$1,FALSE)</f>
        <v>0</v>
      </c>
      <c r="K1352" t="str">
        <f>VLOOKUP($A1352,[1]Table!$A$2:$N1494,K$1,FALSE)</f>
        <v>/ml</v>
      </c>
      <c r="L1352">
        <f>VLOOKUP($A1352,[1]Table!$A$2:$N1494,L$1,FALSE)</f>
        <v>0</v>
      </c>
      <c r="M1352">
        <f>VLOOKUP($A1352,[1]Table!$A$2:$N1494,M$1,FALSE)</f>
        <v>0</v>
      </c>
      <c r="N1352" t="str">
        <f>VLOOKUP($A1352,[1]Table!$A$2:$N1494,N$1,FALSE)</f>
        <v>Inhalatie anaesthesie</v>
      </c>
      <c r="O1352" t="str">
        <f>ConcatenateRange(AZ1352:BU1352,"||")</f>
        <v/>
      </c>
      <c r="AZ1352" t="str">
        <f t="shared" si="484"/>
        <v/>
      </c>
      <c r="BA1352" t="str">
        <f t="shared" si="485"/>
        <v/>
      </c>
      <c r="BB1352" t="str">
        <f t="shared" si="486"/>
        <v/>
      </c>
      <c r="BC1352" t="str">
        <f t="shared" si="487"/>
        <v/>
      </c>
      <c r="BD1352" t="str">
        <f t="shared" si="488"/>
        <v/>
      </c>
      <c r="BE1352" t="str">
        <f t="shared" si="489"/>
        <v/>
      </c>
      <c r="BF1352" t="str">
        <f t="shared" si="490"/>
        <v/>
      </c>
      <c r="BG1352" t="str">
        <f t="shared" si="491"/>
        <v/>
      </c>
      <c r="BH1352" t="str">
        <f t="shared" si="492"/>
        <v/>
      </c>
      <c r="BI1352" t="str">
        <f t="shared" si="493"/>
        <v/>
      </c>
      <c r="BJ1352" t="str">
        <f t="shared" si="494"/>
        <v/>
      </c>
      <c r="BK1352" t="str">
        <f t="shared" si="495"/>
        <v/>
      </c>
      <c r="BL1352" t="str">
        <f t="shared" si="496"/>
        <v/>
      </c>
      <c r="BM1352" t="str">
        <f t="shared" si="497"/>
        <v/>
      </c>
      <c r="BN1352" t="str">
        <f t="shared" si="498"/>
        <v/>
      </c>
      <c r="BO1352" t="str">
        <f t="shared" si="499"/>
        <v/>
      </c>
      <c r="BP1352" t="str">
        <f t="shared" si="500"/>
        <v/>
      </c>
      <c r="BQ1352" t="str">
        <f t="shared" si="501"/>
        <v/>
      </c>
      <c r="BR1352" t="str">
        <f t="shared" si="502"/>
        <v/>
      </c>
      <c r="BS1352" t="str">
        <f t="shared" si="503"/>
        <v/>
      </c>
      <c r="BT1352" t="str">
        <f t="shared" si="504"/>
        <v/>
      </c>
      <c r="BU1352" t="str">
        <f t="shared" si="505"/>
        <v/>
      </c>
    </row>
    <row r="1353" spans="1:73">
      <c r="A1353" s="1">
        <v>133531</v>
      </c>
      <c r="B1353" t="str">
        <f>VLOOKUP($A1353,[1]Table!$A$2:$N1495,B$1,FALSE)</f>
        <v>G04BE03</v>
      </c>
      <c r="C1353" t="str">
        <f>VLOOKUP($A1353,[1]Table!$A$2:$N1495,C$1,FALSE)</f>
        <v>UROLOGICA</v>
      </c>
      <c r="D1353" t="str">
        <f>VLOOKUP($A1353,[1]Table!$A$2:$N1495,D$1,FALSE)</f>
        <v>UROLOGISCHE MIDDELEN</v>
      </c>
      <c r="E1353" t="str">
        <f>VLOOKUP($A1353,[1]Table!$A$2:$N1495,E$1,FALSE)</f>
        <v>SILDENAFIL</v>
      </c>
      <c r="F1353" t="str">
        <f>VLOOKUP($A1353,[1]Table!$A$2:$N1495,F$1,FALSE)</f>
        <v>REVATIO 0,8 MG/ML INJVLST 12,5 ML</v>
      </c>
      <c r="G1353" t="str">
        <f>VLOOKUP($A1353,[1]Table!$A$2:$N1495,G$1,FALSE)</f>
        <v>SILDENAFIL 0,8MG/ML INJVLST</v>
      </c>
      <c r="H1353" t="str">
        <f>VLOOKUP($A1353,[1]Table!$A$2:$N1495,H$1,FALSE)</f>
        <v>injectievloeistof</v>
      </c>
      <c r="I1353" t="str">
        <f>VLOOKUP($A1353,[1]Table!$A$2:$N1495,I$1,FALSE)</f>
        <v>iv</v>
      </c>
      <c r="J1353">
        <f>VLOOKUP($A1353,[1]Table!$A$2:$N1495,J$1,FALSE)</f>
        <v>0.8</v>
      </c>
      <c r="K1353" t="str">
        <f>VLOOKUP($A1353,[1]Table!$A$2:$N1495,K$1,FALSE)</f>
        <v>mg/ml</v>
      </c>
      <c r="L1353">
        <f>VLOOKUP($A1353,[1]Table!$A$2:$N1495,L$1,FALSE)</f>
        <v>0.8</v>
      </c>
      <c r="M1353" t="str">
        <f>VLOOKUP($A1353,[1]Table!$A$2:$N1495,M$1,FALSE)</f>
        <v>mg</v>
      </c>
      <c r="N1353" t="str">
        <f>VLOOKUP($A1353,[1]Table!$A$2:$N1495,N$1,FALSE)</f>
        <v>Pulmonale arteriele hypertensie</v>
      </c>
      <c r="O1353" t="str">
        <f>ConcatenateRange(AZ1353:BU1353,"||")</f>
        <v/>
      </c>
      <c r="AZ1353" t="str">
        <f t="shared" si="484"/>
        <v/>
      </c>
      <c r="BA1353" t="str">
        <f t="shared" si="485"/>
        <v/>
      </c>
      <c r="BB1353" t="str">
        <f t="shared" si="486"/>
        <v/>
      </c>
      <c r="BC1353" t="str">
        <f t="shared" si="487"/>
        <v/>
      </c>
      <c r="BD1353" t="str">
        <f t="shared" si="488"/>
        <v/>
      </c>
      <c r="BE1353" t="str">
        <f t="shared" si="489"/>
        <v/>
      </c>
      <c r="BF1353" t="str">
        <f t="shared" si="490"/>
        <v/>
      </c>
      <c r="BG1353" t="str">
        <f t="shared" si="491"/>
        <v/>
      </c>
      <c r="BH1353" t="str">
        <f t="shared" si="492"/>
        <v/>
      </c>
      <c r="BI1353" t="str">
        <f t="shared" si="493"/>
        <v/>
      </c>
      <c r="BJ1353" t="str">
        <f t="shared" si="494"/>
        <v/>
      </c>
      <c r="BK1353" t="str">
        <f t="shared" si="495"/>
        <v/>
      </c>
      <c r="BL1353" t="str">
        <f t="shared" si="496"/>
        <v/>
      </c>
      <c r="BM1353" t="str">
        <f t="shared" si="497"/>
        <v/>
      </c>
      <c r="BN1353" t="str">
        <f t="shared" si="498"/>
        <v/>
      </c>
      <c r="BO1353" t="str">
        <f t="shared" si="499"/>
        <v/>
      </c>
      <c r="BP1353" t="str">
        <f t="shared" si="500"/>
        <v/>
      </c>
      <c r="BQ1353" t="str">
        <f t="shared" si="501"/>
        <v/>
      </c>
      <c r="BR1353" t="str">
        <f t="shared" si="502"/>
        <v/>
      </c>
      <c r="BS1353" t="str">
        <f t="shared" si="503"/>
        <v/>
      </c>
      <c r="BT1353" t="str">
        <f t="shared" si="504"/>
        <v/>
      </c>
      <c r="BU1353" t="str">
        <f t="shared" si="505"/>
        <v/>
      </c>
    </row>
    <row r="1354" spans="1:73">
      <c r="A1354" s="1">
        <v>125172</v>
      </c>
      <c r="B1354" t="str">
        <f>VLOOKUP($A1354,[1]Table!$A$2:$N1496,B$1,FALSE)</f>
        <v>G04BE03</v>
      </c>
      <c r="C1354" t="str">
        <f>VLOOKUP($A1354,[1]Table!$A$2:$N1496,C$1,FALSE)</f>
        <v>UROLOGICA</v>
      </c>
      <c r="D1354" t="str">
        <f>VLOOKUP($A1354,[1]Table!$A$2:$N1496,D$1,FALSE)</f>
        <v>UROLOGISCHE MIDDELEN</v>
      </c>
      <c r="E1354" t="str">
        <f>VLOOKUP($A1354,[1]Table!$A$2:$N1496,E$1,FALSE)</f>
        <v>SILDENAFIL</v>
      </c>
      <c r="F1354" t="str">
        <f>VLOOKUP($A1354,[1]Table!$A$2:$N1496,F$1,FALSE)</f>
        <v>REVATIO 20 MG TABLET FILMOMHULD</v>
      </c>
      <c r="G1354" t="str">
        <f>VLOOKUP($A1354,[1]Table!$A$2:$N1496,G$1,FALSE)</f>
        <v>SILDENAFIL 20MG TABLET</v>
      </c>
      <c r="H1354" t="str">
        <f>VLOOKUP($A1354,[1]Table!$A$2:$N1496,H$1,FALSE)</f>
        <v>tablet</v>
      </c>
      <c r="I1354" t="str">
        <f>VLOOKUP($A1354,[1]Table!$A$2:$N1496,I$1,FALSE)</f>
        <v>or</v>
      </c>
      <c r="J1354">
        <f>VLOOKUP($A1354,[1]Table!$A$2:$N1496,J$1,FALSE)</f>
        <v>20</v>
      </c>
      <c r="K1354" t="str">
        <f>VLOOKUP($A1354,[1]Table!$A$2:$N1496,K$1,FALSE)</f>
        <v>mg/stuk</v>
      </c>
      <c r="L1354">
        <f>VLOOKUP($A1354,[1]Table!$A$2:$N1496,L$1,FALSE)</f>
        <v>20</v>
      </c>
      <c r="M1354" t="str">
        <f>VLOOKUP($A1354,[1]Table!$A$2:$N1496,M$1,FALSE)</f>
        <v>mg</v>
      </c>
      <c r="N1354" t="str">
        <f>VLOOKUP($A1354,[1]Table!$A$2:$N1496,N$1,FALSE)</f>
        <v>Pulmonale arteriele hypertensie</v>
      </c>
      <c r="O1354" t="str">
        <f>ConcatenateRange(AZ1354:BU1354,"||")</f>
        <v/>
      </c>
      <c r="AZ1354" t="str">
        <f t="shared" ref="AZ1354:AZ1415" si="506">IF(AA1354&lt;&gt;0,AA$2,"")</f>
        <v/>
      </c>
      <c r="BA1354" t="str">
        <f t="shared" ref="BA1354:BA1415" si="507">IF(AB1354&lt;&gt;0,AB$2,"")</f>
        <v/>
      </c>
      <c r="BB1354" t="str">
        <f t="shared" ref="BB1354:BB1415" si="508">IF(AC1354&lt;&gt;0,AC$2,"")</f>
        <v/>
      </c>
      <c r="BC1354" t="str">
        <f t="shared" ref="BC1354:BC1415" si="509">IF(AD1354&lt;&gt;0,AD$2,"")</f>
        <v/>
      </c>
      <c r="BD1354" t="str">
        <f t="shared" ref="BD1354:BD1415" si="510">IF(AE1354&lt;&gt;0,AE$2,"")</f>
        <v/>
      </c>
      <c r="BE1354" t="str">
        <f t="shared" ref="BE1354:BE1415" si="511">IF(AF1354&lt;&gt;0,AF$2,"")</f>
        <v/>
      </c>
      <c r="BF1354" t="str">
        <f t="shared" ref="BF1354:BF1415" si="512">IF(AG1354&lt;&gt;0,AG$2,"")</f>
        <v/>
      </c>
      <c r="BG1354" t="str">
        <f t="shared" ref="BG1354:BG1415" si="513">IF(AH1354&lt;&gt;0,AH$2,"")</f>
        <v/>
      </c>
      <c r="BH1354" t="str">
        <f t="shared" ref="BH1354:BH1415" si="514">IF(AI1354&lt;&gt;0,AI$2,"")</f>
        <v/>
      </c>
      <c r="BI1354" t="str">
        <f t="shared" ref="BI1354:BI1415" si="515">IF(AJ1354&lt;&gt;0,AJ$2,"")</f>
        <v/>
      </c>
      <c r="BJ1354" t="str">
        <f t="shared" ref="BJ1354:BJ1415" si="516">IF(AK1354&lt;&gt;0,AK$2,"")</f>
        <v/>
      </c>
      <c r="BK1354" t="str">
        <f t="shared" ref="BK1354:BK1415" si="517">IF(AL1354&lt;&gt;0,AL$2,"")</f>
        <v/>
      </c>
      <c r="BL1354" t="str">
        <f t="shared" ref="BL1354:BL1415" si="518">IF(AM1354&lt;&gt;0,AM$2,"")</f>
        <v/>
      </c>
      <c r="BM1354" t="str">
        <f t="shared" ref="BM1354:BM1415" si="519">IF(AN1354&lt;&gt;0,AN$2,"")</f>
        <v/>
      </c>
      <c r="BN1354" t="str">
        <f t="shared" ref="BN1354:BN1415" si="520">IF(AO1354&lt;&gt;0,AO$2,"")</f>
        <v/>
      </c>
      <c r="BO1354" t="str">
        <f t="shared" ref="BO1354:BO1415" si="521">IF(AP1354&lt;&gt;0,AP$2,"")</f>
        <v/>
      </c>
      <c r="BP1354" t="str">
        <f t="shared" ref="BP1354:BP1415" si="522">IF(AQ1354&lt;&gt;0,AQ$2,"")</f>
        <v/>
      </c>
      <c r="BQ1354" t="str">
        <f t="shared" ref="BQ1354:BQ1415" si="523">IF(AR1354&lt;&gt;0,AR$2,"")</f>
        <v/>
      </c>
      <c r="BR1354" t="str">
        <f t="shared" ref="BR1354:BR1415" si="524">IF(AS1354&lt;&gt;0,AS$2,"")</f>
        <v/>
      </c>
      <c r="BS1354" t="str">
        <f t="shared" ref="BS1354:BS1415" si="525">IF(AT1354&lt;&gt;0,AT$2,"")</f>
        <v/>
      </c>
      <c r="BT1354" t="str">
        <f t="shared" ref="BT1354:BT1415" si="526">IF(AU1354&lt;&gt;0,AU$2,"")</f>
        <v/>
      </c>
      <c r="BU1354" t="str">
        <f t="shared" ref="BU1354:BU1415" si="527">IF(AV1354&lt;&gt;0,AV$2,"")</f>
        <v/>
      </c>
    </row>
    <row r="1355" spans="1:73">
      <c r="A1355" s="1">
        <v>105392</v>
      </c>
      <c r="B1355" t="str">
        <f>VLOOKUP($A1355,[1]Table!$A$2:$N1497,B$1,FALSE)</f>
        <v>G04BE03</v>
      </c>
      <c r="C1355" t="str">
        <f>VLOOKUP($A1355,[1]Table!$A$2:$N1497,C$1,FALSE)</f>
        <v>UROLOGICA</v>
      </c>
      <c r="D1355" t="str">
        <f>VLOOKUP($A1355,[1]Table!$A$2:$N1497,D$1,FALSE)</f>
        <v>UROLOGISCHE MIDDELEN</v>
      </c>
      <c r="E1355" t="str">
        <f>VLOOKUP($A1355,[1]Table!$A$2:$N1497,E$1,FALSE)</f>
        <v>SILDENAFIL</v>
      </c>
      <c r="F1355" t="str">
        <f>VLOOKUP($A1355,[1]Table!$A$2:$N1497,F$1,FALSE)</f>
        <v>SILDENAFIL 25 MG TABLET</v>
      </c>
      <c r="G1355" t="str">
        <f>VLOOKUP($A1355,[1]Table!$A$2:$N1497,G$1,FALSE)</f>
        <v>SILDENAFIL 25MG TABLET</v>
      </c>
      <c r="H1355" t="str">
        <f>VLOOKUP($A1355,[1]Table!$A$2:$N1497,H$1,FALSE)</f>
        <v>tablet</v>
      </c>
      <c r="I1355" t="str">
        <f>VLOOKUP($A1355,[1]Table!$A$2:$N1497,I$1,FALSE)</f>
        <v>or</v>
      </c>
      <c r="J1355">
        <f>VLOOKUP($A1355,[1]Table!$A$2:$N1497,J$1,FALSE)</f>
        <v>25</v>
      </c>
      <c r="K1355" t="str">
        <f>VLOOKUP($A1355,[1]Table!$A$2:$N1497,K$1,FALSE)</f>
        <v>mg/stuk</v>
      </c>
      <c r="L1355">
        <f>VLOOKUP($A1355,[1]Table!$A$2:$N1497,L$1,FALSE)</f>
        <v>25</v>
      </c>
      <c r="M1355" t="str">
        <f>VLOOKUP($A1355,[1]Table!$A$2:$N1497,M$1,FALSE)</f>
        <v>mg</v>
      </c>
      <c r="N1355" t="str">
        <f>VLOOKUP($A1355,[1]Table!$A$2:$N1497,N$1,FALSE)</f>
        <v>Pulmonale arteriele hypertensie</v>
      </c>
      <c r="O1355" t="str">
        <f>ConcatenateRange(AZ1355:BU1355,"||")</f>
        <v/>
      </c>
      <c r="AZ1355" t="str">
        <f t="shared" si="506"/>
        <v/>
      </c>
      <c r="BA1355" t="str">
        <f t="shared" si="507"/>
        <v/>
      </c>
      <c r="BB1355" t="str">
        <f t="shared" si="508"/>
        <v/>
      </c>
      <c r="BC1355" t="str">
        <f t="shared" si="509"/>
        <v/>
      </c>
      <c r="BD1355" t="str">
        <f t="shared" si="510"/>
        <v/>
      </c>
      <c r="BE1355" t="str">
        <f t="shared" si="511"/>
        <v/>
      </c>
      <c r="BF1355" t="str">
        <f t="shared" si="512"/>
        <v/>
      </c>
      <c r="BG1355" t="str">
        <f t="shared" si="513"/>
        <v/>
      </c>
      <c r="BH1355" t="str">
        <f t="shared" si="514"/>
        <v/>
      </c>
      <c r="BI1355" t="str">
        <f t="shared" si="515"/>
        <v/>
      </c>
      <c r="BJ1355" t="str">
        <f t="shared" si="516"/>
        <v/>
      </c>
      <c r="BK1355" t="str">
        <f t="shared" si="517"/>
        <v/>
      </c>
      <c r="BL1355" t="str">
        <f t="shared" si="518"/>
        <v/>
      </c>
      <c r="BM1355" t="str">
        <f t="shared" si="519"/>
        <v/>
      </c>
      <c r="BN1355" t="str">
        <f t="shared" si="520"/>
        <v/>
      </c>
      <c r="BO1355" t="str">
        <f t="shared" si="521"/>
        <v/>
      </c>
      <c r="BP1355" t="str">
        <f t="shared" si="522"/>
        <v/>
      </c>
      <c r="BQ1355" t="str">
        <f t="shared" si="523"/>
        <v/>
      </c>
      <c r="BR1355" t="str">
        <f t="shared" si="524"/>
        <v/>
      </c>
      <c r="BS1355" t="str">
        <f t="shared" si="525"/>
        <v/>
      </c>
      <c r="BT1355" t="str">
        <f t="shared" si="526"/>
        <v/>
      </c>
      <c r="BU1355" t="str">
        <f t="shared" si="527"/>
        <v/>
      </c>
    </row>
    <row r="1356" spans="1:73">
      <c r="A1356" s="1">
        <v>116572</v>
      </c>
      <c r="B1356" t="str">
        <f>VLOOKUP($A1356,[1]Table!$A$2:$N1499,B$1,FALSE)</f>
        <v>C10AA01</v>
      </c>
      <c r="C1356" t="str">
        <f>VLOOKUP($A1356,[1]Table!$A$2:$N1499,C$1,FALSE)</f>
        <v>ANTILIPAEMICA</v>
      </c>
      <c r="D1356" t="str">
        <f>VLOOKUP($A1356,[1]Table!$A$2:$N1499,D$1,FALSE)</f>
        <v>ANTILIPAEMICA, ENKELVOUDIG</v>
      </c>
      <c r="E1356" t="str">
        <f>VLOOKUP($A1356,[1]Table!$A$2:$N1499,E$1,FALSE)</f>
        <v>SIMVASTATINE</v>
      </c>
      <c r="F1356" t="str">
        <f>VLOOKUP($A1356,[1]Table!$A$2:$N1499,F$1,FALSE)</f>
        <v>SIMVASTATINE 10 MG TABLET FILMOMHULD</v>
      </c>
      <c r="G1356" t="str">
        <f>VLOOKUP($A1356,[1]Table!$A$2:$N1499,G$1,FALSE)</f>
        <v>SIMVASTATINE 10MG TABLET FO</v>
      </c>
      <c r="H1356" t="str">
        <f>VLOOKUP($A1356,[1]Table!$A$2:$N1499,H$1,FALSE)</f>
        <v>filmomhulde tablet</v>
      </c>
      <c r="I1356" t="str">
        <f>VLOOKUP($A1356,[1]Table!$A$2:$N1499,I$1,FALSE)</f>
        <v>or</v>
      </c>
      <c r="J1356">
        <f>VLOOKUP($A1356,[1]Table!$A$2:$N1499,J$1,FALSE)</f>
        <v>10</v>
      </c>
      <c r="K1356" t="str">
        <f>VLOOKUP($A1356,[1]Table!$A$2:$N1499,K$1,FALSE)</f>
        <v>mg/stuk</v>
      </c>
      <c r="L1356">
        <f>VLOOKUP($A1356,[1]Table!$A$2:$N1499,L$1,FALSE)</f>
        <v>10</v>
      </c>
      <c r="M1356" t="str">
        <f>VLOOKUP($A1356,[1]Table!$A$2:$N1499,M$1,FALSE)</f>
        <v>mg</v>
      </c>
      <c r="N1356" t="str">
        <f>VLOOKUP($A1356,[1]Table!$A$2:$N1499,N$1,FALSE)</f>
        <v>Heterozygote familiaire hypercholesterolemie</v>
      </c>
      <c r="O1356" t="str">
        <f>ConcatenateRange(AZ1356:BU1356,"||")</f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>
      <c r="A1357" s="1">
        <v>116580</v>
      </c>
      <c r="B1357" t="str">
        <f>VLOOKUP($A1357,[1]Table!$A$2:$N1500,B$1,FALSE)</f>
        <v>C10AA01</v>
      </c>
      <c r="C1357" t="str">
        <f>VLOOKUP($A1357,[1]Table!$A$2:$N1500,C$1,FALSE)</f>
        <v>ANTILIPAEMICA</v>
      </c>
      <c r="D1357" t="str">
        <f>VLOOKUP($A1357,[1]Table!$A$2:$N1500,D$1,FALSE)</f>
        <v>ANTILIPAEMICA, ENKELVOUDIG</v>
      </c>
      <c r="E1357" t="str">
        <f>VLOOKUP($A1357,[1]Table!$A$2:$N1500,E$1,FALSE)</f>
        <v>SIMVASTATINE</v>
      </c>
      <c r="F1357" t="str">
        <f>VLOOKUP($A1357,[1]Table!$A$2:$N1500,F$1,FALSE)</f>
        <v>SIMVASTATINE 20 MG TABLET FILMOMHULD</v>
      </c>
      <c r="G1357" t="str">
        <f>VLOOKUP($A1357,[1]Table!$A$2:$N1500,G$1,FALSE)</f>
        <v>SIMVASTATINE 20MG TABLET FO</v>
      </c>
      <c r="H1357" t="str">
        <f>VLOOKUP($A1357,[1]Table!$A$2:$N1500,H$1,FALSE)</f>
        <v>filmomhulde tablet</v>
      </c>
      <c r="I1357" t="str">
        <f>VLOOKUP($A1357,[1]Table!$A$2:$N1500,I$1,FALSE)</f>
        <v>or</v>
      </c>
      <c r="J1357">
        <f>VLOOKUP($A1357,[1]Table!$A$2:$N1500,J$1,FALSE)</f>
        <v>20</v>
      </c>
      <c r="K1357" t="str">
        <f>VLOOKUP($A1357,[1]Table!$A$2:$N1500,K$1,FALSE)</f>
        <v>mg/stuk</v>
      </c>
      <c r="L1357">
        <f>VLOOKUP($A1357,[1]Table!$A$2:$N1500,L$1,FALSE)</f>
        <v>20</v>
      </c>
      <c r="M1357" t="str">
        <f>VLOOKUP($A1357,[1]Table!$A$2:$N1500,M$1,FALSE)</f>
        <v>mg</v>
      </c>
      <c r="N1357" t="str">
        <f>VLOOKUP($A1357,[1]Table!$A$2:$N1500,N$1,FALSE)</f>
        <v>Heterozygote familiaire hypercholesterolemie</v>
      </c>
      <c r="O1357" t="str">
        <f>ConcatenateRange(AZ1357:BU1357,"||")</f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>
      <c r="A1358" s="1">
        <v>116599</v>
      </c>
      <c r="B1358" t="str">
        <f>VLOOKUP($A1358,[1]Table!$A$2:$N1501,B$1,FALSE)</f>
        <v>C10AA01</v>
      </c>
      <c r="C1358" t="str">
        <f>VLOOKUP($A1358,[1]Table!$A$2:$N1501,C$1,FALSE)</f>
        <v>ANTILIPAEMICA</v>
      </c>
      <c r="D1358" t="str">
        <f>VLOOKUP($A1358,[1]Table!$A$2:$N1501,D$1,FALSE)</f>
        <v>ANTILIPAEMICA, ENKELVOUDIG</v>
      </c>
      <c r="E1358" t="str">
        <f>VLOOKUP($A1358,[1]Table!$A$2:$N1501,E$1,FALSE)</f>
        <v>SIMVASTATINE</v>
      </c>
      <c r="F1358" t="str">
        <f>VLOOKUP($A1358,[1]Table!$A$2:$N1501,F$1,FALSE)</f>
        <v>SIMVASTATINE 40 MG TABLET FILMOMHULD</v>
      </c>
      <c r="G1358" t="str">
        <f>VLOOKUP($A1358,[1]Table!$A$2:$N1501,G$1,FALSE)</f>
        <v>SIMVASTATINE 40MG TABLET FO</v>
      </c>
      <c r="H1358" t="str">
        <f>VLOOKUP($A1358,[1]Table!$A$2:$N1501,H$1,FALSE)</f>
        <v>filmomhulde tablet</v>
      </c>
      <c r="I1358" t="str">
        <f>VLOOKUP($A1358,[1]Table!$A$2:$N1501,I$1,FALSE)</f>
        <v>or</v>
      </c>
      <c r="J1358">
        <f>VLOOKUP($A1358,[1]Table!$A$2:$N1501,J$1,FALSE)</f>
        <v>40</v>
      </c>
      <c r="K1358" t="str">
        <f>VLOOKUP($A1358,[1]Table!$A$2:$N1501,K$1,FALSE)</f>
        <v>mg/stuk</v>
      </c>
      <c r="L1358">
        <f>VLOOKUP($A1358,[1]Table!$A$2:$N1501,L$1,FALSE)</f>
        <v>20</v>
      </c>
      <c r="M1358" t="str">
        <f>VLOOKUP($A1358,[1]Table!$A$2:$N1501,M$1,FALSE)</f>
        <v>mg</v>
      </c>
      <c r="N1358" t="str">
        <f>VLOOKUP($A1358,[1]Table!$A$2:$N1501,N$1,FALSE)</f>
        <v>Heterozygote familiaire hypercholesterolemie</v>
      </c>
      <c r="O1358" t="str">
        <f>ConcatenateRange(AZ1358:BU1358,"||")</f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>
      <c r="A1359" s="1">
        <v>126187</v>
      </c>
      <c r="B1359" t="str">
        <f>VLOOKUP($A1359,[1]Table!$A$2:$N1502,B$1,FALSE)</f>
        <v>C10AA01</v>
      </c>
      <c r="C1359" t="str">
        <f>VLOOKUP($A1359,[1]Table!$A$2:$N1502,C$1,FALSE)</f>
        <v>ANTILIPAEMICA</v>
      </c>
      <c r="D1359" t="str">
        <f>VLOOKUP($A1359,[1]Table!$A$2:$N1502,D$1,FALSE)</f>
        <v>ANTILIPAEMICA, ENKELVOUDIG</v>
      </c>
      <c r="E1359" t="str">
        <f>VLOOKUP($A1359,[1]Table!$A$2:$N1502,E$1,FALSE)</f>
        <v>SIMVASTATINE</v>
      </c>
      <c r="F1359" t="str">
        <f>VLOOKUP($A1359,[1]Table!$A$2:$N1502,F$1,FALSE)</f>
        <v>SIMVASTATINE 60 MG TABLET FILMOMHULD</v>
      </c>
      <c r="G1359" t="str">
        <f>VLOOKUP($A1359,[1]Table!$A$2:$N1502,G$1,FALSE)</f>
        <v>SIMVASTATINE 60MG TABLET FO</v>
      </c>
      <c r="H1359" t="str">
        <f>VLOOKUP($A1359,[1]Table!$A$2:$N1502,H$1,FALSE)</f>
        <v>filmomhulde tablet</v>
      </c>
      <c r="I1359" t="str">
        <f>VLOOKUP($A1359,[1]Table!$A$2:$N1502,I$1,FALSE)</f>
        <v>or</v>
      </c>
      <c r="J1359">
        <f>VLOOKUP($A1359,[1]Table!$A$2:$N1502,J$1,FALSE)</f>
        <v>60</v>
      </c>
      <c r="K1359" t="str">
        <f>VLOOKUP($A1359,[1]Table!$A$2:$N1502,K$1,FALSE)</f>
        <v>mg/stuk</v>
      </c>
      <c r="L1359">
        <f>VLOOKUP($A1359,[1]Table!$A$2:$N1502,L$1,FALSE)</f>
        <v>30</v>
      </c>
      <c r="M1359" t="str">
        <f>VLOOKUP($A1359,[1]Table!$A$2:$N1502,M$1,FALSE)</f>
        <v>mg</v>
      </c>
      <c r="N1359" t="str">
        <f>VLOOKUP($A1359,[1]Table!$A$2:$N1502,N$1,FALSE)</f>
        <v>Heterozygote familiaire hypercholesterolemie</v>
      </c>
      <c r="O1359" t="str">
        <f>ConcatenateRange(AZ1359:BU1359,"||")</f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>
      <c r="A1360" s="1">
        <v>109223</v>
      </c>
      <c r="B1360" t="str">
        <f>VLOOKUP($A1360,[1]Table!$A$2:$N1506,B$1,FALSE)</f>
        <v>H01AC01</v>
      </c>
      <c r="C1360" t="str">
        <f>VLOOKUP($A1360,[1]Table!$A$2:$N1506,C$1,FALSE)</f>
        <v>HYPOFYSE- EN HYPOTHALAMUSHORMONEN EN VERWANTE VERBINDINGEN</v>
      </c>
      <c r="D1360" t="str">
        <f>VLOOKUP($A1360,[1]Table!$A$2:$N1506,D$1,FALSE)</f>
        <v>ADENOHYPOFYSEHORMONEN EN VERWANTE VERBINDINGEN</v>
      </c>
      <c r="E1360" t="str">
        <f>VLOOKUP($A1360,[1]Table!$A$2:$N1506,E$1,FALSE)</f>
        <v>SOMATROPINE</v>
      </c>
      <c r="F1360" t="str">
        <f>VLOOKUP($A1360,[1]Table!$A$2:$N1506,F$1,FALSE)</f>
        <v>NORDITROPIN FLEXPRO 3,33 MG/ML WWSP 1,5ML</v>
      </c>
      <c r="G1360" t="str">
        <f>VLOOKUP($A1360,[1]Table!$A$2:$N1506,G$1,FALSE)</f>
        <v>SOMATROPINE 3,33MG/ML INJVL</v>
      </c>
      <c r="H1360" t="str">
        <f>VLOOKUP($A1360,[1]Table!$A$2:$N1506,H$1,FALSE)</f>
        <v>injectievloeistof</v>
      </c>
      <c r="I1360" t="str">
        <f>VLOOKUP($A1360,[1]Table!$A$2:$N1506,I$1,FALSE)</f>
        <v>sc</v>
      </c>
      <c r="J1360">
        <f>VLOOKUP($A1360,[1]Table!$A$2:$N1506,J$1,FALSE)</f>
        <v>3.33</v>
      </c>
      <c r="K1360" t="str">
        <f>VLOOKUP($A1360,[1]Table!$A$2:$N1506,K$1,FALSE)</f>
        <v>mg/ml</v>
      </c>
      <c r="L1360">
        <f>VLOOKUP($A1360,[1]Table!$A$2:$N1506,L$1,FALSE)</f>
        <v>3.33</v>
      </c>
      <c r="M1360" t="str">
        <f>VLOOKUP($A1360,[1]Table!$A$2:$N1506,M$1,FALSE)</f>
        <v>mg</v>
      </c>
      <c r="N1360" t="str">
        <f>VLOOKUP($A1360,[1]Table!$A$2:$N1506,N$1,FALSE)</f>
        <v>Groeistoornis tgv groeihormoondeficientie||Groeistoornis tgv Prader Willi||Groeistoornis tgv Turner||Groeistoornis tgv chronische nierinsufficientie||Groeistoornis tgv SGA</v>
      </c>
      <c r="O1360" t="str">
        <f>ConcatenateRange(AZ1360:BU1360,"||")</f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>
      <c r="A1361" s="1">
        <v>121622</v>
      </c>
      <c r="B1361" t="str">
        <f>VLOOKUP($A1361,[1]Table!$A$2:$N1507,B$1,FALSE)</f>
        <v>H01AC01</v>
      </c>
      <c r="C1361" t="str">
        <f>VLOOKUP($A1361,[1]Table!$A$2:$N1507,C$1,FALSE)</f>
        <v>HYPOFYSE- EN HYPOTHALAMUSHORMONEN EN VERWANTE VERBINDINGEN</v>
      </c>
      <c r="D1361" t="str">
        <f>VLOOKUP($A1361,[1]Table!$A$2:$N1507,D$1,FALSE)</f>
        <v>ADENOHYPOFYSEHORMONEN EN VERWANTE VERBINDINGEN</v>
      </c>
      <c r="E1361" t="str">
        <f>VLOOKUP($A1361,[1]Table!$A$2:$N1507,E$1,FALSE)</f>
        <v>SOMATROPINE</v>
      </c>
      <c r="F1361" t="str">
        <f>VLOOKUP($A1361,[1]Table!$A$2:$N1507,F$1,FALSE)</f>
        <v>NUTROPINAQ 5 MG/ML 2 ML INJVLST PATROON</v>
      </c>
      <c r="G1361" t="str">
        <f>VLOOKUP($A1361,[1]Table!$A$2:$N1507,G$1,FALSE)</f>
        <v>SOMATROPINE 5MG/ML INJVLST</v>
      </c>
      <c r="H1361" t="str">
        <f>VLOOKUP($A1361,[1]Table!$A$2:$N1507,H$1,FALSE)</f>
        <v>injectievloeistof</v>
      </c>
      <c r="I1361" t="str">
        <f>VLOOKUP($A1361,[1]Table!$A$2:$N1507,I$1,FALSE)</f>
        <v>sc</v>
      </c>
      <c r="J1361">
        <f>VLOOKUP($A1361,[1]Table!$A$2:$N1507,J$1,FALSE)</f>
        <v>5</v>
      </c>
      <c r="K1361" t="str">
        <f>VLOOKUP($A1361,[1]Table!$A$2:$N1507,K$1,FALSE)</f>
        <v>mg/ml</v>
      </c>
      <c r="L1361">
        <f>VLOOKUP($A1361,[1]Table!$A$2:$N1507,L$1,FALSE)</f>
        <v>5</v>
      </c>
      <c r="M1361" t="str">
        <f>VLOOKUP($A1361,[1]Table!$A$2:$N1507,M$1,FALSE)</f>
        <v>mg</v>
      </c>
      <c r="N1361" t="str">
        <f>VLOOKUP($A1361,[1]Table!$A$2:$N1507,N$1,FALSE)</f>
        <v>Groeistoornis tgv groeihormoondeficientie||Groeistoornis tgv Prader Willi||Groeistoornis tgv Turner||Groeistoornis tgv chronische nierinsufficientie||Groeistoornis tgv SGA</v>
      </c>
      <c r="O1361" t="str">
        <f>ConcatenateRange(AZ1361:BU1361,"||")</f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>
      <c r="A1362" s="1">
        <v>109231</v>
      </c>
      <c r="B1362" t="str">
        <f>VLOOKUP($A1362,[1]Table!$A$2:$N1508,B$1,FALSE)</f>
        <v>H01AC01</v>
      </c>
      <c r="C1362" t="str">
        <f>VLOOKUP($A1362,[1]Table!$A$2:$N1508,C$1,FALSE)</f>
        <v>HYPOFYSE- EN HYPOTHALAMUSHORMONEN EN VERWANTE VERBINDINGEN</v>
      </c>
      <c r="D1362" t="str">
        <f>VLOOKUP($A1362,[1]Table!$A$2:$N1508,D$1,FALSE)</f>
        <v>ADENOHYPOFYSEHORMONEN EN VERWANTE VERBINDINGEN</v>
      </c>
      <c r="E1362" t="str">
        <f>VLOOKUP($A1362,[1]Table!$A$2:$N1508,E$1,FALSE)</f>
        <v>SOMATROPINE</v>
      </c>
      <c r="F1362" t="str">
        <f>VLOOKUP($A1362,[1]Table!$A$2:$N1508,F$1,FALSE)</f>
        <v>NORDITROPIN FLEXPRO 6,67 MG/ML WWSP 1.5ML</v>
      </c>
      <c r="G1362" t="str">
        <f>VLOOKUP($A1362,[1]Table!$A$2:$N1508,G$1,FALSE)</f>
        <v>SOMATROPINE 6,67MG/ML INJVL</v>
      </c>
      <c r="H1362" t="str">
        <f>VLOOKUP($A1362,[1]Table!$A$2:$N1508,H$1,FALSE)</f>
        <v>injectievloeistof</v>
      </c>
      <c r="I1362" t="str">
        <f>VLOOKUP($A1362,[1]Table!$A$2:$N1508,I$1,FALSE)</f>
        <v>sc</v>
      </c>
      <c r="J1362">
        <f>VLOOKUP($A1362,[1]Table!$A$2:$N1508,J$1,FALSE)</f>
        <v>6.67</v>
      </c>
      <c r="K1362" t="str">
        <f>VLOOKUP($A1362,[1]Table!$A$2:$N1508,K$1,FALSE)</f>
        <v>mg/ml</v>
      </c>
      <c r="L1362">
        <f>VLOOKUP($A1362,[1]Table!$A$2:$N1508,L$1,FALSE)</f>
        <v>6.67</v>
      </c>
      <c r="M1362" t="str">
        <f>VLOOKUP($A1362,[1]Table!$A$2:$N1508,M$1,FALSE)</f>
        <v>mg</v>
      </c>
      <c r="N1362" t="str">
        <f>VLOOKUP($A1362,[1]Table!$A$2:$N1508,N$1,FALSE)</f>
        <v>Groeistoornis tgv groeihormoondeficientie||Groeistoornis tgv Prader Willi||Groeistoornis tgv Turner||Groeistoornis tgv chronische nierinsufficientie||Groeistoornis tgv SGA</v>
      </c>
      <c r="O1362" t="str">
        <f>ConcatenateRange(AZ1362:BU1362,"||")</f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>
      <c r="A1363" s="1">
        <v>109258</v>
      </c>
      <c r="B1363" t="str">
        <f>VLOOKUP($A1363,[1]Table!$A$2:$N1509,B$1,FALSE)</f>
        <v>H01AC01</v>
      </c>
      <c r="C1363" t="str">
        <f>VLOOKUP($A1363,[1]Table!$A$2:$N1509,C$1,FALSE)</f>
        <v>HYPOFYSE- EN HYPOTHALAMUSHORMONEN EN VERWANTE VERBINDINGEN</v>
      </c>
      <c r="D1363" t="str">
        <f>VLOOKUP($A1363,[1]Table!$A$2:$N1509,D$1,FALSE)</f>
        <v>ADENOHYPOFYSEHORMONEN EN VERWANTE VERBINDINGEN</v>
      </c>
      <c r="E1363" t="str">
        <f>VLOOKUP($A1363,[1]Table!$A$2:$N1509,E$1,FALSE)</f>
        <v>SOMATROPINE</v>
      </c>
      <c r="F1363" t="str">
        <f>VLOOKUP($A1363,[1]Table!$A$2:$N1509,F$1,FALSE)</f>
        <v>NORDITROPIN SIMPLEXX 10 MG/ML PATROON 1,5ML</v>
      </c>
      <c r="G1363" t="str">
        <f>VLOOKUP($A1363,[1]Table!$A$2:$N1509,G$1,FALSE)</f>
        <v>SOMATROPINE 10MG/ML INJVLST</v>
      </c>
      <c r="H1363" t="str">
        <f>VLOOKUP($A1363,[1]Table!$A$2:$N1509,H$1,FALSE)</f>
        <v>injectievloeistof</v>
      </c>
      <c r="I1363" t="str">
        <f>VLOOKUP($A1363,[1]Table!$A$2:$N1509,I$1,FALSE)</f>
        <v>sc</v>
      </c>
      <c r="J1363">
        <f>VLOOKUP($A1363,[1]Table!$A$2:$N1509,J$1,FALSE)</f>
        <v>10</v>
      </c>
      <c r="K1363" t="str">
        <f>VLOOKUP($A1363,[1]Table!$A$2:$N1509,K$1,FALSE)</f>
        <v>mg/ml</v>
      </c>
      <c r="L1363">
        <f>VLOOKUP($A1363,[1]Table!$A$2:$N1509,L$1,FALSE)</f>
        <v>10</v>
      </c>
      <c r="M1363" t="str">
        <f>VLOOKUP($A1363,[1]Table!$A$2:$N1509,M$1,FALSE)</f>
        <v>mg</v>
      </c>
      <c r="N1363" t="str">
        <f>VLOOKUP($A1363,[1]Table!$A$2:$N1509,N$1,FALSE)</f>
        <v>Groeistoornis tgv groeihormoondeficientie||Groeistoornis tgv Prader Willi||Groeistoornis tgv Turner||Groeistoornis tgv chronische nierinsufficientie||Groeistoornis tgv SGA</v>
      </c>
      <c r="O1363" t="str">
        <f>ConcatenateRange(AZ1363:BU1363,"||")</f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>
      <c r="A1364" s="1">
        <v>72486</v>
      </c>
      <c r="B1364" t="str">
        <f>VLOOKUP($A1364,[1]Table!$A$2:$N1510,B$1,FALSE)</f>
        <v>H01AC01</v>
      </c>
      <c r="C1364" t="str">
        <f>VLOOKUP($A1364,[1]Table!$A$2:$N1510,C$1,FALSE)</f>
        <v>HYPOFYSE- EN HYPOTHALAMUSHORMONEN EN VERWANTE VERBINDINGEN</v>
      </c>
      <c r="D1364" t="str">
        <f>VLOOKUP($A1364,[1]Table!$A$2:$N1510,D$1,FALSE)</f>
        <v>ADENOHYPOFYSEHORMONEN EN VERWANTE VERBINDINGEN</v>
      </c>
      <c r="E1364" t="str">
        <f>VLOOKUP($A1364,[1]Table!$A$2:$N1510,E$1,FALSE)</f>
        <v>SOMATROPINE</v>
      </c>
      <c r="F1364" t="str">
        <f>VLOOKUP($A1364,[1]Table!$A$2:$N1510,F$1,FALSE)</f>
        <v>ZOMACTON 4 MG FLACON + SOLVENS 3,5 ML</v>
      </c>
      <c r="G1364" t="str">
        <f>VLOOKUP($A1364,[1]Table!$A$2:$N1510,G$1,FALSE)</f>
        <v>SOMATROPINE 4MG INJPDR</v>
      </c>
      <c r="H1364" t="str">
        <f>VLOOKUP($A1364,[1]Table!$A$2:$N1510,H$1,FALSE)</f>
        <v>poeder voor injectievloeistof</v>
      </c>
      <c r="I1364" t="str">
        <f>VLOOKUP($A1364,[1]Table!$A$2:$N1510,I$1,FALSE)</f>
        <v>sc</v>
      </c>
      <c r="J1364">
        <f>VLOOKUP($A1364,[1]Table!$A$2:$N1510,J$1,FALSE)</f>
        <v>4</v>
      </c>
      <c r="K1364" t="str">
        <f>VLOOKUP($A1364,[1]Table!$A$2:$N1510,K$1,FALSE)</f>
        <v>mg/stuk</v>
      </c>
      <c r="L1364">
        <f>VLOOKUP($A1364,[1]Table!$A$2:$N1510,L$1,FALSE)</f>
        <v>4</v>
      </c>
      <c r="M1364" t="str">
        <f>VLOOKUP($A1364,[1]Table!$A$2:$N1510,M$1,FALSE)</f>
        <v>mg</v>
      </c>
      <c r="N1364" t="str">
        <f>VLOOKUP($A1364,[1]Table!$A$2:$N1510,N$1,FALSE)</f>
        <v>Groeistoornis tgv groeihormoondeficientie||Groeistoornis tgv Prader Willi||Groeistoornis tgv Turner||Groeistoornis tgv chronische nierinsufficientie||Groeistoornis tgv SGA</v>
      </c>
      <c r="O1364" t="str">
        <f>ConcatenateRange(AZ1364:BU1364,"||")</f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>
      <c r="A1365" s="1">
        <v>112208</v>
      </c>
      <c r="B1365" t="str">
        <f>VLOOKUP($A1365,[1]Table!$A$2:$N1511,B$1,FALSE)</f>
        <v>H01AC01</v>
      </c>
      <c r="C1365" t="str">
        <f>VLOOKUP($A1365,[1]Table!$A$2:$N1511,C$1,FALSE)</f>
        <v>HYPOFYSE- EN HYPOTHALAMUSHORMONEN EN VERWANTE VERBINDINGEN</v>
      </c>
      <c r="D1365" t="str">
        <f>VLOOKUP($A1365,[1]Table!$A$2:$N1511,D$1,FALSE)</f>
        <v>ADENOHYPOFYSEHORMONEN EN VERWANTE VERBINDINGEN</v>
      </c>
      <c r="E1365" t="str">
        <f>VLOOKUP($A1365,[1]Table!$A$2:$N1511,E$1,FALSE)</f>
        <v>SOMATROPINE</v>
      </c>
      <c r="F1365" t="str">
        <f>VLOOKUP($A1365,[1]Table!$A$2:$N1511,F$1,FALSE)</f>
        <v>GENOTROPIN 5 MG PATROON SET</v>
      </c>
      <c r="G1365" t="str">
        <f>VLOOKUP($A1365,[1]Table!$A$2:$N1511,G$1,FALSE)</f>
        <v>SOMATROPINE 5MG INJPDR</v>
      </c>
      <c r="H1365" t="str">
        <f>VLOOKUP($A1365,[1]Table!$A$2:$N1511,H$1,FALSE)</f>
        <v>poeder voor injectievloeistof</v>
      </c>
      <c r="I1365" t="str">
        <f>VLOOKUP($A1365,[1]Table!$A$2:$N1511,I$1,FALSE)</f>
        <v>sc</v>
      </c>
      <c r="J1365">
        <f>VLOOKUP($A1365,[1]Table!$A$2:$N1511,J$1,FALSE)</f>
        <v>5</v>
      </c>
      <c r="K1365" t="str">
        <f>VLOOKUP($A1365,[1]Table!$A$2:$N1511,K$1,FALSE)</f>
        <v>mg/stuk</v>
      </c>
      <c r="L1365">
        <f>VLOOKUP($A1365,[1]Table!$A$2:$N1511,L$1,FALSE)</f>
        <v>5</v>
      </c>
      <c r="M1365" t="str">
        <f>VLOOKUP($A1365,[1]Table!$A$2:$N1511,M$1,FALSE)</f>
        <v>mg</v>
      </c>
      <c r="N1365" t="str">
        <f>VLOOKUP($A1365,[1]Table!$A$2:$N1511,N$1,FALSE)</f>
        <v>Groeistoornis tgv groeihormoondeficientie||Groeistoornis tgv Prader Willi||Groeistoornis tgv Turner||Groeistoornis tgv chronische nierinsufficientie||Groeistoornis tgv SGA</v>
      </c>
      <c r="O1365" t="str">
        <f>ConcatenateRange(AZ1365:BU1365,"||")</f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>
      <c r="A1366" s="1">
        <v>104906</v>
      </c>
      <c r="B1366" t="str">
        <f>VLOOKUP($A1366,[1]Table!$A$2:$N1512,B$1,FALSE)</f>
        <v>H01AC01</v>
      </c>
      <c r="C1366" t="str">
        <f>VLOOKUP($A1366,[1]Table!$A$2:$N1512,C$1,FALSE)</f>
        <v>HYPOFYSE- EN HYPOTHALAMUSHORMONEN EN VERWANTE VERBINDINGEN</v>
      </c>
      <c r="D1366" t="str">
        <f>VLOOKUP($A1366,[1]Table!$A$2:$N1512,D$1,FALSE)</f>
        <v>ADENOHYPOFYSEHORMONEN EN VERWANTE VERBINDINGEN</v>
      </c>
      <c r="E1366" t="str">
        <f>VLOOKUP($A1366,[1]Table!$A$2:$N1512,E$1,FALSE)</f>
        <v>SOMATROPINE</v>
      </c>
      <c r="F1366" t="str">
        <f>VLOOKUP($A1366,[1]Table!$A$2:$N1512,F$1,FALSE)</f>
        <v>HUMATROPE 6 MG PATROON +SOLVENS  3.15ML</v>
      </c>
      <c r="G1366" t="str">
        <f>VLOOKUP($A1366,[1]Table!$A$2:$N1512,G$1,FALSE)</f>
        <v>SOMATROPINE 6MG INJPDR</v>
      </c>
      <c r="H1366" t="str">
        <f>VLOOKUP($A1366,[1]Table!$A$2:$N1512,H$1,FALSE)</f>
        <v>poeder voor injectievloeistof</v>
      </c>
      <c r="I1366" t="str">
        <f>VLOOKUP($A1366,[1]Table!$A$2:$N1512,I$1,FALSE)</f>
        <v>sc</v>
      </c>
      <c r="J1366">
        <f>VLOOKUP($A1366,[1]Table!$A$2:$N1512,J$1,FALSE)</f>
        <v>6</v>
      </c>
      <c r="K1366" t="str">
        <f>VLOOKUP($A1366,[1]Table!$A$2:$N1512,K$1,FALSE)</f>
        <v>mg/stuk</v>
      </c>
      <c r="L1366">
        <f>VLOOKUP($A1366,[1]Table!$A$2:$N1512,L$1,FALSE)</f>
        <v>6</v>
      </c>
      <c r="M1366" t="str">
        <f>VLOOKUP($A1366,[1]Table!$A$2:$N1512,M$1,FALSE)</f>
        <v>mg</v>
      </c>
      <c r="N1366" t="str">
        <f>VLOOKUP($A1366,[1]Table!$A$2:$N1512,N$1,FALSE)</f>
        <v>Groeistoornis tgv groeihormoondeficientie||Groeistoornis tgv Prader Willi||Groeistoornis tgv Turner||Groeistoornis tgv chronische nierinsufficientie||Groeistoornis tgv SGA</v>
      </c>
      <c r="O1366" t="str">
        <f>ConcatenateRange(AZ1366:BU1366,"||")</f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>
      <c r="A1367" s="1">
        <v>130958</v>
      </c>
      <c r="B1367" t="str">
        <f>VLOOKUP($A1367,[1]Table!$A$2:$N1513,B$1,FALSE)</f>
        <v>H01AC01</v>
      </c>
      <c r="C1367" t="str">
        <f>VLOOKUP($A1367,[1]Table!$A$2:$N1513,C$1,FALSE)</f>
        <v>HYPOFYSE- EN HYPOTHALAMUSHORMONEN EN VERWANTE VERBINDINGEN</v>
      </c>
      <c r="D1367" t="str">
        <f>VLOOKUP($A1367,[1]Table!$A$2:$N1513,D$1,FALSE)</f>
        <v>ADENOHYPOFYSEHORMONEN EN VERWANTE VERBINDINGEN</v>
      </c>
      <c r="E1367" t="str">
        <f>VLOOKUP($A1367,[1]Table!$A$2:$N1513,E$1,FALSE)</f>
        <v>SOMATROPINE</v>
      </c>
      <c r="F1367" t="str">
        <f>VLOOKUP($A1367,[1]Table!$A$2:$N1513,F$1,FALSE)</f>
        <v>ZOMACTON 10 MG FLACON + SOLVENS 1 ML</v>
      </c>
      <c r="G1367" t="str">
        <f>VLOOKUP($A1367,[1]Table!$A$2:$N1513,G$1,FALSE)</f>
        <v>SOMATROPINE 10MG INJPDR</v>
      </c>
      <c r="H1367" t="str">
        <f>VLOOKUP($A1367,[1]Table!$A$2:$N1513,H$1,FALSE)</f>
        <v>poeder voor injectievloeistof</v>
      </c>
      <c r="I1367" t="str">
        <f>VLOOKUP($A1367,[1]Table!$A$2:$N1513,I$1,FALSE)</f>
        <v>sc</v>
      </c>
      <c r="J1367">
        <f>VLOOKUP($A1367,[1]Table!$A$2:$N1513,J$1,FALSE)</f>
        <v>10</v>
      </c>
      <c r="K1367" t="str">
        <f>VLOOKUP($A1367,[1]Table!$A$2:$N1513,K$1,FALSE)</f>
        <v>mg/stuk</v>
      </c>
      <c r="L1367">
        <f>VLOOKUP($A1367,[1]Table!$A$2:$N1513,L$1,FALSE)</f>
        <v>10</v>
      </c>
      <c r="M1367" t="str">
        <f>VLOOKUP($A1367,[1]Table!$A$2:$N1513,M$1,FALSE)</f>
        <v>mg</v>
      </c>
      <c r="N1367" t="str">
        <f>VLOOKUP($A1367,[1]Table!$A$2:$N1513,N$1,FALSE)</f>
        <v>Groeistoornis tgv groeihormoondeficientie||Groeistoornis tgv Prader Willi||Groeistoornis tgv Turner||Groeistoornis tgv chronische nierinsufficientie||Groeistoornis tgv SGA</v>
      </c>
      <c r="O1367" t="str">
        <f>ConcatenateRange(AZ1367:BU1367,"||")</f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>
      <c r="A1368" s="1">
        <v>88161</v>
      </c>
      <c r="B1368" t="str">
        <f>VLOOKUP($A1368,[1]Table!$A$2:$N1514,B$1,FALSE)</f>
        <v>H01AC01</v>
      </c>
      <c r="C1368" t="str">
        <f>VLOOKUP($A1368,[1]Table!$A$2:$N1514,C$1,FALSE)</f>
        <v>HYPOFYSE- EN HYPOTHALAMUSHORMONEN EN VERWANTE VERBINDINGEN</v>
      </c>
      <c r="D1368" t="str">
        <f>VLOOKUP($A1368,[1]Table!$A$2:$N1514,D$1,FALSE)</f>
        <v>ADENOHYPOFYSEHORMONEN EN VERWANTE VERBINDINGEN</v>
      </c>
      <c r="E1368" t="str">
        <f>VLOOKUP($A1368,[1]Table!$A$2:$N1514,E$1,FALSE)</f>
        <v>SOMATROPINE</v>
      </c>
      <c r="F1368" t="str">
        <f>VLOOKUP($A1368,[1]Table!$A$2:$N1514,F$1,FALSE)</f>
        <v>GENOTROPIN 12 MG  PATROON SET</v>
      </c>
      <c r="G1368" t="str">
        <f>VLOOKUP($A1368,[1]Table!$A$2:$N1514,G$1,FALSE)</f>
        <v>SOMATROPINE 12MG INJPDR</v>
      </c>
      <c r="H1368" t="str">
        <f>VLOOKUP($A1368,[1]Table!$A$2:$N1514,H$1,FALSE)</f>
        <v>poeder voor injectievloeistof</v>
      </c>
      <c r="I1368" t="str">
        <f>VLOOKUP($A1368,[1]Table!$A$2:$N1514,I$1,FALSE)</f>
        <v>sc</v>
      </c>
      <c r="J1368">
        <f>VLOOKUP($A1368,[1]Table!$A$2:$N1514,J$1,FALSE)</f>
        <v>12</v>
      </c>
      <c r="K1368" t="str">
        <f>VLOOKUP($A1368,[1]Table!$A$2:$N1514,K$1,FALSE)</f>
        <v>mg/stuk</v>
      </c>
      <c r="L1368">
        <f>VLOOKUP($A1368,[1]Table!$A$2:$N1514,L$1,FALSE)</f>
        <v>12</v>
      </c>
      <c r="M1368" t="str">
        <f>VLOOKUP($A1368,[1]Table!$A$2:$N1514,M$1,FALSE)</f>
        <v>mg</v>
      </c>
      <c r="N1368" t="str">
        <f>VLOOKUP($A1368,[1]Table!$A$2:$N1514,N$1,FALSE)</f>
        <v>Groeistoornis tgv groeihormoondeficientie||Groeistoornis tgv Prader Willi||Groeistoornis tgv Turner||Groeistoornis tgv chronische nierinsufficientie||Groeistoornis tgv SGA</v>
      </c>
      <c r="O1368" t="str">
        <f>ConcatenateRange(AZ1368:BU1368,"||")</f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>
      <c r="A1369" s="1">
        <v>104914</v>
      </c>
      <c r="B1369" t="str">
        <f>VLOOKUP($A1369,[1]Table!$A$2:$N1515,B$1,FALSE)</f>
        <v>H01AC01</v>
      </c>
      <c r="C1369" t="str">
        <f>VLOOKUP($A1369,[1]Table!$A$2:$N1515,C$1,FALSE)</f>
        <v>HYPOFYSE- EN HYPOTHALAMUSHORMONEN EN VERWANTE VERBINDINGEN</v>
      </c>
      <c r="D1369" t="str">
        <f>VLOOKUP($A1369,[1]Table!$A$2:$N1515,D$1,FALSE)</f>
        <v>ADENOHYPOFYSEHORMONEN EN VERWANTE VERBINDINGEN</v>
      </c>
      <c r="E1369" t="str">
        <f>VLOOKUP($A1369,[1]Table!$A$2:$N1515,E$1,FALSE)</f>
        <v>SOMATROPINE</v>
      </c>
      <c r="F1369" t="str">
        <f>VLOOKUP($A1369,[1]Table!$A$2:$N1515,F$1,FALSE)</f>
        <v>HUMATROPE 24 MG PATROON + SOLVENS 3.15 ML</v>
      </c>
      <c r="G1369" t="str">
        <f>VLOOKUP($A1369,[1]Table!$A$2:$N1515,G$1,FALSE)</f>
        <v>SOMATROPINE 24MG INJPDR</v>
      </c>
      <c r="H1369" t="str">
        <f>VLOOKUP($A1369,[1]Table!$A$2:$N1515,H$1,FALSE)</f>
        <v>poeder voor injectievloeistof</v>
      </c>
      <c r="I1369" t="str">
        <f>VLOOKUP($A1369,[1]Table!$A$2:$N1515,I$1,FALSE)</f>
        <v>sc</v>
      </c>
      <c r="J1369">
        <f>VLOOKUP($A1369,[1]Table!$A$2:$N1515,J$1,FALSE)</f>
        <v>24</v>
      </c>
      <c r="K1369" t="str">
        <f>VLOOKUP($A1369,[1]Table!$A$2:$N1515,K$1,FALSE)</f>
        <v>mg/stuk</v>
      </c>
      <c r="L1369">
        <f>VLOOKUP($A1369,[1]Table!$A$2:$N1515,L$1,FALSE)</f>
        <v>24</v>
      </c>
      <c r="M1369" t="str">
        <f>VLOOKUP($A1369,[1]Table!$A$2:$N1515,M$1,FALSE)</f>
        <v>mg</v>
      </c>
      <c r="N1369" t="str">
        <f>VLOOKUP($A1369,[1]Table!$A$2:$N1515,N$1,FALSE)</f>
        <v>Groeistoornis tgv groeihormoondeficientie||Groeistoornis tgv Prader Willi||Groeistoornis tgv Turner||Groeistoornis tgv chronische nierinsufficientie||Groeistoornis tgv SGA</v>
      </c>
      <c r="O1369" t="str">
        <f>ConcatenateRange(AZ1369:BU1369,"||")</f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>
      <c r="A1370" s="1">
        <v>150525</v>
      </c>
      <c r="B1370" t="str">
        <f>VLOOKUP($A1370,[1]Table!$A$2:$N1516,B$1,FALSE)</f>
        <v>C07AA07</v>
      </c>
      <c r="C1370" t="str">
        <f>VLOOKUP($A1370,[1]Table!$A$2:$N1516,C$1,FALSE)</f>
        <v>BETA-BLOKKERS</v>
      </c>
      <c r="D1370" t="str">
        <f>VLOOKUP($A1370,[1]Table!$A$2:$N1516,D$1,FALSE)</f>
        <v>BETA-BLOKKERS</v>
      </c>
      <c r="E1370" t="str">
        <f>VLOOKUP($A1370,[1]Table!$A$2:$N1516,E$1,FALSE)</f>
        <v>SOTALOL</v>
      </c>
      <c r="F1370" t="str">
        <f>VLOOKUP($A1370,[1]Table!$A$2:$N1516,F$1,FALSE)</f>
        <v>SOTALOL HCL 5 MG/ML DRANK  100 ML</v>
      </c>
      <c r="G1370" t="str">
        <f>VLOOKUP($A1370,[1]Table!$A$2:$N1516,G$1,FALSE)</f>
        <v>SOTALOL 5MG/ML DRANK</v>
      </c>
      <c r="H1370" t="str">
        <f>VLOOKUP($A1370,[1]Table!$A$2:$N1516,H$1,FALSE)</f>
        <v>drank</v>
      </c>
      <c r="I1370" t="str">
        <f>VLOOKUP($A1370,[1]Table!$A$2:$N1516,I$1,FALSE)</f>
        <v>or</v>
      </c>
      <c r="J1370">
        <f>VLOOKUP($A1370,[1]Table!$A$2:$N1516,J$1,FALSE)</f>
        <v>5</v>
      </c>
      <c r="K1370" t="str">
        <f>VLOOKUP($A1370,[1]Table!$A$2:$N1516,K$1,FALSE)</f>
        <v>mg/ml</v>
      </c>
      <c r="L1370">
        <f>VLOOKUP($A1370,[1]Table!$A$2:$N1516,L$1,FALSE)</f>
        <v>5</v>
      </c>
      <c r="M1370" t="str">
        <f>VLOOKUP($A1370,[1]Table!$A$2:$N1516,M$1,FALSE)</f>
        <v>mg</v>
      </c>
      <c r="N1370" t="str">
        <f>VLOOKUP($A1370,[1]Table!$A$2:$N1516,N$1,FALSE)</f>
        <v>Conversie aritmieën||Ventriculaire en supraventriculaire ritmestoornissen</v>
      </c>
      <c r="O1370" t="str">
        <f>ConcatenateRange(AZ1370:BU1370,"||")</f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>
      <c r="A1371" s="1">
        <v>127868</v>
      </c>
      <c r="B1371" t="str">
        <f>VLOOKUP($A1371,[1]Table!$A$2:$N1516,B$1,FALSE)</f>
        <v>C07AA07</v>
      </c>
      <c r="C1371" t="str">
        <f>VLOOKUP($A1371,[1]Table!$A$2:$N1516,C$1,FALSE)</f>
        <v>BETA-BLOKKERS</v>
      </c>
      <c r="D1371" t="str">
        <f>VLOOKUP($A1371,[1]Table!$A$2:$N1516,D$1,FALSE)</f>
        <v>BETA-BLOKKERS</v>
      </c>
      <c r="E1371" t="str">
        <f>VLOOKUP($A1371,[1]Table!$A$2:$N1516,E$1,FALSE)</f>
        <v>SOTALOL</v>
      </c>
      <c r="F1371" t="str">
        <f>VLOOKUP($A1371,[1]Table!$A$2:$N1516,F$1,FALSE)</f>
        <v>SOTALOL HCL 40 MG TABLET</v>
      </c>
      <c r="G1371" t="str">
        <f>VLOOKUP($A1371,[1]Table!$A$2:$N1516,G$1,FALSE)</f>
        <v>SOTALOL 40MG TABLET</v>
      </c>
      <c r="H1371" t="str">
        <f>VLOOKUP($A1371,[1]Table!$A$2:$N1516,H$1,FALSE)</f>
        <v>tablet</v>
      </c>
      <c r="I1371" t="str">
        <f>VLOOKUP($A1371,[1]Table!$A$2:$N1516,I$1,FALSE)</f>
        <v>or</v>
      </c>
      <c r="J1371">
        <f>VLOOKUP($A1371,[1]Table!$A$2:$N1516,J$1,FALSE)</f>
        <v>40</v>
      </c>
      <c r="K1371" t="str">
        <f>VLOOKUP($A1371,[1]Table!$A$2:$N1516,K$1,FALSE)</f>
        <v>mg/stuk</v>
      </c>
      <c r="L1371">
        <f>VLOOKUP($A1371,[1]Table!$A$2:$N1516,L$1,FALSE)</f>
        <v>40</v>
      </c>
      <c r="M1371" t="str">
        <f>VLOOKUP($A1371,[1]Table!$A$2:$N1516,M$1,FALSE)</f>
        <v>mg</v>
      </c>
      <c r="N1371" t="str">
        <f>VLOOKUP($A1371,[1]Table!$A$2:$N1516,N$1,FALSE)</f>
        <v>Conversie aritmieën||Ventriculaire en supraventriculaire ritmestoornissen</v>
      </c>
      <c r="O1371" t="str">
        <f>ConcatenateRange(AZ1371:BU1371,"||")</f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>
      <c r="A1372" s="1">
        <v>10111</v>
      </c>
      <c r="B1372" t="str">
        <f>VLOOKUP($A1372,[1]Table!$A$2:$N1516,B$1,FALSE)</f>
        <v>C07AA07</v>
      </c>
      <c r="C1372" t="str">
        <f>VLOOKUP($A1372,[1]Table!$A$2:$N1516,C$1,FALSE)</f>
        <v>BETA-BLOKKERS</v>
      </c>
      <c r="D1372" t="str">
        <f>VLOOKUP($A1372,[1]Table!$A$2:$N1516,D$1,FALSE)</f>
        <v>BETA-BLOKKERS</v>
      </c>
      <c r="E1372" t="str">
        <f>VLOOKUP($A1372,[1]Table!$A$2:$N1516,E$1,FALSE)</f>
        <v>SOTALOL</v>
      </c>
      <c r="F1372" t="str">
        <f>VLOOKUP($A1372,[1]Table!$A$2:$N1516,F$1,FALSE)</f>
        <v>SOTALOL HCL 80 MG TABLET</v>
      </c>
      <c r="G1372" t="str">
        <f>VLOOKUP($A1372,[1]Table!$A$2:$N1516,G$1,FALSE)</f>
        <v>SOTALOL 80MG TABLET</v>
      </c>
      <c r="H1372" t="str">
        <f>VLOOKUP($A1372,[1]Table!$A$2:$N1516,H$1,FALSE)</f>
        <v>tablet</v>
      </c>
      <c r="I1372" t="str">
        <f>VLOOKUP($A1372,[1]Table!$A$2:$N1516,I$1,FALSE)</f>
        <v>or</v>
      </c>
      <c r="J1372">
        <f>VLOOKUP($A1372,[1]Table!$A$2:$N1516,J$1,FALSE)</f>
        <v>80</v>
      </c>
      <c r="K1372" t="str">
        <f>VLOOKUP($A1372,[1]Table!$A$2:$N1516,K$1,FALSE)</f>
        <v>mg/stuk</v>
      </c>
      <c r="L1372">
        <f>VLOOKUP($A1372,[1]Table!$A$2:$N1516,L$1,FALSE)</f>
        <v>40</v>
      </c>
      <c r="M1372" t="str">
        <f>VLOOKUP($A1372,[1]Table!$A$2:$N1516,M$1,FALSE)</f>
        <v>mg</v>
      </c>
      <c r="N1372" t="str">
        <f>VLOOKUP($A1372,[1]Table!$A$2:$N1516,N$1,FALSE)</f>
        <v>Conversie aritmieën||Ventriculaire en supraventriculaire ritmestoornissen</v>
      </c>
      <c r="O1372" t="str">
        <f>ConcatenateRange(AZ1372:BU1372,"||")</f>
        <v/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>
      <c r="A1373" s="1">
        <v>128562</v>
      </c>
      <c r="B1373" t="str">
        <f>VLOOKUP($A1373,[1]Table!$A$2:$N1517,B$1,FALSE)</f>
        <v>C03DA01</v>
      </c>
      <c r="C1373" t="str">
        <f>VLOOKUP($A1373,[1]Table!$A$2:$N1517,C$1,FALSE)</f>
        <v>DIURETICA</v>
      </c>
      <c r="D1373" t="str">
        <f>VLOOKUP($A1373,[1]Table!$A$2:$N1517,D$1,FALSE)</f>
        <v>KALIUMSPARENDE MIDDELEN</v>
      </c>
      <c r="E1373" t="str">
        <f>VLOOKUP($A1373,[1]Table!$A$2:$N1517,E$1,FALSE)</f>
        <v>SPIRONOLACTON</v>
      </c>
      <c r="F1373" t="str">
        <f>VLOOKUP($A1373,[1]Table!$A$2:$N1517,F$1,FALSE)</f>
        <v>SPIRONOLACTON 1 MG/ML DRANK MET ACETEM 100 ML</v>
      </c>
      <c r="G1373" t="str">
        <f>VLOOKUP($A1373,[1]Table!$A$2:$N1517,G$1,FALSE)</f>
        <v>SPIRONOLACTON 1MG/ML DRANK</v>
      </c>
      <c r="H1373" t="str">
        <f>VLOOKUP($A1373,[1]Table!$A$2:$N1517,H$1,FALSE)</f>
        <v>drank</v>
      </c>
      <c r="I1373" t="str">
        <f>VLOOKUP($A1373,[1]Table!$A$2:$N1517,I$1,FALSE)</f>
        <v>or</v>
      </c>
      <c r="J1373">
        <f>VLOOKUP($A1373,[1]Table!$A$2:$N1517,J$1,FALSE)</f>
        <v>1</v>
      </c>
      <c r="K1373" t="str">
        <f>VLOOKUP($A1373,[1]Table!$A$2:$N1517,K$1,FALSE)</f>
        <v>mg/ml</v>
      </c>
      <c r="L1373">
        <f>VLOOKUP($A1373,[1]Table!$A$2:$N1517,L$1,FALSE)</f>
        <v>1</v>
      </c>
      <c r="M1373" t="str">
        <f>VLOOKUP($A1373,[1]Table!$A$2:$N1517,M$1,FALSE)</f>
        <v>mg</v>
      </c>
      <c r="N1373" t="str">
        <f>VLOOKUP($A1373,[1]Table!$A$2:$N1517,N$1,FALSE)</f>
        <v>Diurese</v>
      </c>
      <c r="O1373" t="str">
        <f>ConcatenateRange(AZ1373:BU1373,"||")</f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>
      <c r="A1374" s="1">
        <v>11770</v>
      </c>
      <c r="B1374" t="str">
        <f>VLOOKUP($A1374,[1]Table!$A$2:$N1518,B$1,FALSE)</f>
        <v>C03DA01</v>
      </c>
      <c r="C1374" t="str">
        <f>VLOOKUP($A1374,[1]Table!$A$2:$N1518,C$1,FALSE)</f>
        <v>DIURETICA</v>
      </c>
      <c r="D1374" t="str">
        <f>VLOOKUP($A1374,[1]Table!$A$2:$N1518,D$1,FALSE)</f>
        <v>KALIUMSPARENDE MIDDELEN</v>
      </c>
      <c r="E1374" t="str">
        <f>VLOOKUP($A1374,[1]Table!$A$2:$N1518,E$1,FALSE)</f>
        <v>SPIRONOLACTON</v>
      </c>
      <c r="F1374" t="str">
        <f>VLOOKUP($A1374,[1]Table!$A$2:$N1518,F$1,FALSE)</f>
        <v>SPIRONOLACTON 25 MG TABLET</v>
      </c>
      <c r="G1374" t="str">
        <f>VLOOKUP($A1374,[1]Table!$A$2:$N1518,G$1,FALSE)</f>
        <v>SPIRONOLACTON 25MG TABLET</v>
      </c>
      <c r="H1374" t="str">
        <f>VLOOKUP($A1374,[1]Table!$A$2:$N1518,H$1,FALSE)</f>
        <v>tablet</v>
      </c>
      <c r="I1374" t="str">
        <f>VLOOKUP($A1374,[1]Table!$A$2:$N1518,I$1,FALSE)</f>
        <v>or</v>
      </c>
      <c r="J1374">
        <f>VLOOKUP($A1374,[1]Table!$A$2:$N1518,J$1,FALSE)</f>
        <v>25</v>
      </c>
      <c r="K1374" t="str">
        <f>VLOOKUP($A1374,[1]Table!$A$2:$N1518,K$1,FALSE)</f>
        <v>mg/stuk</v>
      </c>
      <c r="L1374">
        <f>VLOOKUP($A1374,[1]Table!$A$2:$N1518,L$1,FALSE)</f>
        <v>25</v>
      </c>
      <c r="M1374" t="str">
        <f>VLOOKUP($A1374,[1]Table!$A$2:$N1518,M$1,FALSE)</f>
        <v>mg</v>
      </c>
      <c r="N1374" t="str">
        <f>VLOOKUP($A1374,[1]Table!$A$2:$N1518,N$1,FALSE)</f>
        <v>Diurese</v>
      </c>
      <c r="O1374" t="str">
        <f>ConcatenateRange(AZ1374:BU1374,"||")</f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>
      <c r="A1375" s="1">
        <v>38520</v>
      </c>
      <c r="B1375" t="str">
        <f>VLOOKUP($A1375,[1]Table!$A$2:$N1518,B$1,FALSE)</f>
        <v>C03DA01</v>
      </c>
      <c r="C1375" t="str">
        <f>VLOOKUP($A1375,[1]Table!$A$2:$N1518,C$1,FALSE)</f>
        <v>DIURETICA</v>
      </c>
      <c r="D1375" t="str">
        <f>VLOOKUP($A1375,[1]Table!$A$2:$N1518,D$1,FALSE)</f>
        <v>KALIUMSPARENDE MIDDELEN</v>
      </c>
      <c r="E1375" t="str">
        <f>VLOOKUP($A1375,[1]Table!$A$2:$N1518,E$1,FALSE)</f>
        <v>SPIRONOLACTON</v>
      </c>
      <c r="F1375" t="str">
        <f>VLOOKUP($A1375,[1]Table!$A$2:$N1518,F$1,FALSE)</f>
        <v>SPIRONOLACTON 50 MG TABLET</v>
      </c>
      <c r="G1375" t="str">
        <f>VLOOKUP($A1375,[1]Table!$A$2:$N1518,G$1,FALSE)</f>
        <v>SPIRONOLACTON 50MG TABLET</v>
      </c>
      <c r="H1375" t="str">
        <f>VLOOKUP($A1375,[1]Table!$A$2:$N1518,H$1,FALSE)</f>
        <v>tablet</v>
      </c>
      <c r="I1375" t="str">
        <f>VLOOKUP($A1375,[1]Table!$A$2:$N1518,I$1,FALSE)</f>
        <v>or</v>
      </c>
      <c r="J1375">
        <f>VLOOKUP($A1375,[1]Table!$A$2:$N1518,J$1,FALSE)</f>
        <v>50</v>
      </c>
      <c r="K1375" t="str">
        <f>VLOOKUP($A1375,[1]Table!$A$2:$N1518,K$1,FALSE)</f>
        <v>mg/stuk</v>
      </c>
      <c r="L1375">
        <f>VLOOKUP($A1375,[1]Table!$A$2:$N1518,L$1,FALSE)</f>
        <v>50</v>
      </c>
      <c r="M1375" t="str">
        <f>VLOOKUP($A1375,[1]Table!$A$2:$N1518,M$1,FALSE)</f>
        <v>mg</v>
      </c>
      <c r="N1375" t="str">
        <f>VLOOKUP($A1375,[1]Table!$A$2:$N1518,N$1,FALSE)</f>
        <v>Diurese</v>
      </c>
      <c r="O1375" t="str">
        <f>ConcatenateRange(AZ1375:BU1375,"||")</f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>
      <c r="A1376" s="1">
        <v>12009</v>
      </c>
      <c r="B1376" t="str">
        <f>VLOOKUP($A1376,[1]Table!$A$2:$N1518,B$1,FALSE)</f>
        <v>C03DA01</v>
      </c>
      <c r="C1376" t="str">
        <f>VLOOKUP($A1376,[1]Table!$A$2:$N1518,C$1,FALSE)</f>
        <v>DIURETICA</v>
      </c>
      <c r="D1376" t="str">
        <f>VLOOKUP($A1376,[1]Table!$A$2:$N1518,D$1,FALSE)</f>
        <v>KALIUMSPARENDE MIDDELEN</v>
      </c>
      <c r="E1376" t="str">
        <f>VLOOKUP($A1376,[1]Table!$A$2:$N1518,E$1,FALSE)</f>
        <v>SPIRONOLACTON</v>
      </c>
      <c r="F1376" t="str">
        <f>VLOOKUP($A1376,[1]Table!$A$2:$N1518,F$1,FALSE)</f>
        <v>SPIRONOLACTON  100 MG TABLET</v>
      </c>
      <c r="G1376" t="str">
        <f>VLOOKUP($A1376,[1]Table!$A$2:$N1518,G$1,FALSE)</f>
        <v>SPIRONOLACTON 100MG TABLET</v>
      </c>
      <c r="H1376" t="str">
        <f>VLOOKUP($A1376,[1]Table!$A$2:$N1518,H$1,FALSE)</f>
        <v>tablet</v>
      </c>
      <c r="I1376" t="str">
        <f>VLOOKUP($A1376,[1]Table!$A$2:$N1518,I$1,FALSE)</f>
        <v>or</v>
      </c>
      <c r="J1376">
        <f>VLOOKUP($A1376,[1]Table!$A$2:$N1518,J$1,FALSE)</f>
        <v>100</v>
      </c>
      <c r="K1376" t="str">
        <f>VLOOKUP($A1376,[1]Table!$A$2:$N1518,K$1,FALSE)</f>
        <v>mg/stuk</v>
      </c>
      <c r="L1376">
        <f>VLOOKUP($A1376,[1]Table!$A$2:$N1518,L$1,FALSE)</f>
        <v>50</v>
      </c>
      <c r="M1376" t="str">
        <f>VLOOKUP($A1376,[1]Table!$A$2:$N1518,M$1,FALSE)</f>
        <v>mg</v>
      </c>
      <c r="N1376" t="str">
        <f>VLOOKUP($A1376,[1]Table!$A$2:$N1518,N$1,FALSE)</f>
        <v>Diurese</v>
      </c>
      <c r="O1376" t="str">
        <f>ConcatenateRange(AZ1376:BU1376,"||")</f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>
      <c r="A1377" s="1">
        <v>99384</v>
      </c>
      <c r="B1377" t="str">
        <f>VLOOKUP($A1377,[1]Table!$A$2:$N1519,B$1,FALSE)</f>
        <v>J05AF04</v>
      </c>
      <c r="C1377" t="str">
        <f>VLOOKUP($A1377,[1]Table!$A$2:$N1519,C$1,FALSE)</f>
        <v>ANTIVIRALE MIDDELEN VOOR SYSTEMISCH GEBRUIK</v>
      </c>
      <c r="D1377" t="str">
        <f>VLOOKUP($A1377,[1]Table!$A$2:$N1519,D$1,FALSE)</f>
        <v>DIRECT WERKENDE ANTIVIRALE MIDDELEN</v>
      </c>
      <c r="E1377" t="str">
        <f>VLOOKUP($A1377,[1]Table!$A$2:$N1519,E$1,FALSE)</f>
        <v>STAVUDINE</v>
      </c>
      <c r="F1377" t="str">
        <f>VLOOKUP($A1377,[1]Table!$A$2:$N1519,F$1,FALSE)</f>
        <v>ZERIT 30 MG CAPSULE</v>
      </c>
      <c r="G1377" t="str">
        <f>VLOOKUP($A1377,[1]Table!$A$2:$N1519,G$1,FALSE)</f>
        <v>STAVUDINE 30MG CAPSULE</v>
      </c>
      <c r="H1377" t="str">
        <f>VLOOKUP($A1377,[1]Table!$A$2:$N1519,H$1,FALSE)</f>
        <v>capsule</v>
      </c>
      <c r="I1377" t="str">
        <f>VLOOKUP($A1377,[1]Table!$A$2:$N1519,I$1,FALSE)</f>
        <v>or</v>
      </c>
      <c r="J1377">
        <f>VLOOKUP($A1377,[1]Table!$A$2:$N1519,J$1,FALSE)</f>
        <v>30</v>
      </c>
      <c r="K1377" t="str">
        <f>VLOOKUP($A1377,[1]Table!$A$2:$N1519,K$1,FALSE)</f>
        <v>mg/stuk</v>
      </c>
      <c r="L1377">
        <f>VLOOKUP($A1377,[1]Table!$A$2:$N1519,L$1,FALSE)</f>
        <v>30</v>
      </c>
      <c r="M1377" t="str">
        <f>VLOOKUP($A1377,[1]Table!$A$2:$N1519,M$1,FALSE)</f>
        <v>mg</v>
      </c>
      <c r="N1377" t="str">
        <f>VLOOKUP($A1377,[1]Table!$A$2:$N1519,N$1,FALSE)</f>
        <v>HIV</v>
      </c>
      <c r="O1377" t="str">
        <f>ConcatenateRange(AZ1377:BU1377,"||")</f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>
      <c r="A1378" s="1">
        <v>99392</v>
      </c>
      <c r="B1378" t="str">
        <f>VLOOKUP($A1378,[1]Table!$A$2:$N1520,B$1,FALSE)</f>
        <v>J05AF04</v>
      </c>
      <c r="C1378" t="str">
        <f>VLOOKUP($A1378,[1]Table!$A$2:$N1520,C$1,FALSE)</f>
        <v>ANTIVIRALE MIDDELEN VOOR SYSTEMISCH GEBRUIK</v>
      </c>
      <c r="D1378" t="str">
        <f>VLOOKUP($A1378,[1]Table!$A$2:$N1520,D$1,FALSE)</f>
        <v>DIRECT WERKENDE ANTIVIRALE MIDDELEN</v>
      </c>
      <c r="E1378" t="str">
        <f>VLOOKUP($A1378,[1]Table!$A$2:$N1520,E$1,FALSE)</f>
        <v>STAVUDINE</v>
      </c>
      <c r="F1378" t="str">
        <f>VLOOKUP($A1378,[1]Table!$A$2:$N1520,F$1,FALSE)</f>
        <v>ZERIT 40 MG CAPSULE</v>
      </c>
      <c r="G1378" t="str">
        <f>VLOOKUP($A1378,[1]Table!$A$2:$N1520,G$1,FALSE)</f>
        <v>STAVUDINE 40MG CAPSULE</v>
      </c>
      <c r="H1378" t="str">
        <f>VLOOKUP($A1378,[1]Table!$A$2:$N1520,H$1,FALSE)</f>
        <v>capsule</v>
      </c>
      <c r="I1378" t="str">
        <f>VLOOKUP($A1378,[1]Table!$A$2:$N1520,I$1,FALSE)</f>
        <v>or</v>
      </c>
      <c r="J1378">
        <f>VLOOKUP($A1378,[1]Table!$A$2:$N1520,J$1,FALSE)</f>
        <v>40</v>
      </c>
      <c r="K1378" t="str">
        <f>VLOOKUP($A1378,[1]Table!$A$2:$N1520,K$1,FALSE)</f>
        <v>mg/stuk</v>
      </c>
      <c r="L1378">
        <f>VLOOKUP($A1378,[1]Table!$A$2:$N1520,L$1,FALSE)</f>
        <v>40</v>
      </c>
      <c r="M1378" t="str">
        <f>VLOOKUP($A1378,[1]Table!$A$2:$N1520,M$1,FALSE)</f>
        <v>mg</v>
      </c>
      <c r="N1378" t="str">
        <f>VLOOKUP($A1378,[1]Table!$A$2:$N1520,N$1,FALSE)</f>
        <v>HIV</v>
      </c>
      <c r="O1378" t="str">
        <f>ConcatenateRange(AZ1378:BU1378,"||")</f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>
      <c r="A1379" s="1">
        <v>101303</v>
      </c>
      <c r="B1379" t="str">
        <f>VLOOKUP($A1379,[1]Table!$A$2:$N1521,B$1,FALSE)</f>
        <v>J05AF04</v>
      </c>
      <c r="C1379" t="str">
        <f>VLOOKUP($A1379,[1]Table!$A$2:$N1521,C$1,FALSE)</f>
        <v>ANTIVIRALE MIDDELEN VOOR SYSTEMISCH GEBRUIK</v>
      </c>
      <c r="D1379" t="str">
        <f>VLOOKUP($A1379,[1]Table!$A$2:$N1521,D$1,FALSE)</f>
        <v>DIRECT WERKENDE ANTIVIRALE MIDDELEN</v>
      </c>
      <c r="E1379" t="str">
        <f>VLOOKUP($A1379,[1]Table!$A$2:$N1521,E$1,FALSE)</f>
        <v>STAVUDINE</v>
      </c>
      <c r="F1379" t="str">
        <f>VLOOKUP($A1379,[1]Table!$A$2:$N1521,F$1,FALSE)</f>
        <v>ZERIT 1MG/ML POEDER VOOR DRANK</v>
      </c>
      <c r="G1379" t="str">
        <f>VLOOKUP($A1379,[1]Table!$A$2:$N1521,G$1,FALSE)</f>
        <v>STAVUDINE 1MG/ML DRANK</v>
      </c>
      <c r="H1379" t="str">
        <f>VLOOKUP($A1379,[1]Table!$A$2:$N1521,H$1,FALSE)</f>
        <v>drank</v>
      </c>
      <c r="I1379" t="str">
        <f>VLOOKUP($A1379,[1]Table!$A$2:$N1521,I$1,FALSE)</f>
        <v>or</v>
      </c>
      <c r="J1379">
        <f>VLOOKUP($A1379,[1]Table!$A$2:$N1521,J$1,FALSE)</f>
        <v>1</v>
      </c>
      <c r="K1379" t="str">
        <f>VLOOKUP($A1379,[1]Table!$A$2:$N1521,K$1,FALSE)</f>
        <v>mg/ml</v>
      </c>
      <c r="L1379">
        <f>VLOOKUP($A1379,[1]Table!$A$2:$N1521,L$1,FALSE)</f>
        <v>1</v>
      </c>
      <c r="M1379" t="str">
        <f>VLOOKUP($A1379,[1]Table!$A$2:$N1521,M$1,FALSE)</f>
        <v>mg</v>
      </c>
      <c r="N1379" t="str">
        <f>VLOOKUP($A1379,[1]Table!$A$2:$N1521,N$1,FALSE)</f>
        <v>HIV</v>
      </c>
      <c r="O1379" t="str">
        <f>ConcatenateRange(AZ1379:BU1379,"||")</f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>
      <c r="A1380" s="1">
        <v>130052</v>
      </c>
      <c r="B1380" t="str">
        <f>VLOOKUP($A1380,[1]Table!$A$2:$N1521,B$1,FALSE)</f>
        <v>B01AD01</v>
      </c>
      <c r="C1380" t="str">
        <f>VLOOKUP($A1380,[1]Table!$A$2:$N1521,C$1,FALSE)</f>
        <v>ANTITHROMBOTICA</v>
      </c>
      <c r="D1380" t="str">
        <f>VLOOKUP($A1380,[1]Table!$A$2:$N1521,D$1,FALSE)</f>
        <v>ANTITHROMBOTICA</v>
      </c>
      <c r="E1380" t="str">
        <f>VLOOKUP($A1380,[1]Table!$A$2:$N1521,E$1,FALSE)</f>
        <v>STREPTOKINASE</v>
      </c>
      <c r="F1380" t="str">
        <f>VLOOKUP($A1380,[1]Table!$A$2:$N1521,F$1,FALSE)</f>
        <v>STREPTASE 250.000E INFPDR</v>
      </c>
      <c r="G1380" t="str">
        <f>VLOOKUP($A1380,[1]Table!$A$2:$N1521,G$1,FALSE)</f>
        <v>STREPTOKI 250.000IE INJPDR</v>
      </c>
      <c r="H1380" t="str">
        <f>VLOOKUP($A1380,[1]Table!$A$2:$N1521,H$1,FALSE)</f>
        <v>poeder voor injectievloeistof</v>
      </c>
      <c r="I1380" t="str">
        <f>VLOOKUP($A1380,[1]Table!$A$2:$N1521,I$1,FALSE)</f>
        <v>iv</v>
      </c>
      <c r="J1380">
        <f>VLOOKUP($A1380,[1]Table!$A$2:$N1521,J$1,FALSE)</f>
        <v>250000</v>
      </c>
      <c r="K1380" t="str">
        <f>VLOOKUP($A1380,[1]Table!$A$2:$N1521,K$1,FALSE)</f>
        <v>IE/stuk</v>
      </c>
      <c r="L1380">
        <f>VLOOKUP($A1380,[1]Table!$A$2:$N1521,L$1,FALSE)</f>
        <v>250000</v>
      </c>
      <c r="M1380" t="str">
        <f>VLOOKUP($A1380,[1]Table!$A$2:$N1521,M$1,FALSE)</f>
        <v>IE</v>
      </c>
      <c r="N1380" t="str">
        <f>VLOOKUP($A1380,[1]Table!$A$2:$N1521,N$1,FALSE)</f>
        <v>Trombolyse</v>
      </c>
      <c r="O1380" t="str">
        <f>ConcatenateRange(AZ1380:BU1380,"||")</f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>
      <c r="A1381" s="1">
        <v>43249</v>
      </c>
      <c r="B1381" t="str">
        <f>VLOOKUP($A1381,[1]Table!$A$2:$N1522,B$1,FALSE)</f>
        <v>A02BX02</v>
      </c>
      <c r="C1381" t="str">
        <f>VLOOKUP($A1381,[1]Table!$A$2:$N1522,C$1,FALSE)</f>
        <v>MIDDELEN BIJ ZUURGERELATEERDE AFWIJKINGEN</v>
      </c>
      <c r="D1381" t="str">
        <f>VLOOKUP($A1381,[1]Table!$A$2:$N1522,D$1,FALSE)</f>
        <v>MIDDELEN BIJ ULCUS PEPTICUM EN GASTRO-OESOFAGEALE REFLUX</v>
      </c>
      <c r="E1381" t="str">
        <f>VLOOKUP($A1381,[1]Table!$A$2:$N1522,E$1,FALSE)</f>
        <v>SUCRALFAAT</v>
      </c>
      <c r="F1381" t="str">
        <f>VLOOKUP($A1381,[1]Table!$A$2:$N1522,F$1,FALSE)</f>
        <v>SUCRALFAAT 1 G GRANULAAT IN SACHET</v>
      </c>
      <c r="G1381" t="str">
        <f>VLOOKUP($A1381,[1]Table!$A$2:$N1522,G$1,FALSE)</f>
        <v>SUCRALFAAT 1G GRANULAAT</v>
      </c>
      <c r="H1381" t="str">
        <f>VLOOKUP($A1381,[1]Table!$A$2:$N1522,H$1,FALSE)</f>
        <v>granulaat</v>
      </c>
      <c r="I1381" t="str">
        <f>VLOOKUP($A1381,[1]Table!$A$2:$N1522,I$1,FALSE)</f>
        <v>or</v>
      </c>
      <c r="J1381">
        <f>VLOOKUP($A1381,[1]Table!$A$2:$N1522,J$1,FALSE)</f>
        <v>1</v>
      </c>
      <c r="K1381" t="str">
        <f>VLOOKUP($A1381,[1]Table!$A$2:$N1522,K$1,FALSE)</f>
        <v>gr/stuk</v>
      </c>
      <c r="L1381">
        <f>VLOOKUP($A1381,[1]Table!$A$2:$N1522,L$1,FALSE)</f>
        <v>1</v>
      </c>
      <c r="M1381" t="str">
        <f>VLOOKUP($A1381,[1]Table!$A$2:$N1522,M$1,FALSE)</f>
        <v>gr</v>
      </c>
      <c r="N1381" t="str">
        <f>VLOOKUP($A1381,[1]Table!$A$2:$N1522,N$1,FALSE)</f>
        <v xml:space="preserve">Reflux oesofagitis, profylaxe van stress- en recidiverende ulcera </v>
      </c>
      <c r="O1381" t="str">
        <f>ConcatenateRange(AZ1381:BU1381,"||")</f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>
      <c r="A1382" s="1">
        <v>59544</v>
      </c>
      <c r="B1382" t="str">
        <f>VLOOKUP($A1382,[1]Table!$A$2:$N1523,B$1,FALSE)</f>
        <v>A02BX02</v>
      </c>
      <c r="C1382" t="str">
        <f>VLOOKUP($A1382,[1]Table!$A$2:$N1523,C$1,FALSE)</f>
        <v>MIDDELEN BIJ ZUURGERELATEERDE AFWIJKINGEN</v>
      </c>
      <c r="D1382" t="str">
        <f>VLOOKUP($A1382,[1]Table!$A$2:$N1523,D$1,FALSE)</f>
        <v>MIDDELEN BIJ ULCUS PEPTICUM EN GASTRO-OESOFAGEALE REFLUX</v>
      </c>
      <c r="E1382" t="str">
        <f>VLOOKUP($A1382,[1]Table!$A$2:$N1523,E$1,FALSE)</f>
        <v>SUCRALFAAT</v>
      </c>
      <c r="F1382" t="str">
        <f>VLOOKUP($A1382,[1]Table!$A$2:$N1523,F$1,FALSE)</f>
        <v>SUCRALFAAT 1 G/5ML SUSPENSIE IN SACHET</v>
      </c>
      <c r="G1382" t="str">
        <f>VLOOKUP($A1382,[1]Table!$A$2:$N1523,G$1,FALSE)</f>
        <v>SUCRALFAAT 1G SUSP ORAAL</v>
      </c>
      <c r="H1382" t="str">
        <f>VLOOKUP($A1382,[1]Table!$A$2:$N1523,H$1,FALSE)</f>
        <v>suspensie voor oraal gebruik</v>
      </c>
      <c r="I1382" t="str">
        <f>VLOOKUP($A1382,[1]Table!$A$2:$N1523,I$1,FALSE)</f>
        <v>or</v>
      </c>
      <c r="J1382">
        <f>VLOOKUP($A1382,[1]Table!$A$2:$N1523,J$1,FALSE)</f>
        <v>1</v>
      </c>
      <c r="K1382" t="str">
        <f>VLOOKUP($A1382,[1]Table!$A$2:$N1523,K$1,FALSE)</f>
        <v>gr/stuk</v>
      </c>
      <c r="L1382">
        <f>VLOOKUP($A1382,[1]Table!$A$2:$N1523,L$1,FALSE)</f>
        <v>1</v>
      </c>
      <c r="M1382" t="str">
        <f>VLOOKUP($A1382,[1]Table!$A$2:$N1523,M$1,FALSE)</f>
        <v>gr</v>
      </c>
      <c r="N1382" t="str">
        <f>VLOOKUP($A1382,[1]Table!$A$2:$N1523,N$1,FALSE)</f>
        <v xml:space="preserve">Reflux oesofagitis, profylaxe van stress- en recidiverende ulcera </v>
      </c>
      <c r="O1382" t="str">
        <f>ConcatenateRange(AZ1382:BU1382,"||")</f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>
      <c r="A1383" s="1">
        <v>88242</v>
      </c>
      <c r="B1383" t="str">
        <f>VLOOKUP($A1383,[1]Table!$A$2:$N1524,B$1,FALSE)</f>
        <v>N01AH03</v>
      </c>
      <c r="C1383" t="str">
        <f>VLOOKUP($A1383,[1]Table!$A$2:$N1524,C$1,FALSE)</f>
        <v>ANAESTHETICA</v>
      </c>
      <c r="D1383" t="str">
        <f>VLOOKUP($A1383,[1]Table!$A$2:$N1524,D$1,FALSE)</f>
        <v>ALGEMENE ANAESTHETICA</v>
      </c>
      <c r="E1383" t="str">
        <f>VLOOKUP($A1383,[1]Table!$A$2:$N1524,E$1,FALSE)</f>
        <v>SUFENTANIL</v>
      </c>
      <c r="F1383" t="str">
        <f>VLOOKUP($A1383,[1]Table!$A$2:$N1524,F$1,FALSE)</f>
        <v>SUFENTANIL 5 MICROG/ML AMPUL 10ML</v>
      </c>
      <c r="G1383" t="str">
        <f>VLOOKUP($A1383,[1]Table!$A$2:$N1524,G$1,FALSE)</f>
        <v>SUFENTANIL 5UG/ML INJVLST</v>
      </c>
      <c r="H1383" t="str">
        <f>VLOOKUP($A1383,[1]Table!$A$2:$N1524,H$1,FALSE)</f>
        <v>injectievloeistof</v>
      </c>
      <c r="I1383" t="str">
        <f>VLOOKUP($A1383,[1]Table!$A$2:$N1524,I$1,FALSE)</f>
        <v>iv||epidur</v>
      </c>
      <c r="J1383">
        <f>VLOOKUP($A1383,[1]Table!$A$2:$N1524,J$1,FALSE)</f>
        <v>5</v>
      </c>
      <c r="K1383" t="str">
        <f>VLOOKUP($A1383,[1]Table!$A$2:$N1524,K$1,FALSE)</f>
        <v>mcg/ml</v>
      </c>
      <c r="L1383">
        <f>VLOOKUP($A1383,[1]Table!$A$2:$N1524,L$1,FALSE)</f>
        <v>5</v>
      </c>
      <c r="M1383" t="str">
        <f>VLOOKUP($A1383,[1]Table!$A$2:$N1524,M$1,FALSE)</f>
        <v>mcg</v>
      </c>
      <c r="N1383" t="str">
        <f>VLOOKUP($A1383,[1]Table!$A$2:$N1524,N$1,FALSE)</f>
        <v>Pijnbestrijding, anesthesie</v>
      </c>
      <c r="O1383" t="str">
        <f>ConcatenateRange(AZ1383:BU1383,"||")</f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>
      <c r="A1384" s="1">
        <v>88234</v>
      </c>
      <c r="B1384" t="str">
        <f>VLOOKUP($A1384,[1]Table!$A$2:$N1525,B$1,FALSE)</f>
        <v>N01AH03</v>
      </c>
      <c r="C1384" t="str">
        <f>VLOOKUP($A1384,[1]Table!$A$2:$N1525,C$1,FALSE)</f>
        <v>ANAESTHETICA</v>
      </c>
      <c r="D1384" t="str">
        <f>VLOOKUP($A1384,[1]Table!$A$2:$N1525,D$1,FALSE)</f>
        <v>ALGEMENE ANAESTHETICA</v>
      </c>
      <c r="E1384" t="str">
        <f>VLOOKUP($A1384,[1]Table!$A$2:$N1525,E$1,FALSE)</f>
        <v>SUFENTANIL</v>
      </c>
      <c r="F1384" t="str">
        <f>VLOOKUP($A1384,[1]Table!$A$2:$N1525,F$1,FALSE)</f>
        <v>SUFENTA FORTE 50 MICROG/ML AMPUL 1ML</v>
      </c>
      <c r="G1384" t="str">
        <f>VLOOKUP($A1384,[1]Table!$A$2:$N1525,G$1,FALSE)</f>
        <v>SUFENTANIL 50UG/ML INJVLST</v>
      </c>
      <c r="H1384" t="str">
        <f>VLOOKUP($A1384,[1]Table!$A$2:$N1525,H$1,FALSE)</f>
        <v>injectievloeistof</v>
      </c>
      <c r="I1384" t="str">
        <f>VLOOKUP($A1384,[1]Table!$A$2:$N1525,I$1,FALSE)</f>
        <v>iv||epidur</v>
      </c>
      <c r="J1384">
        <f>VLOOKUP($A1384,[1]Table!$A$2:$N1525,J$1,FALSE)</f>
        <v>50</v>
      </c>
      <c r="K1384" t="str">
        <f>VLOOKUP($A1384,[1]Table!$A$2:$N1525,K$1,FALSE)</f>
        <v>mcg/ml</v>
      </c>
      <c r="L1384">
        <f>VLOOKUP($A1384,[1]Table!$A$2:$N1525,L$1,FALSE)</f>
        <v>50</v>
      </c>
      <c r="M1384" t="str">
        <f>VLOOKUP($A1384,[1]Table!$A$2:$N1525,M$1,FALSE)</f>
        <v>mcg</v>
      </c>
      <c r="N1384" t="str">
        <f>VLOOKUP($A1384,[1]Table!$A$2:$N1525,N$1,FALSE)</f>
        <v>Pijnbestrijding, anesthesie</v>
      </c>
      <c r="O1384" t="str">
        <f>ConcatenateRange(AZ1384:BU1384,"||")</f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>
      <c r="A1385" s="1">
        <v>129968</v>
      </c>
      <c r="B1385" t="str">
        <f>VLOOKUP($A1385,[1]Table!$A$2:$N1526,B$1,FALSE)</f>
        <v>V03AB35</v>
      </c>
      <c r="C1385" t="str">
        <f>VLOOKUP($A1385,[1]Table!$A$2:$N1526,C$1,FALSE)</f>
        <v>ALLE OVERIGE THERAPEUTISCHE MIDDELEN</v>
      </c>
      <c r="D1385" t="str">
        <f>VLOOKUP($A1385,[1]Table!$A$2:$N1526,D$1,FALSE)</f>
        <v>ALLE OVERIGE THERAPEUTISCHE MIDDELEN</v>
      </c>
      <c r="E1385" t="str">
        <f>VLOOKUP($A1385,[1]Table!$A$2:$N1526,E$1,FALSE)</f>
        <v>SUGAMMADEX</v>
      </c>
      <c r="F1385" t="str">
        <f>VLOOKUP($A1385,[1]Table!$A$2:$N1526,F$1,FALSE)</f>
        <v>BRIDION 100 MG/ML FLACON 2 ML INJVLS</v>
      </c>
      <c r="G1385" t="str">
        <f>VLOOKUP($A1385,[1]Table!$A$2:$N1526,G$1,FALSE)</f>
        <v>SUGAMMADEX 100MG/ML INJVLST</v>
      </c>
      <c r="H1385" t="str">
        <f>VLOOKUP($A1385,[1]Table!$A$2:$N1526,H$1,FALSE)</f>
        <v>injectievloeistof</v>
      </c>
      <c r="I1385" t="str">
        <f>VLOOKUP($A1385,[1]Table!$A$2:$N1526,I$1,FALSE)</f>
        <v>iv</v>
      </c>
      <c r="J1385">
        <f>VLOOKUP($A1385,[1]Table!$A$2:$N1526,J$1,FALSE)</f>
        <v>100</v>
      </c>
      <c r="K1385" t="str">
        <f>VLOOKUP($A1385,[1]Table!$A$2:$N1526,K$1,FALSE)</f>
        <v>mg/ml</v>
      </c>
      <c r="L1385">
        <f>VLOOKUP($A1385,[1]Table!$A$2:$N1526,L$1,FALSE)</f>
        <v>100</v>
      </c>
      <c r="M1385" t="str">
        <f>VLOOKUP($A1385,[1]Table!$A$2:$N1526,M$1,FALSE)</f>
        <v>mg</v>
      </c>
      <c r="N1385" t="str">
        <f>VLOOKUP($A1385,[1]Table!$A$2:$N1526,N$1,FALSE)</f>
        <v>Standaardopheffing van een door rocuronium geïnduceerde neuromusculaire blokkade</v>
      </c>
      <c r="O1385" t="str">
        <f>ConcatenateRange(AZ1385:BU1385,"||")</f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>
      <c r="A1386" s="1">
        <v>100951</v>
      </c>
      <c r="B1386" t="str">
        <f>VLOOKUP($A1386,[1]Table!$A$2:$N1527,B$1,FALSE)</f>
        <v>D01AC09</v>
      </c>
      <c r="C1386" t="str">
        <f>VLOOKUP($A1386,[1]Table!$A$2:$N1527,C$1,FALSE)</f>
        <v>ANTIMYCOTICA VOOR DERMATOLOGISCH GEBRUIK</v>
      </c>
      <c r="D1386" t="str">
        <f>VLOOKUP($A1386,[1]Table!$A$2:$N1527,D$1,FALSE)</f>
        <v>ANTIMYCOTICA, LOKALE</v>
      </c>
      <c r="E1386" t="str">
        <f>VLOOKUP($A1386,[1]Table!$A$2:$N1527,E$1,FALSE)</f>
        <v>SULCONAZOL</v>
      </c>
      <c r="F1386" t="str">
        <f>VLOOKUP($A1386,[1]Table!$A$2:$N1527,F$1,FALSE)</f>
        <v>MYK 1 10MG/ML LOTION 20 ML</v>
      </c>
      <c r="G1386" t="str">
        <f>VLOOKUP($A1386,[1]Table!$A$2:$N1527,G$1,FALSE)</f>
        <v>SULCONAZOL 10MG/ML OPL</v>
      </c>
      <c r="H1386" t="str">
        <f>VLOOKUP($A1386,[1]Table!$A$2:$N1527,H$1,FALSE)</f>
        <v>oplossing voor cutaan gebruik</v>
      </c>
      <c r="I1386" t="str">
        <f>VLOOKUP($A1386,[1]Table!$A$2:$N1527,I$1,FALSE)</f>
        <v>cutaan</v>
      </c>
      <c r="J1386">
        <f>VLOOKUP($A1386,[1]Table!$A$2:$N1527,J$1,FALSE)</f>
        <v>10</v>
      </c>
      <c r="K1386" t="str">
        <f>VLOOKUP($A1386,[1]Table!$A$2:$N1527,K$1,FALSE)</f>
        <v>mg/ml</v>
      </c>
      <c r="L1386">
        <f>VLOOKUP($A1386,[1]Table!$A$2:$N1527,L$1,FALSE)</f>
        <v>10</v>
      </c>
      <c r="M1386" t="str">
        <f>VLOOKUP($A1386,[1]Table!$A$2:$N1527,M$1,FALSE)</f>
        <v>mg</v>
      </c>
      <c r="N1386" t="str">
        <f>VLOOKUP($A1386,[1]Table!$A$2:$N1527,N$1,FALSE)</f>
        <v>Schimmelinfecties van de huid</v>
      </c>
      <c r="O1386" t="str">
        <f>ConcatenateRange(AZ1386:BU1386,"||")</f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>
      <c r="A1387" s="1">
        <v>19968</v>
      </c>
      <c r="B1387" t="str">
        <f>VLOOKUP($A1387,[1]Table!$A$2:$N1528,B$1,FALSE)</f>
        <v>A07EC01</v>
      </c>
      <c r="C1387" t="str">
        <f>VLOOKUP($A1387,[1]Table!$A$2:$N1528,C$1,FALSE)</f>
        <v>ANTIDIARRHOICA, ANTI-INFLAMM./ANTIMICROBIELE DARMMIDDELEN</v>
      </c>
      <c r="D1387" t="str">
        <f>VLOOKUP($A1387,[1]Table!$A$2:$N1528,D$1,FALSE)</f>
        <v>ANTI-INFLAMMATOIRE DARMMIDDELEN</v>
      </c>
      <c r="E1387" t="str">
        <f>VLOOKUP($A1387,[1]Table!$A$2:$N1528,E$1,FALSE)</f>
        <v>SULFASALAZINE</v>
      </c>
      <c r="F1387" t="str">
        <f>VLOOKUP($A1387,[1]Table!$A$2:$N1528,F$1,FALSE)</f>
        <v>SALAZOPYRINE 500 MG TABLET MSR</v>
      </c>
      <c r="G1387" t="str">
        <f>VLOOKUP($A1387,[1]Table!$A$2:$N1528,G$1,FALSE)</f>
        <v>SULFASALAZINE 500MG TAB MSR</v>
      </c>
      <c r="H1387" t="str">
        <f>VLOOKUP($A1387,[1]Table!$A$2:$N1528,H$1,FALSE)</f>
        <v>maagsapresistente tablet</v>
      </c>
      <c r="I1387" t="str">
        <f>VLOOKUP($A1387,[1]Table!$A$2:$N1528,I$1,FALSE)</f>
        <v>or</v>
      </c>
      <c r="J1387">
        <f>VLOOKUP($A1387,[1]Table!$A$2:$N1528,J$1,FALSE)</f>
        <v>500</v>
      </c>
      <c r="K1387" t="str">
        <f>VLOOKUP($A1387,[1]Table!$A$2:$N1528,K$1,FALSE)</f>
        <v>mg/stuk</v>
      </c>
      <c r="L1387">
        <f>VLOOKUP($A1387,[1]Table!$A$2:$N1528,L$1,FALSE)</f>
        <v>500</v>
      </c>
      <c r="M1387" t="str">
        <f>VLOOKUP($A1387,[1]Table!$A$2:$N1528,M$1,FALSE)</f>
        <v>mg</v>
      </c>
      <c r="N1387" t="str">
        <f>VLOOKUP($A1387,[1]Table!$A$2:$N1528,N$1,FALSE)</f>
        <v>Juveniele Idiopathische Arthritis (J.I.A.)||Colitis Ulcerosa met gewrichtsklachten||Proctitis</v>
      </c>
      <c r="O1387" t="str">
        <f>ConcatenateRange(AZ1387:BU1387,"||")</f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>
      <c r="A1388" s="1">
        <v>100889</v>
      </c>
      <c r="B1388" t="str">
        <f>VLOOKUP($A1388,[1]Table!$A$2:$N1529,B$1,FALSE)</f>
        <v>A07EC01</v>
      </c>
      <c r="C1388" t="str">
        <f>VLOOKUP($A1388,[1]Table!$A$2:$N1529,C$1,FALSE)</f>
        <v>ANTIDIARRHOICA, ANTI-INFLAMM./ANTIMICROBIELE DARMMIDDELEN</v>
      </c>
      <c r="D1388" t="str">
        <f>VLOOKUP($A1388,[1]Table!$A$2:$N1529,D$1,FALSE)</f>
        <v>ANTI-INFLAMMATOIRE DARMMIDDELEN</v>
      </c>
      <c r="E1388" t="str">
        <f>VLOOKUP($A1388,[1]Table!$A$2:$N1529,E$1,FALSE)</f>
        <v>SULFASALAZINE</v>
      </c>
      <c r="F1388" t="str">
        <f>VLOOKUP($A1388,[1]Table!$A$2:$N1529,F$1,FALSE)</f>
        <v>SULFASALAZINE 100MG/ML SUSPENSIE FNA</v>
      </c>
      <c r="G1388" t="str">
        <f>VLOOKUP($A1388,[1]Table!$A$2:$N1529,G$1,FALSE)</f>
        <v>SULFASALAZINE 100MG/ML SUSP</v>
      </c>
      <c r="H1388" t="str">
        <f>VLOOKUP($A1388,[1]Table!$A$2:$N1529,H$1,FALSE)</f>
        <v>suspensie voor oraal gebruik</v>
      </c>
      <c r="I1388" t="str">
        <f>VLOOKUP($A1388,[1]Table!$A$2:$N1529,I$1,FALSE)</f>
        <v>or</v>
      </c>
      <c r="J1388">
        <f>VLOOKUP($A1388,[1]Table!$A$2:$N1529,J$1,FALSE)</f>
        <v>100</v>
      </c>
      <c r="K1388" t="str">
        <f>VLOOKUP($A1388,[1]Table!$A$2:$N1529,K$1,FALSE)</f>
        <v>mg/ml</v>
      </c>
      <c r="L1388">
        <f>VLOOKUP($A1388,[1]Table!$A$2:$N1529,L$1,FALSE)</f>
        <v>100</v>
      </c>
      <c r="M1388" t="str">
        <f>VLOOKUP($A1388,[1]Table!$A$2:$N1529,M$1,FALSE)</f>
        <v>mg</v>
      </c>
      <c r="N1388" t="str">
        <f>VLOOKUP($A1388,[1]Table!$A$2:$N1529,N$1,FALSE)</f>
        <v>Juveniele Idiopathische Arthritis (J.I.A.)||Colitis Ulcerosa met gewrichtsklachten||Proctitis</v>
      </c>
      <c r="O1388" t="str">
        <f>ConcatenateRange(AZ1388:BU1388,"||")</f>
        <v/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>
      <c r="A1389" s="1">
        <v>124656</v>
      </c>
      <c r="B1389" t="str">
        <f>VLOOKUP($A1389,[1]Table!$A$2:$N1530,B$1,FALSE)</f>
        <v>N02CC01</v>
      </c>
      <c r="C1389" t="str">
        <f>VLOOKUP($A1389,[1]Table!$A$2:$N1530,C$1,FALSE)</f>
        <v>ANALGETICA</v>
      </c>
      <c r="D1389" t="str">
        <f>VLOOKUP($A1389,[1]Table!$A$2:$N1530,D$1,FALSE)</f>
        <v>MIGRAINEMIDDELEN</v>
      </c>
      <c r="E1389" t="str">
        <f>VLOOKUP($A1389,[1]Table!$A$2:$N1530,E$1,FALSE)</f>
        <v>SUMATRIPTAN</v>
      </c>
      <c r="F1389" t="str">
        <f>VLOOKUP($A1389,[1]Table!$A$2:$N1530,F$1,FALSE)</f>
        <v>IMIGRAN 50 MG DISPERGEERBARE TABLET</v>
      </c>
      <c r="G1389" t="str">
        <f>VLOOKUP($A1389,[1]Table!$A$2:$N1530,G$1,FALSE)</f>
        <v>SUMATRIPTAN 50MG DISPTABL</v>
      </c>
      <c r="H1389" t="str">
        <f>VLOOKUP($A1389,[1]Table!$A$2:$N1530,H$1,FALSE)</f>
        <v>dispergeerbare tablet</v>
      </c>
      <c r="I1389" t="str">
        <f>VLOOKUP($A1389,[1]Table!$A$2:$N1530,I$1,FALSE)</f>
        <v>or</v>
      </c>
      <c r="J1389">
        <f>VLOOKUP($A1389,[1]Table!$A$2:$N1530,J$1,FALSE)</f>
        <v>50</v>
      </c>
      <c r="K1389" t="str">
        <f>VLOOKUP($A1389,[1]Table!$A$2:$N1530,K$1,FALSE)</f>
        <v>mg/stuk</v>
      </c>
      <c r="L1389">
        <f>VLOOKUP($A1389,[1]Table!$A$2:$N1530,L$1,FALSE)</f>
        <v>50</v>
      </c>
      <c r="M1389" t="str">
        <f>VLOOKUP($A1389,[1]Table!$A$2:$N1530,M$1,FALSE)</f>
        <v>mg</v>
      </c>
      <c r="N1389" t="str">
        <f>VLOOKUP($A1389,[1]Table!$A$2:$N1530,N$1,FALSE)</f>
        <v>Migraine aanval: acute behandelingtijdens de hoofdpijnfase; cluster hoofdpijn</v>
      </c>
      <c r="O1389" t="str">
        <f>ConcatenateRange(AZ1389:BU1389,"||")</f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>
      <c r="A1390" s="1">
        <v>124664</v>
      </c>
      <c r="B1390" t="str">
        <f>VLOOKUP($A1390,[1]Table!$A$2:$N1531,B$1,FALSE)</f>
        <v>N02CC01</v>
      </c>
      <c r="C1390" t="str">
        <f>VLOOKUP($A1390,[1]Table!$A$2:$N1531,C$1,FALSE)</f>
        <v>ANALGETICA</v>
      </c>
      <c r="D1390" t="str">
        <f>VLOOKUP($A1390,[1]Table!$A$2:$N1531,D$1,FALSE)</f>
        <v>MIGRAINEMIDDELEN</v>
      </c>
      <c r="E1390" t="str">
        <f>VLOOKUP($A1390,[1]Table!$A$2:$N1531,E$1,FALSE)</f>
        <v>SUMATRIPTAN</v>
      </c>
      <c r="F1390" t="str">
        <f>VLOOKUP($A1390,[1]Table!$A$2:$N1531,F$1,FALSE)</f>
        <v>IMIGRAN 100 MG TABLET DISPER</v>
      </c>
      <c r="G1390" t="str">
        <f>VLOOKUP($A1390,[1]Table!$A$2:$N1531,G$1,FALSE)</f>
        <v>SUMATRIPTAN 100MG DISPTABL</v>
      </c>
      <c r="H1390" t="str">
        <f>VLOOKUP($A1390,[1]Table!$A$2:$N1531,H$1,FALSE)</f>
        <v>dispergeerbare tablet</v>
      </c>
      <c r="I1390" t="str">
        <f>VLOOKUP($A1390,[1]Table!$A$2:$N1531,I$1,FALSE)</f>
        <v>or</v>
      </c>
      <c r="J1390">
        <f>VLOOKUP($A1390,[1]Table!$A$2:$N1531,J$1,FALSE)</f>
        <v>100</v>
      </c>
      <c r="K1390" t="str">
        <f>VLOOKUP($A1390,[1]Table!$A$2:$N1531,K$1,FALSE)</f>
        <v>mg/stuk</v>
      </c>
      <c r="L1390">
        <f>VLOOKUP($A1390,[1]Table!$A$2:$N1531,L$1,FALSE)</f>
        <v>100</v>
      </c>
      <c r="M1390" t="str">
        <f>VLOOKUP($A1390,[1]Table!$A$2:$N1531,M$1,FALSE)</f>
        <v>mg</v>
      </c>
      <c r="N1390" t="str">
        <f>VLOOKUP($A1390,[1]Table!$A$2:$N1531,N$1,FALSE)</f>
        <v>Migraine aanval: acute behandelingtijdens de hoofdpijnfase; cluster hoofdpijn</v>
      </c>
      <c r="O1390" t="str">
        <f>ConcatenateRange(AZ1390:BU1390,"||")</f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>
      <c r="A1391" s="1">
        <v>83208</v>
      </c>
      <c r="B1391" t="str">
        <f>VLOOKUP($A1391,[1]Table!$A$2:$N1532,B$1,FALSE)</f>
        <v>N02CC01</v>
      </c>
      <c r="C1391" t="str">
        <f>VLOOKUP($A1391,[1]Table!$A$2:$N1532,C$1,FALSE)</f>
        <v>ANALGETICA</v>
      </c>
      <c r="D1391" t="str">
        <f>VLOOKUP($A1391,[1]Table!$A$2:$N1532,D$1,FALSE)</f>
        <v>MIGRAINEMIDDELEN</v>
      </c>
      <c r="E1391" t="str">
        <f>VLOOKUP($A1391,[1]Table!$A$2:$N1532,E$1,FALSE)</f>
        <v>SUMATRIPTAN</v>
      </c>
      <c r="F1391" t="str">
        <f>VLOOKUP($A1391,[1]Table!$A$2:$N1532,F$1,FALSE)</f>
        <v>IMIGRAN PENFILL 6 MG/0.5ML + PENFILL</v>
      </c>
      <c r="G1391" t="str">
        <f>VLOOKUP($A1391,[1]Table!$A$2:$N1532,G$1,FALSE)</f>
        <v>SUMATRIPTAN 12MG/ML INJVLST</v>
      </c>
      <c r="H1391" t="str">
        <f>VLOOKUP($A1391,[1]Table!$A$2:$N1532,H$1,FALSE)</f>
        <v>injectievloeistof</v>
      </c>
      <c r="I1391" t="str">
        <f>VLOOKUP($A1391,[1]Table!$A$2:$N1532,I$1,FALSE)</f>
        <v>sc</v>
      </c>
      <c r="J1391">
        <f>VLOOKUP($A1391,[1]Table!$A$2:$N1532,J$1,FALSE)</f>
        <v>12</v>
      </c>
      <c r="K1391" t="str">
        <f>VLOOKUP($A1391,[1]Table!$A$2:$N1532,K$1,FALSE)</f>
        <v>mg/ml</v>
      </c>
      <c r="L1391">
        <f>VLOOKUP($A1391,[1]Table!$A$2:$N1532,L$1,FALSE)</f>
        <v>12</v>
      </c>
      <c r="M1391" t="str">
        <f>VLOOKUP($A1391,[1]Table!$A$2:$N1532,M$1,FALSE)</f>
        <v>mg</v>
      </c>
      <c r="N1391" t="str">
        <f>VLOOKUP($A1391,[1]Table!$A$2:$N1532,N$1,FALSE)</f>
        <v>Migraine aanval: acute behandelingtijdens de hoofdpijnfase; cluster hoofdpijn</v>
      </c>
      <c r="O1391" t="str">
        <f>ConcatenateRange(AZ1391:BU1391,"||")</f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>
      <c r="A1392" s="1">
        <v>111546</v>
      </c>
      <c r="B1392" t="str">
        <f>VLOOKUP($A1392,[1]Table!$A$2:$N1534,B$1,FALSE)</f>
        <v>N02CC01</v>
      </c>
      <c r="C1392" t="str">
        <f>VLOOKUP($A1392,[1]Table!$A$2:$N1534,C$1,FALSE)</f>
        <v>ANALGETICA</v>
      </c>
      <c r="D1392" t="str">
        <f>VLOOKUP($A1392,[1]Table!$A$2:$N1534,D$1,FALSE)</f>
        <v>MIGRAINEMIDDELEN</v>
      </c>
      <c r="E1392" t="str">
        <f>VLOOKUP($A1392,[1]Table!$A$2:$N1534,E$1,FALSE)</f>
        <v>SUMATRIPTAN</v>
      </c>
      <c r="F1392" t="str">
        <f>VLOOKUP($A1392,[1]Table!$A$2:$N1534,F$1,FALSE)</f>
        <v>IMIGRAN 20 MG NEUSSPRAY</v>
      </c>
      <c r="G1392" t="str">
        <f>VLOOKUP($A1392,[1]Table!$A$2:$N1534,G$1,FALSE)</f>
        <v>SUMATRIPTAN 20MG NEUSSPRAY</v>
      </c>
      <c r="H1392" t="str">
        <f>VLOOKUP($A1392,[1]Table!$A$2:$N1534,H$1,FALSE)</f>
        <v>neusspray</v>
      </c>
      <c r="I1392" t="str">
        <f>VLOOKUP($A1392,[1]Table!$A$2:$N1534,I$1,FALSE)</f>
        <v>nasaal</v>
      </c>
      <c r="J1392">
        <f>VLOOKUP($A1392,[1]Table!$A$2:$N1534,J$1,FALSE)</f>
        <v>20</v>
      </c>
      <c r="K1392" t="str">
        <f>VLOOKUP($A1392,[1]Table!$A$2:$N1534,K$1,FALSE)</f>
        <v>mg/stuk</v>
      </c>
      <c r="L1392">
        <f>VLOOKUP($A1392,[1]Table!$A$2:$N1534,L$1,FALSE)</f>
        <v>20</v>
      </c>
      <c r="M1392" t="str">
        <f>VLOOKUP($A1392,[1]Table!$A$2:$N1534,M$1,FALSE)</f>
        <v>mg</v>
      </c>
      <c r="N1392" t="str">
        <f>VLOOKUP($A1392,[1]Table!$A$2:$N1534,N$1,FALSE)</f>
        <v>Migraine aanval: acute behandelingtijdens de hoofdpijnfase; cluster hoofdpijn</v>
      </c>
      <c r="O1392" t="str">
        <f>ConcatenateRange(AZ1392:BU1392,"||")</f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>
      <c r="A1393" s="1">
        <v>90786</v>
      </c>
      <c r="B1393" t="str">
        <f>VLOOKUP($A1393,[1]Table!$A$2:$N1535,B$1,FALSE)</f>
        <v>M03AB01</v>
      </c>
      <c r="C1393" t="str">
        <f>VLOOKUP($A1393,[1]Table!$A$2:$N1535,C$1,FALSE)</f>
        <v>SPIERRELAXANTIA</v>
      </c>
      <c r="D1393" t="str">
        <f>VLOOKUP($A1393,[1]Table!$A$2:$N1535,D$1,FALSE)</f>
        <v>PERIFEER WERKENDE SPIERRELAXANTIA</v>
      </c>
      <c r="E1393" t="str">
        <f>VLOOKUP($A1393,[1]Table!$A$2:$N1535,E$1,FALSE)</f>
        <v>SUXAMETHONIUM</v>
      </c>
      <c r="F1393" t="str">
        <f>VLOOKUP($A1393,[1]Table!$A$2:$N1535,F$1,FALSE)</f>
        <v>SUXAMETHONIUMCHLORIDE 50 MG/ML AMPUL 2ML</v>
      </c>
      <c r="G1393" t="str">
        <f>VLOOKUP($A1393,[1]Table!$A$2:$N1535,G$1,FALSE)</f>
        <v>SUXAMETH 50MG/ML INJ DCIMIV</v>
      </c>
      <c r="H1393" t="str">
        <f>VLOOKUP($A1393,[1]Table!$A$2:$N1535,H$1,FALSE)</f>
        <v>injectievloeistof</v>
      </c>
      <c r="I1393" t="str">
        <f>VLOOKUP($A1393,[1]Table!$A$2:$N1535,I$1,FALSE)</f>
        <v>im||iv</v>
      </c>
      <c r="J1393">
        <f>VLOOKUP($A1393,[1]Table!$A$2:$N1535,J$1,FALSE)</f>
        <v>50</v>
      </c>
      <c r="K1393" t="str">
        <f>VLOOKUP($A1393,[1]Table!$A$2:$N1535,K$1,FALSE)</f>
        <v>mg/ml</v>
      </c>
      <c r="L1393">
        <f>VLOOKUP($A1393,[1]Table!$A$2:$N1535,L$1,FALSE)</f>
        <v>50</v>
      </c>
      <c r="M1393" t="str">
        <f>VLOOKUP($A1393,[1]Table!$A$2:$N1535,M$1,FALSE)</f>
        <v>mg</v>
      </c>
      <c r="N1393" t="str">
        <f>VLOOKUP($A1393,[1]Table!$A$2:$N1535,N$1,FALSE)</f>
        <v>Verslapping van skeletspieren</v>
      </c>
      <c r="O1393" t="str">
        <f>ConcatenateRange(AZ1393:BU1393,"||")</f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>
      <c r="A1394" s="1">
        <v>133078</v>
      </c>
      <c r="B1394" t="str">
        <f>VLOOKUP($A1394,[1]Table!$A$2:$N1536,B$1,FALSE)</f>
        <v>L04AD02</v>
      </c>
      <c r="C1394" t="str">
        <f>VLOOKUP($A1394,[1]Table!$A$2:$N1536,C$1,FALSE)</f>
        <v>IMMUNOSUPPRESSIVA</v>
      </c>
      <c r="D1394" t="str">
        <f>VLOOKUP($A1394,[1]Table!$A$2:$N1536,D$1,FALSE)</f>
        <v>IMMUNOSUPPRESSIVA</v>
      </c>
      <c r="E1394" t="str">
        <f>VLOOKUP($A1394,[1]Table!$A$2:$N1536,E$1,FALSE)</f>
        <v>TACROLIMUS</v>
      </c>
      <c r="F1394" t="str">
        <f>VLOOKUP($A1394,[1]Table!$A$2:$N1536,F$1,FALSE)</f>
        <v>PROGRAFT 0.5 MG CAPSULE</v>
      </c>
      <c r="G1394" t="str">
        <f>VLOOKUP($A1394,[1]Table!$A$2:$N1536,G$1,FALSE)</f>
        <v>TACROLIMUS 0,5MG CAPSULE</v>
      </c>
      <c r="H1394" t="str">
        <f>VLOOKUP($A1394,[1]Table!$A$2:$N1536,H$1,FALSE)</f>
        <v>capsule</v>
      </c>
      <c r="I1394" t="str">
        <f>VLOOKUP($A1394,[1]Table!$A$2:$N1536,I$1,FALSE)</f>
        <v>or</v>
      </c>
      <c r="J1394">
        <f>VLOOKUP($A1394,[1]Table!$A$2:$N1536,J$1,FALSE)</f>
        <v>0.5</v>
      </c>
      <c r="K1394" t="str">
        <f>VLOOKUP($A1394,[1]Table!$A$2:$N1536,K$1,FALSE)</f>
        <v>mg/stuk</v>
      </c>
      <c r="L1394">
        <f>VLOOKUP($A1394,[1]Table!$A$2:$N1536,L$1,FALSE)</f>
        <v>0.5</v>
      </c>
      <c r="M1394" t="str">
        <f>VLOOKUP($A1394,[1]Table!$A$2:$N1536,M$1,FALSE)</f>
        <v>mg</v>
      </c>
      <c r="N1394" t="str">
        <f>VLOOKUP($A1394,[1]Table!$A$2:$N1536,N$1,FALSE)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394" t="str">
        <f>ConcatenateRange(AZ1394:BU1394,"||")</f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>
      <c r="A1395" s="1">
        <v>133086</v>
      </c>
      <c r="B1395" t="str">
        <f>VLOOKUP($A1395,[1]Table!$A$2:$N1537,B$1,FALSE)</f>
        <v>L04AD02</v>
      </c>
      <c r="C1395" t="str">
        <f>VLOOKUP($A1395,[1]Table!$A$2:$N1537,C$1,FALSE)</f>
        <v>IMMUNOSUPPRESSIVA</v>
      </c>
      <c r="D1395" t="str">
        <f>VLOOKUP($A1395,[1]Table!$A$2:$N1537,D$1,FALSE)</f>
        <v>IMMUNOSUPPRESSIVA</v>
      </c>
      <c r="E1395" t="str">
        <f>VLOOKUP($A1395,[1]Table!$A$2:$N1537,E$1,FALSE)</f>
        <v>TACROLIMUS</v>
      </c>
      <c r="F1395" t="str">
        <f>VLOOKUP($A1395,[1]Table!$A$2:$N1537,F$1,FALSE)</f>
        <v>PROGRAFT 1 MG CAPSULE</v>
      </c>
      <c r="G1395" t="str">
        <f>VLOOKUP($A1395,[1]Table!$A$2:$N1537,G$1,FALSE)</f>
        <v>TACROLIMUS 1MG CAPSULE</v>
      </c>
      <c r="H1395" t="str">
        <f>VLOOKUP($A1395,[1]Table!$A$2:$N1537,H$1,FALSE)</f>
        <v>capsule</v>
      </c>
      <c r="I1395" t="str">
        <f>VLOOKUP($A1395,[1]Table!$A$2:$N1537,I$1,FALSE)</f>
        <v>or</v>
      </c>
      <c r="J1395">
        <f>VLOOKUP($A1395,[1]Table!$A$2:$N1537,J$1,FALSE)</f>
        <v>1</v>
      </c>
      <c r="K1395" t="str">
        <f>VLOOKUP($A1395,[1]Table!$A$2:$N1537,K$1,FALSE)</f>
        <v>mg/stuk</v>
      </c>
      <c r="L1395">
        <f>VLOOKUP($A1395,[1]Table!$A$2:$N1537,L$1,FALSE)</f>
        <v>1</v>
      </c>
      <c r="M1395" t="str">
        <f>VLOOKUP($A1395,[1]Table!$A$2:$N1537,M$1,FALSE)</f>
        <v>mg</v>
      </c>
      <c r="N1395" t="str">
        <f>VLOOKUP($A1395,[1]Table!$A$2:$N1537,N$1,FALSE)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95" t="str">
        <f>ConcatenateRange(AZ1395:BU1395,"||")</f>
        <v/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>
      <c r="A1396" s="1">
        <v>133094</v>
      </c>
      <c r="B1396" t="str">
        <f>VLOOKUP($A1396,[1]Table!$A$2:$N1538,B$1,FALSE)</f>
        <v>L04AD02</v>
      </c>
      <c r="C1396" t="str">
        <f>VLOOKUP($A1396,[1]Table!$A$2:$N1538,C$1,FALSE)</f>
        <v>IMMUNOSUPPRESSIVA</v>
      </c>
      <c r="D1396" t="str">
        <f>VLOOKUP($A1396,[1]Table!$A$2:$N1538,D$1,FALSE)</f>
        <v>IMMUNOSUPPRESSIVA</v>
      </c>
      <c r="E1396" t="str">
        <f>VLOOKUP($A1396,[1]Table!$A$2:$N1538,E$1,FALSE)</f>
        <v>TACROLIMUS</v>
      </c>
      <c r="F1396" t="str">
        <f>VLOOKUP($A1396,[1]Table!$A$2:$N1538,F$1,FALSE)</f>
        <v>PROGRAFT 5 MG CAPSULE</v>
      </c>
      <c r="G1396" t="str">
        <f>VLOOKUP($A1396,[1]Table!$A$2:$N1538,G$1,FALSE)</f>
        <v>TACROLIMUS 5MG CAPSULE</v>
      </c>
      <c r="H1396" t="str">
        <f>VLOOKUP($A1396,[1]Table!$A$2:$N1538,H$1,FALSE)</f>
        <v>capsule</v>
      </c>
      <c r="I1396" t="str">
        <f>VLOOKUP($A1396,[1]Table!$A$2:$N1538,I$1,FALSE)</f>
        <v>or</v>
      </c>
      <c r="J1396">
        <f>VLOOKUP($A1396,[1]Table!$A$2:$N1538,J$1,FALSE)</f>
        <v>5</v>
      </c>
      <c r="K1396" t="str">
        <f>VLOOKUP($A1396,[1]Table!$A$2:$N1538,K$1,FALSE)</f>
        <v>mg/stuk</v>
      </c>
      <c r="L1396">
        <f>VLOOKUP($A1396,[1]Table!$A$2:$N1538,L$1,FALSE)</f>
        <v>5</v>
      </c>
      <c r="M1396" t="str">
        <f>VLOOKUP($A1396,[1]Table!$A$2:$N1538,M$1,FALSE)</f>
        <v>mg</v>
      </c>
      <c r="N1396" t="str">
        <f>VLOOKUP($A1396,[1]Table!$A$2:$N1538,N$1,FALSE)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96" t="str">
        <f>ConcatenateRange(AZ1396:BU1396,"||")</f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>
      <c r="A1397" s="1">
        <v>135429</v>
      </c>
      <c r="B1397" t="str">
        <f>VLOOKUP($A1397,[1]Table!$A$2:$N1539,B$1,FALSE)</f>
        <v>L04AD02</v>
      </c>
      <c r="C1397" t="str">
        <f>VLOOKUP($A1397,[1]Table!$A$2:$N1539,C$1,FALSE)</f>
        <v>IMMUNOSUPPRESSIVA</v>
      </c>
      <c r="D1397" t="str">
        <f>VLOOKUP($A1397,[1]Table!$A$2:$N1539,D$1,FALSE)</f>
        <v>IMMUNOSUPPRESSIVA</v>
      </c>
      <c r="E1397" t="s">
        <v>121</v>
      </c>
      <c r="F1397" t="str">
        <f>VLOOKUP($A1397,[1]Table!$A$2:$N1539,F$1,FALSE)</f>
        <v>ADVAGRAF 0,5 MG CAPSULE MVA (RETARD)</v>
      </c>
      <c r="G1397" t="str">
        <f>VLOOKUP($A1397,[1]Table!$A$2:$N1539,G$1,FALSE)</f>
        <v>TACROLIMUS 0,5MG CAPS MGA</v>
      </c>
      <c r="H1397" t="str">
        <f>VLOOKUP($A1397,[1]Table!$A$2:$N1539,H$1,FALSE)</f>
        <v>capsule met gereguleerde afgifte</v>
      </c>
      <c r="I1397" t="str">
        <f>VLOOKUP($A1397,[1]Table!$A$2:$N1539,I$1,FALSE)</f>
        <v>or</v>
      </c>
      <c r="J1397">
        <f>VLOOKUP($A1397,[1]Table!$A$2:$N1539,J$1,FALSE)</f>
        <v>0.5</v>
      </c>
      <c r="K1397" t="str">
        <f>VLOOKUP($A1397,[1]Table!$A$2:$N1539,K$1,FALSE)</f>
        <v>mg/stuk</v>
      </c>
      <c r="L1397">
        <f>VLOOKUP($A1397,[1]Table!$A$2:$N1539,L$1,FALSE)</f>
        <v>0.5</v>
      </c>
      <c r="M1397" t="str">
        <f>VLOOKUP($A1397,[1]Table!$A$2:$N1539,M$1,FALSE)</f>
        <v>mg</v>
      </c>
      <c r="N1397" t="str">
        <f>VLOOKUP($A1397,[1]Table!$A$2:$N1539,N$1,FALSE)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97" t="str">
        <f>ConcatenateRange(AZ1397:BU1397,"||")</f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>
      <c r="A1398" s="1">
        <v>135437</v>
      </c>
      <c r="B1398" t="str">
        <f>VLOOKUP($A1398,[1]Table!$A$2:$N1540,B$1,FALSE)</f>
        <v>L04AD02</v>
      </c>
      <c r="C1398" t="str">
        <f>VLOOKUP($A1398,[1]Table!$A$2:$N1540,C$1,FALSE)</f>
        <v>IMMUNOSUPPRESSIVA</v>
      </c>
      <c r="D1398" t="str">
        <f>VLOOKUP($A1398,[1]Table!$A$2:$N1540,D$1,FALSE)</f>
        <v>IMMUNOSUPPRESSIVA</v>
      </c>
      <c r="E1398" t="s">
        <v>121</v>
      </c>
      <c r="F1398" t="str">
        <f>VLOOKUP($A1398,[1]Table!$A$2:$N1540,F$1,FALSE)</f>
        <v>ADVAGRAF 1  MG CAPSULE MVA (RETARD)</v>
      </c>
      <c r="G1398" t="str">
        <f>VLOOKUP($A1398,[1]Table!$A$2:$N1540,G$1,FALSE)</f>
        <v>TACROLIMUS 1MG CAPS MGA</v>
      </c>
      <c r="H1398" t="str">
        <f>VLOOKUP($A1398,[1]Table!$A$2:$N1540,H$1,FALSE)</f>
        <v>capsule met gereguleerde afgifte</v>
      </c>
      <c r="I1398" t="str">
        <f>VLOOKUP($A1398,[1]Table!$A$2:$N1540,I$1,FALSE)</f>
        <v>or</v>
      </c>
      <c r="J1398">
        <f>VLOOKUP($A1398,[1]Table!$A$2:$N1540,J$1,FALSE)</f>
        <v>1</v>
      </c>
      <c r="K1398" t="str">
        <f>VLOOKUP($A1398,[1]Table!$A$2:$N1540,K$1,FALSE)</f>
        <v>mg/stuk</v>
      </c>
      <c r="L1398">
        <f>VLOOKUP($A1398,[1]Table!$A$2:$N1540,L$1,FALSE)</f>
        <v>1</v>
      </c>
      <c r="M1398" t="str">
        <f>VLOOKUP($A1398,[1]Table!$A$2:$N1540,M$1,FALSE)</f>
        <v>mg</v>
      </c>
      <c r="N1398" t="str">
        <f>VLOOKUP($A1398,[1]Table!$A$2:$N1540,N$1,FALSE)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98" t="str">
        <f>ConcatenateRange(AZ1398:BU1398,"||")</f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>
      <c r="A1399" s="1">
        <v>135445</v>
      </c>
      <c r="B1399" t="str">
        <f>VLOOKUP($A1399,[1]Table!$A$2:$N1541,B$1,FALSE)</f>
        <v>L04AD02</v>
      </c>
      <c r="C1399" t="str">
        <f>VLOOKUP($A1399,[1]Table!$A$2:$N1541,C$1,FALSE)</f>
        <v>IMMUNOSUPPRESSIVA</v>
      </c>
      <c r="D1399" t="str">
        <f>VLOOKUP($A1399,[1]Table!$A$2:$N1541,D$1,FALSE)</f>
        <v>IMMUNOSUPPRESSIVA</v>
      </c>
      <c r="E1399" t="s">
        <v>121</v>
      </c>
      <c r="F1399" t="str">
        <f>VLOOKUP($A1399,[1]Table!$A$2:$N1541,F$1,FALSE)</f>
        <v>ADVAGRAF 3 MG CAPSULE MVA (RETARD)</v>
      </c>
      <c r="G1399" t="str">
        <f>VLOOKUP($A1399,[1]Table!$A$2:$N1541,G$1,FALSE)</f>
        <v>TACROLIMUS 3MG CAPS MGA</v>
      </c>
      <c r="H1399" t="str">
        <f>VLOOKUP($A1399,[1]Table!$A$2:$N1541,H$1,FALSE)</f>
        <v>capsule met gereguleerde afgifte</v>
      </c>
      <c r="I1399" t="str">
        <f>VLOOKUP($A1399,[1]Table!$A$2:$N1541,I$1,FALSE)</f>
        <v>or</v>
      </c>
      <c r="J1399">
        <f>VLOOKUP($A1399,[1]Table!$A$2:$N1541,J$1,FALSE)</f>
        <v>3</v>
      </c>
      <c r="K1399" t="str">
        <f>VLOOKUP($A1399,[1]Table!$A$2:$N1541,K$1,FALSE)</f>
        <v>mg/stuk</v>
      </c>
      <c r="L1399">
        <f>VLOOKUP($A1399,[1]Table!$A$2:$N1541,L$1,FALSE)</f>
        <v>3</v>
      </c>
      <c r="M1399" t="str">
        <f>VLOOKUP($A1399,[1]Table!$A$2:$N1541,M$1,FALSE)</f>
        <v>mg</v>
      </c>
      <c r="N1399" t="str">
        <f>VLOOKUP($A1399,[1]Table!$A$2:$N1541,N$1,FALSE)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99" t="str">
        <f>ConcatenateRange(AZ1399:BU1399,"||")</f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>
      <c r="A1400" s="1">
        <v>135453</v>
      </c>
      <c r="B1400" t="str">
        <f>VLOOKUP($A1400,[1]Table!$A$2:$N1542,B$1,FALSE)</f>
        <v>L04AD02</v>
      </c>
      <c r="C1400" t="str">
        <f>VLOOKUP($A1400,[1]Table!$A$2:$N1542,C$1,FALSE)</f>
        <v>IMMUNOSUPPRESSIVA</v>
      </c>
      <c r="D1400" t="str">
        <f>VLOOKUP($A1400,[1]Table!$A$2:$N1542,D$1,FALSE)</f>
        <v>IMMUNOSUPPRESSIVA</v>
      </c>
      <c r="E1400" t="s">
        <v>121</v>
      </c>
      <c r="F1400" t="str">
        <f>VLOOKUP($A1400,[1]Table!$A$2:$N1542,F$1,FALSE)</f>
        <v>ADVAGRAF 5 MG CAPSULE MVA (RETARD)</v>
      </c>
      <c r="G1400" t="str">
        <f>VLOOKUP($A1400,[1]Table!$A$2:$N1542,G$1,FALSE)</f>
        <v>TACROLIMUS 5MG CAPS MGA</v>
      </c>
      <c r="H1400" t="str">
        <f>VLOOKUP($A1400,[1]Table!$A$2:$N1542,H$1,FALSE)</f>
        <v>capsule met gereguleerde afgifte</v>
      </c>
      <c r="I1400" t="str">
        <f>VLOOKUP($A1400,[1]Table!$A$2:$N1542,I$1,FALSE)</f>
        <v>or</v>
      </c>
      <c r="J1400">
        <f>VLOOKUP($A1400,[1]Table!$A$2:$N1542,J$1,FALSE)</f>
        <v>5</v>
      </c>
      <c r="K1400" t="str">
        <f>VLOOKUP($A1400,[1]Table!$A$2:$N1542,K$1,FALSE)</f>
        <v>mg/stuk</v>
      </c>
      <c r="L1400">
        <f>VLOOKUP($A1400,[1]Table!$A$2:$N1542,L$1,FALSE)</f>
        <v>5</v>
      </c>
      <c r="M1400" t="str">
        <f>VLOOKUP($A1400,[1]Table!$A$2:$N1542,M$1,FALSE)</f>
        <v>mg</v>
      </c>
      <c r="N1400" t="str">
        <f>VLOOKUP($A1400,[1]Table!$A$2:$N1542,N$1,FALSE)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00" t="str">
        <f>ConcatenateRange(AZ1400:BU1400,"||")</f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>
      <c r="A1401" s="1">
        <v>99287</v>
      </c>
      <c r="B1401" t="str">
        <f>VLOOKUP($A1401,[1]Table!$A$2:$N1543,B$1,FALSE)</f>
        <v>L04AD02</v>
      </c>
      <c r="C1401" t="str">
        <f>VLOOKUP($A1401,[1]Table!$A$2:$N1543,C$1,FALSE)</f>
        <v>IMMUNOSUPPRESSIVA</v>
      </c>
      <c r="D1401" t="str">
        <f>VLOOKUP($A1401,[1]Table!$A$2:$N1543,D$1,FALSE)</f>
        <v>IMMUNOSUPPRESSIVA</v>
      </c>
      <c r="E1401" t="str">
        <f>VLOOKUP($A1401,[1]Table!$A$2:$N1543,E$1,FALSE)</f>
        <v>TACROLIMUS</v>
      </c>
      <c r="F1401" t="str">
        <f>VLOOKUP($A1401,[1]Table!$A$2:$N1543,F$1,FALSE)</f>
        <v>PROGRAFT 5 MG/ML AMPUL 1 ML</v>
      </c>
      <c r="G1401" t="str">
        <f>VLOOKUP($A1401,[1]Table!$A$2:$N1543,G$1,FALSE)</f>
        <v>TACROLIMUS 5MG/ML INF CONC</v>
      </c>
      <c r="H1401" t="str">
        <f>VLOOKUP($A1401,[1]Table!$A$2:$N1543,H$1,FALSE)</f>
        <v>concentraat voor oplossing voor infusie</v>
      </c>
      <c r="I1401" t="str">
        <f>VLOOKUP($A1401,[1]Table!$A$2:$N1543,I$1,FALSE)</f>
        <v>iv</v>
      </c>
      <c r="J1401">
        <f>VLOOKUP($A1401,[1]Table!$A$2:$N1543,J$1,FALSE)</f>
        <v>5</v>
      </c>
      <c r="K1401" t="str">
        <f>VLOOKUP($A1401,[1]Table!$A$2:$N1543,K$1,FALSE)</f>
        <v>mg/ml</v>
      </c>
      <c r="L1401">
        <f>VLOOKUP($A1401,[1]Table!$A$2:$N1543,L$1,FALSE)</f>
        <v>5</v>
      </c>
      <c r="M1401" t="str">
        <f>VLOOKUP($A1401,[1]Table!$A$2:$N1543,M$1,FALSE)</f>
        <v>mg</v>
      </c>
      <c r="N1401" t="str">
        <f>VLOOKUP($A1401,[1]Table!$A$2:$N1543,N$1,FALSE)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01" t="str">
        <f>ConcatenateRange(AZ1401:BU1401,"||")</f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>
      <c r="A1402" s="1">
        <v>141437</v>
      </c>
      <c r="B1402" t="str">
        <f>VLOOKUP($A1402,[1]Table!$A$2:$N1544,B$1,FALSE)</f>
        <v>L04AD02</v>
      </c>
      <c r="C1402" t="str">
        <f>VLOOKUP($A1402,[1]Table!$A$2:$N1544,C$1,FALSE)</f>
        <v>IMMUNOSUPPRESSIVA</v>
      </c>
      <c r="D1402" t="str">
        <f>VLOOKUP($A1402,[1]Table!$A$2:$N1544,D$1,FALSE)</f>
        <v>IMMUNOSUPPRESSIVA</v>
      </c>
      <c r="E1402" t="str">
        <f>VLOOKUP($A1402,[1]Table!$A$2:$N1544,E$1,FALSE)</f>
        <v>TACROLIMUS</v>
      </c>
      <c r="F1402" t="str">
        <f>VLOOKUP($A1402,[1]Table!$A$2:$N1544,F$1,FALSE)</f>
        <v>MODIGRAF 0,2 MG GRANULAAT V SUSPENSIE IN SACHET</v>
      </c>
      <c r="G1402" t="str">
        <f>VLOOKUP($A1402,[1]Table!$A$2:$N1544,G$1,FALSE)</f>
        <v>TACROLIMUS 0,2MG GRAN V SUS</v>
      </c>
      <c r="H1402" t="str">
        <f>VLOOKUP($A1402,[1]Table!$A$2:$N1544,H$1,FALSE)</f>
        <v>granulaat voor orale suspensie</v>
      </c>
      <c r="I1402" t="str">
        <f>VLOOKUP($A1402,[1]Table!$A$2:$N1544,I$1,FALSE)</f>
        <v>or</v>
      </c>
      <c r="J1402">
        <f>VLOOKUP($A1402,[1]Table!$A$2:$N1544,J$1,FALSE)</f>
        <v>0.2</v>
      </c>
      <c r="K1402" t="str">
        <f>VLOOKUP($A1402,[1]Table!$A$2:$N1544,K$1,FALSE)</f>
        <v>mg/stuk</v>
      </c>
      <c r="L1402">
        <f>VLOOKUP($A1402,[1]Table!$A$2:$N1544,L$1,FALSE)</f>
        <v>0.2</v>
      </c>
      <c r="M1402" t="str">
        <f>VLOOKUP($A1402,[1]Table!$A$2:$N1544,M$1,FALSE)</f>
        <v>mg</v>
      </c>
      <c r="N1402" t="str">
        <f>VLOOKUP($A1402,[1]Table!$A$2:$N1544,N$1,FALSE)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02" t="str">
        <f>ConcatenateRange(AZ1402:BU1402,"||")</f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>
      <c r="A1403" s="1">
        <v>82287</v>
      </c>
      <c r="B1403" t="str">
        <f>VLOOKUP($A1403,[1]Table!$A$2:$N1545,B$1,FALSE)</f>
        <v>J01XA02</v>
      </c>
      <c r="C1403" t="str">
        <f>VLOOKUP($A1403,[1]Table!$A$2:$N1545,C$1,FALSE)</f>
        <v>ANTIBACTERIELE MIDDELEN VOOR SYSTEMISCH GEBRUIK</v>
      </c>
      <c r="D1403" t="str">
        <f>VLOOKUP($A1403,[1]Table!$A$2:$N1545,D$1,FALSE)</f>
        <v>OVERIGE ANTIBACTERIELE MIDDELEN</v>
      </c>
      <c r="E1403" t="str">
        <f>VLOOKUP($A1403,[1]Table!$A$2:$N1545,E$1,FALSE)</f>
        <v>TEICOPLANINE</v>
      </c>
      <c r="F1403" t="str">
        <f>VLOOKUP($A1403,[1]Table!$A$2:$N1545,F$1,FALSE)</f>
        <v>TARGOCID 200MG INJPDR + SOLVENS 3 ML</v>
      </c>
      <c r="G1403" t="str">
        <f>VLOOKUP($A1403,[1]Table!$A$2:$N1545,G$1,FALSE)</f>
        <v>TEICOPLANINE 200MG INJPDR</v>
      </c>
      <c r="H1403" t="str">
        <f>VLOOKUP($A1403,[1]Table!$A$2:$N1545,H$1,FALSE)</f>
        <v>poeder voor injectievloeistof</v>
      </c>
      <c r="I1403" t="str">
        <f>VLOOKUP($A1403,[1]Table!$A$2:$N1545,I$1,FALSE)</f>
        <v>im||iv</v>
      </c>
      <c r="J1403">
        <f>VLOOKUP($A1403,[1]Table!$A$2:$N1545,J$1,FALSE)</f>
        <v>200</v>
      </c>
      <c r="K1403" t="str">
        <f>VLOOKUP($A1403,[1]Table!$A$2:$N1545,K$1,FALSE)</f>
        <v>mg/stuk</v>
      </c>
      <c r="L1403">
        <f>VLOOKUP($A1403,[1]Table!$A$2:$N1545,L$1,FALSE)</f>
        <v>200</v>
      </c>
      <c r="M1403" t="str">
        <f>VLOOKUP($A1403,[1]Table!$A$2:$N1545,M$1,FALSE)</f>
        <v>mg</v>
      </c>
      <c r="N1403" t="str">
        <f>VLOOKUP($A1403,[1]Table!$A$2:$N1545,N$1,FALSE)</f>
        <v>Infecties||Clostridium difficile infectie</v>
      </c>
      <c r="O1403" t="str">
        <f>ConcatenateRange(AZ1403:BU1403,"||")</f>
        <v/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>
      <c r="A1404" s="1">
        <v>85871</v>
      </c>
      <c r="B1404" t="str">
        <f>VLOOKUP($A1404,[1]Table!$A$2:$N1546,B$1,FALSE)</f>
        <v>J01XA02</v>
      </c>
      <c r="C1404" t="str">
        <f>VLOOKUP($A1404,[1]Table!$A$2:$N1546,C$1,FALSE)</f>
        <v>ANTIBACTERIELE MIDDELEN VOOR SYSTEMISCH GEBRUIK</v>
      </c>
      <c r="D1404" t="str">
        <f>VLOOKUP($A1404,[1]Table!$A$2:$N1546,D$1,FALSE)</f>
        <v>OVERIGE ANTIBACTERIELE MIDDELEN</v>
      </c>
      <c r="E1404" t="str">
        <f>VLOOKUP($A1404,[1]Table!$A$2:$N1546,E$1,FALSE)</f>
        <v>TEICOPLANINE</v>
      </c>
      <c r="F1404" t="str">
        <f>VLOOKUP($A1404,[1]Table!$A$2:$N1546,F$1,FALSE)</f>
        <v>TARGOCID 400 MG INJPDR+SOLVENS 3 ML</v>
      </c>
      <c r="G1404" t="str">
        <f>VLOOKUP($A1404,[1]Table!$A$2:$N1546,G$1,FALSE)</f>
        <v>TEICOPLANINE 400MG INJPDR</v>
      </c>
      <c r="H1404" t="str">
        <f>VLOOKUP($A1404,[1]Table!$A$2:$N1546,H$1,FALSE)</f>
        <v>poeder voor injectievloeistof</v>
      </c>
      <c r="I1404" t="str">
        <f>VLOOKUP($A1404,[1]Table!$A$2:$N1546,I$1,FALSE)</f>
        <v>im||iv</v>
      </c>
      <c r="J1404">
        <f>VLOOKUP($A1404,[1]Table!$A$2:$N1546,J$1,FALSE)</f>
        <v>400</v>
      </c>
      <c r="K1404" t="str">
        <f>VLOOKUP($A1404,[1]Table!$A$2:$N1546,K$1,FALSE)</f>
        <v>mg/stuk</v>
      </c>
      <c r="L1404">
        <f>VLOOKUP($A1404,[1]Table!$A$2:$N1546,L$1,FALSE)</f>
        <v>400</v>
      </c>
      <c r="M1404" t="str">
        <f>VLOOKUP($A1404,[1]Table!$A$2:$N1546,M$1,FALSE)</f>
        <v>mg</v>
      </c>
      <c r="N1404" t="str">
        <f>VLOOKUP($A1404,[1]Table!$A$2:$N1546,N$1,FALSE)</f>
        <v>Infecties||Clostridium difficile infectie</v>
      </c>
      <c r="O1404" t="str">
        <f>ConcatenateRange(AZ1404:BU1404,"||")</f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>
      <c r="A1405" s="1">
        <v>16942</v>
      </c>
      <c r="B1405" t="str">
        <f>VLOOKUP($A1405,[1]Table!$A$2:$N1547,B$1,FALSE)</f>
        <v>N05CD07</v>
      </c>
      <c r="C1405" t="str">
        <f>VLOOKUP($A1405,[1]Table!$A$2:$N1547,C$1,FALSE)</f>
        <v>PSYCHOLEPTICA</v>
      </c>
      <c r="D1405" t="str">
        <f>VLOOKUP($A1405,[1]Table!$A$2:$N1547,D$1,FALSE)</f>
        <v>HYPNOTICA EN SEDATIVA</v>
      </c>
      <c r="E1405" t="str">
        <f>VLOOKUP($A1405,[1]Table!$A$2:$N1547,E$1,FALSE)</f>
        <v>TEMAZEPAM</v>
      </c>
      <c r="F1405" t="str">
        <f>VLOOKUP($A1405,[1]Table!$A$2:$N1547,F$1,FALSE)</f>
        <v>TEMAZEPAM 10 MG CAPSULE</v>
      </c>
      <c r="G1405" t="str">
        <f>VLOOKUP($A1405,[1]Table!$A$2:$N1547,G$1,FALSE)</f>
        <v>TEMAZEPAM 10MG CAPSULE</v>
      </c>
      <c r="H1405" t="str">
        <f>VLOOKUP($A1405,[1]Table!$A$2:$N1547,H$1,FALSE)</f>
        <v>capsule</v>
      </c>
      <c r="I1405" t="str">
        <f>VLOOKUP($A1405,[1]Table!$A$2:$N1547,I$1,FALSE)</f>
        <v>or</v>
      </c>
      <c r="J1405">
        <f>VLOOKUP($A1405,[1]Table!$A$2:$N1547,J$1,FALSE)</f>
        <v>10</v>
      </c>
      <c r="K1405" t="str">
        <f>VLOOKUP($A1405,[1]Table!$A$2:$N1547,K$1,FALSE)</f>
        <v>mg/stuk</v>
      </c>
      <c r="L1405">
        <f>VLOOKUP($A1405,[1]Table!$A$2:$N1547,L$1,FALSE)</f>
        <v>10</v>
      </c>
      <c r="M1405" t="str">
        <f>VLOOKUP($A1405,[1]Table!$A$2:$N1547,M$1,FALSE)</f>
        <v>mg</v>
      </c>
      <c r="N1405" t="str">
        <f>VLOOKUP($A1405,[1]Table!$A$2:$N1547,N$1,FALSE)</f>
        <v>Kortdurende behandeling van ernstige slaapstoornissen</v>
      </c>
      <c r="O1405" t="str">
        <f>ConcatenateRange(AZ1405:BU1405,"||")</f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>
      <c r="A1406" s="1">
        <v>38644</v>
      </c>
      <c r="B1406" t="str">
        <f>VLOOKUP($A1406,[1]Table!$A$2:$N1548,B$1,FALSE)</f>
        <v>N05CD07</v>
      </c>
      <c r="C1406" t="str">
        <f>VLOOKUP($A1406,[1]Table!$A$2:$N1548,C$1,FALSE)</f>
        <v>PSYCHOLEPTICA</v>
      </c>
      <c r="D1406" t="str">
        <f>VLOOKUP($A1406,[1]Table!$A$2:$N1548,D$1,FALSE)</f>
        <v>HYPNOTICA EN SEDATIVA</v>
      </c>
      <c r="E1406" t="str">
        <f>VLOOKUP($A1406,[1]Table!$A$2:$N1548,E$1,FALSE)</f>
        <v>TEMAZEPAM</v>
      </c>
      <c r="F1406" t="str">
        <f>VLOOKUP($A1406,[1]Table!$A$2:$N1548,F$1,FALSE)</f>
        <v>TEMAZEPAM 20 MG CAPSULE</v>
      </c>
      <c r="G1406" t="str">
        <f>VLOOKUP($A1406,[1]Table!$A$2:$N1548,G$1,FALSE)</f>
        <v>TEMAZEPAM 20MG CAPSULE</v>
      </c>
      <c r="H1406" t="str">
        <f>VLOOKUP($A1406,[1]Table!$A$2:$N1548,H$1,FALSE)</f>
        <v>capsule</v>
      </c>
      <c r="I1406" t="str">
        <f>VLOOKUP($A1406,[1]Table!$A$2:$N1548,I$1,FALSE)</f>
        <v>or</v>
      </c>
      <c r="J1406">
        <f>VLOOKUP($A1406,[1]Table!$A$2:$N1548,J$1,FALSE)</f>
        <v>20</v>
      </c>
      <c r="K1406" t="str">
        <f>VLOOKUP($A1406,[1]Table!$A$2:$N1548,K$1,FALSE)</f>
        <v>mg/stuk</v>
      </c>
      <c r="L1406">
        <f>VLOOKUP($A1406,[1]Table!$A$2:$N1548,L$1,FALSE)</f>
        <v>20</v>
      </c>
      <c r="M1406" t="str">
        <f>VLOOKUP($A1406,[1]Table!$A$2:$N1548,M$1,FALSE)</f>
        <v>mg</v>
      </c>
      <c r="N1406" t="str">
        <f>VLOOKUP($A1406,[1]Table!$A$2:$N1548,N$1,FALSE)</f>
        <v>Kortdurende behandeling van ernstige slaapstoornissen</v>
      </c>
      <c r="O1406" t="str">
        <f>ConcatenateRange(AZ1406:BU1406,"||")</f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>
      <c r="A1407" s="1">
        <v>84190</v>
      </c>
      <c r="B1407" t="str">
        <f>VLOOKUP($A1407,[1]Table!$A$2:$N1549,B$1,FALSE)</f>
        <v>N05CD07</v>
      </c>
      <c r="C1407" t="str">
        <f>VLOOKUP($A1407,[1]Table!$A$2:$N1549,C$1,FALSE)</f>
        <v>PSYCHOLEPTICA</v>
      </c>
      <c r="D1407" t="str">
        <f>VLOOKUP($A1407,[1]Table!$A$2:$N1549,D$1,FALSE)</f>
        <v>HYPNOTICA EN SEDATIVA</v>
      </c>
      <c r="E1407" t="str">
        <f>VLOOKUP($A1407,[1]Table!$A$2:$N1549,E$1,FALSE)</f>
        <v>TEMAZEPAM</v>
      </c>
      <c r="F1407" t="str">
        <f>VLOOKUP($A1407,[1]Table!$A$2:$N1549,F$1,FALSE)</f>
        <v>TEMAZEPAM 10 MG TABLET</v>
      </c>
      <c r="G1407" t="str">
        <f>VLOOKUP($A1407,[1]Table!$A$2:$N1549,G$1,FALSE)</f>
        <v>TEMAZEPAM 10MG TABLET</v>
      </c>
      <c r="H1407" t="str">
        <f>VLOOKUP($A1407,[1]Table!$A$2:$N1549,H$1,FALSE)</f>
        <v>tablet</v>
      </c>
      <c r="I1407" t="str">
        <f>VLOOKUP($A1407,[1]Table!$A$2:$N1549,I$1,FALSE)</f>
        <v>or</v>
      </c>
      <c r="J1407">
        <f>VLOOKUP($A1407,[1]Table!$A$2:$N1549,J$1,FALSE)</f>
        <v>10</v>
      </c>
      <c r="K1407" t="str">
        <f>VLOOKUP($A1407,[1]Table!$A$2:$N1549,K$1,FALSE)</f>
        <v>mg/stuk</v>
      </c>
      <c r="L1407">
        <f>VLOOKUP($A1407,[1]Table!$A$2:$N1549,L$1,FALSE)</f>
        <v>10</v>
      </c>
      <c r="M1407" t="str">
        <f>VLOOKUP($A1407,[1]Table!$A$2:$N1549,M$1,FALSE)</f>
        <v>mg</v>
      </c>
      <c r="N1407" t="str">
        <f>VLOOKUP($A1407,[1]Table!$A$2:$N1549,N$1,FALSE)</f>
        <v>Kortdurende behandeling van ernstige slaapstoornissen</v>
      </c>
      <c r="O1407" t="str">
        <f>ConcatenateRange(AZ1407:BU1407,"||")</f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>
      <c r="A1408" s="1">
        <v>39012</v>
      </c>
      <c r="B1408" t="str">
        <f>VLOOKUP($A1408,[1]Table!$A$2:$N1550,B$1,FALSE)</f>
        <v>L01CB02</v>
      </c>
      <c r="C1408" t="str">
        <f>VLOOKUP($A1408,[1]Table!$A$2:$N1550,C$1,FALSE)</f>
        <v>ONCOLYTICA</v>
      </c>
      <c r="D1408" t="str">
        <f>VLOOKUP($A1408,[1]Table!$A$2:$N1550,D$1,FALSE)</f>
        <v>ALKALOIDEN EN OVERIGE NATUURLIJKE PRODUCTEN</v>
      </c>
      <c r="E1408" t="str">
        <f>VLOOKUP($A1408,[1]Table!$A$2:$N1550,E$1,FALSE)</f>
        <v>TENIPOSIDE</v>
      </c>
      <c r="F1408" t="str">
        <f>VLOOKUP($A1408,[1]Table!$A$2:$N1550,F$1,FALSE)</f>
        <v>VUMON 50MG=5ML INFVLST AMP</v>
      </c>
      <c r="G1408" t="str">
        <f>VLOOKUP($A1408,[1]Table!$A$2:$N1550,G$1,FALSE)</f>
        <v>TENIPOSIDE 10MG/ML INF CONC</v>
      </c>
      <c r="H1408" t="str">
        <f>VLOOKUP($A1408,[1]Table!$A$2:$N1550,H$1,FALSE)</f>
        <v>concentraat voor oplossing voor infusie</v>
      </c>
      <c r="I1408" t="str">
        <f>VLOOKUP($A1408,[1]Table!$A$2:$N1550,I$1,FALSE)</f>
        <v>iv</v>
      </c>
      <c r="J1408">
        <f>VLOOKUP($A1408,[1]Table!$A$2:$N1550,J$1,FALSE)</f>
        <v>10</v>
      </c>
      <c r="K1408" t="str">
        <f>VLOOKUP($A1408,[1]Table!$A$2:$N1550,K$1,FALSE)</f>
        <v>mg/ml</v>
      </c>
      <c r="L1408">
        <f>VLOOKUP($A1408,[1]Table!$A$2:$N1550,L$1,FALSE)</f>
        <v>10</v>
      </c>
      <c r="M1408" t="str">
        <f>VLOOKUP($A1408,[1]Table!$A$2:$N1550,M$1,FALSE)</f>
        <v>mg</v>
      </c>
      <c r="N1408" t="str">
        <f>VLOOKUP($A1408,[1]Table!$A$2:$N1550,N$1,FALSE)</f>
        <v>Oncologische aandoeningen</v>
      </c>
      <c r="O1408" t="str">
        <f>ConcatenateRange(AZ1408:BU1408,"||")</f>
        <v/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>
      <c r="A1409" s="22">
        <v>171808</v>
      </c>
      <c r="B1409" t="str">
        <f>VLOOKUP($A1409,[1]Table!$A$2:$N1719,B$1,FALSE)</f>
        <v>J05AF07</v>
      </c>
      <c r="C1409" t="str">
        <f>VLOOKUP($A1409,[1]Table!$A$2:$N1719,C$1,FALSE)</f>
        <v>ANTIVIRALE MIDDELEN VOOR SYSTEMISCH GEBRUIK</v>
      </c>
      <c r="D1409" t="str">
        <f>VLOOKUP($A1409,[1]Table!$A$2:$N1719,D$1,FALSE)</f>
        <v>DIRECT WERKENDE ANTIVIRALE MIDDELEN</v>
      </c>
      <c r="E1409" t="str">
        <f>VLOOKUP($A1409,[1]Table!$A$2:$N1719,E$1,FALSE)</f>
        <v>TENOFOVIR</v>
      </c>
      <c r="F1409" t="str">
        <f>VLOOKUP($A1409,[1]Table!$A$2:$N1719,F$1,FALSE)</f>
        <v>VIREAD 245 MG TABLET FILMOMHULD</v>
      </c>
      <c r="G1409" t="str">
        <f>VLOOKUP($A1409,[1]Table!$A$2:$N1719,G$1,FALSE)</f>
        <v>TENOFOVIR DISOP 245MG TABL</v>
      </c>
      <c r="H1409" t="str">
        <f>VLOOKUP($A1409,[1]Table!$A$2:$N1719,H$1,FALSE)</f>
        <v>tablet</v>
      </c>
      <c r="I1409" t="str">
        <f>VLOOKUP($A1409,[1]Table!$A$2:$N1719,I$1,FALSE)</f>
        <v>or</v>
      </c>
      <c r="J1409">
        <f>VLOOKUP($A1409,[1]Table!$A$2:$N1719,J$1,FALSE)</f>
        <v>245</v>
      </c>
      <c r="K1409" t="str">
        <f>VLOOKUP($A1409,[1]Table!$A$2:$N1719,K$1,FALSE)</f>
        <v>mg/stuk</v>
      </c>
      <c r="L1409">
        <f>VLOOKUP($A1409,[1]Table!$A$2:$N1719,L$1,FALSE)</f>
        <v>245</v>
      </c>
      <c r="M1409" t="str">
        <f>VLOOKUP($A1409,[1]Table!$A$2:$N1719,M$1,FALSE)</f>
        <v>mg</v>
      </c>
      <c r="N1409" t="str">
        <f>VLOOKUP($A1409,[1]Table!$A$2:$N1719,N$1,FALSE)</f>
        <v>HIV||Chronische hepatitis B</v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>
      <c r="A1410" s="1">
        <v>88102</v>
      </c>
      <c r="B1410" t="str">
        <f>VLOOKUP($A1410,[1]Table!$A$2:$N1552,B$1,FALSE)</f>
        <v>D01AE15</v>
      </c>
      <c r="C1410" t="str">
        <f>VLOOKUP($A1410,[1]Table!$A$2:$N1552,C$1,FALSE)</f>
        <v>ANTIMYCOTICA VOOR DERMATOLOGISCH GEBRUIK</v>
      </c>
      <c r="D1410" t="str">
        <f>VLOOKUP($A1410,[1]Table!$A$2:$N1552,D$1,FALSE)</f>
        <v>ANTIMYCOTICA, LOKALE</v>
      </c>
      <c r="E1410" t="str">
        <f>VLOOKUP($A1410,[1]Table!$A$2:$N1552,E$1,FALSE)</f>
        <v>TERBINAFINE</v>
      </c>
      <c r="F1410" t="str">
        <f>VLOOKUP($A1410,[1]Table!$A$2:$N1552,F$1,FALSE)</f>
        <v>LAMISIL 10 MG/G CREME HYDROFIEL 15 G</v>
      </c>
      <c r="G1410" t="str">
        <f>VLOOKUP($A1410,[1]Table!$A$2:$N1552,G$1,FALSE)</f>
        <v>TERBINAFINE 10MG/G CREME</v>
      </c>
      <c r="H1410" t="str">
        <f>VLOOKUP($A1410,[1]Table!$A$2:$N1552,H$1,FALSE)</f>
        <v>creme</v>
      </c>
      <c r="I1410" t="str">
        <f>VLOOKUP($A1410,[1]Table!$A$2:$N1552,I$1,FALSE)</f>
        <v>cutaan</v>
      </c>
      <c r="J1410">
        <f>VLOOKUP($A1410,[1]Table!$A$2:$N1552,J$1,FALSE)</f>
        <v>10</v>
      </c>
      <c r="K1410" t="str">
        <f>VLOOKUP($A1410,[1]Table!$A$2:$N1552,K$1,FALSE)</f>
        <v>mg/gr</v>
      </c>
      <c r="L1410">
        <f>VLOOKUP($A1410,[1]Table!$A$2:$N1552,L$1,FALSE)</f>
        <v>10</v>
      </c>
      <c r="M1410" t="str">
        <f>VLOOKUP($A1410,[1]Table!$A$2:$N1552,M$1,FALSE)</f>
        <v>mg</v>
      </c>
      <c r="N1410" t="str">
        <f>VLOOKUP($A1410,[1]Table!$A$2:$N1552,N$1,FALSE)</f>
        <v>Schimmelinfecties van de huid</v>
      </c>
      <c r="O1410" t="str">
        <f>ConcatenateRange(AZ1410:BU1410,"||")</f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>
      <c r="A1411" s="1">
        <v>86665</v>
      </c>
      <c r="B1411" t="str">
        <f>VLOOKUP($A1411,[1]Table!$A$2:$N1553,B$1,FALSE)</f>
        <v>D01BA02</v>
      </c>
      <c r="C1411" t="str">
        <f>VLOOKUP($A1411,[1]Table!$A$2:$N1553,C$1,FALSE)</f>
        <v>ANTIMYCOTICA VOOR DERMATOLOGISCH GEBRUIK</v>
      </c>
      <c r="D1411" t="str">
        <f>VLOOKUP($A1411,[1]Table!$A$2:$N1553,D$1,FALSE)</f>
        <v>ANTIMYCOTICA VOOR SYSTEMISCH GEBRUIK</v>
      </c>
      <c r="E1411" t="str">
        <f>VLOOKUP($A1411,[1]Table!$A$2:$N1553,E$1,FALSE)</f>
        <v>TERBINAFINE</v>
      </c>
      <c r="F1411" t="str">
        <f>VLOOKUP($A1411,[1]Table!$A$2:$N1553,F$1,FALSE)</f>
        <v>TERBINAFINE 250 MG TABLET</v>
      </c>
      <c r="G1411" t="str">
        <f>VLOOKUP($A1411,[1]Table!$A$2:$N1553,G$1,FALSE)</f>
        <v>TERBINAFINE 250MG TABLET</v>
      </c>
      <c r="H1411" t="str">
        <f>VLOOKUP($A1411,[1]Table!$A$2:$N1553,H$1,FALSE)</f>
        <v>tablet</v>
      </c>
      <c r="I1411" t="str">
        <f>VLOOKUP($A1411,[1]Table!$A$2:$N1553,I$1,FALSE)</f>
        <v>or</v>
      </c>
      <c r="J1411">
        <f>VLOOKUP($A1411,[1]Table!$A$2:$N1553,J$1,FALSE)</f>
        <v>250</v>
      </c>
      <c r="K1411" t="str">
        <f>VLOOKUP($A1411,[1]Table!$A$2:$N1553,K$1,FALSE)</f>
        <v>mg/stuk</v>
      </c>
      <c r="L1411">
        <f>VLOOKUP($A1411,[1]Table!$A$2:$N1553,L$1,FALSE)</f>
        <v>125</v>
      </c>
      <c r="M1411" t="str">
        <f>VLOOKUP($A1411,[1]Table!$A$2:$N1553,M$1,FALSE)</f>
        <v>mg</v>
      </c>
      <c r="N1411" t="str">
        <f>VLOOKUP($A1411,[1]Table!$A$2:$N1553,N$1,FALSE)</f>
        <v>Schimmel infectie</v>
      </c>
      <c r="O1411" t="str">
        <f>ConcatenateRange(AZ1411:BU1411,"||")</f>
        <v/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>
      <c r="A1412" s="1">
        <v>91022</v>
      </c>
      <c r="B1412" t="str">
        <f>VLOOKUP($A1412,[1]Table!$A$2:$N1554,B$1,FALSE)</f>
        <v>R03AC03</v>
      </c>
      <c r="C1412" t="str">
        <f>VLOOKUP($A1412,[1]Table!$A$2:$N1554,C$1,FALSE)</f>
        <v>MIDDELEN BIJ ASTMA/COPD</v>
      </c>
      <c r="D1412" t="str">
        <f>VLOOKUP($A1412,[1]Table!$A$2:$N1554,D$1,FALSE)</f>
        <v>SYMPATHICOMIMETICA VOOR INHALATIE</v>
      </c>
      <c r="E1412" t="str">
        <f>VLOOKUP($A1412,[1]Table!$A$2:$N1554,E$1,FALSE)</f>
        <v>TERBUTALINE</v>
      </c>
      <c r="F1412" t="str">
        <f>VLOOKUP($A1412,[1]Table!$A$2:$N1554,F$1,FALSE)</f>
        <v>BRICANYL TURBUHALER 0.25MG/DOSIS  200DOS</v>
      </c>
      <c r="G1412" t="str">
        <f>VLOOKUP($A1412,[1]Table!$A$2:$N1554,G$1,FALSE)</f>
        <v>TERBUTALINE 0,25MG/DO INHPD</v>
      </c>
      <c r="H1412" t="str">
        <f>VLOOKUP($A1412,[1]Table!$A$2:$N1554,H$1,FALSE)</f>
        <v>inhalatiepoeder</v>
      </c>
      <c r="I1412" t="str">
        <f>VLOOKUP($A1412,[1]Table!$A$2:$N1554,I$1,FALSE)</f>
        <v>inh</v>
      </c>
      <c r="J1412">
        <f>VLOOKUP($A1412,[1]Table!$A$2:$N1554,J$1,FALSE)</f>
        <v>0.25</v>
      </c>
      <c r="K1412" t="str">
        <f>VLOOKUP($A1412,[1]Table!$A$2:$N1554,K$1,FALSE)</f>
        <v>mg/dose</v>
      </c>
      <c r="L1412">
        <f>VLOOKUP($A1412,[1]Table!$A$2:$N1554,L$1,FALSE)</f>
        <v>0.25</v>
      </c>
      <c r="M1412" t="str">
        <f>VLOOKUP($A1412,[1]Table!$A$2:$N1554,M$1,FALSE)</f>
        <v>mg</v>
      </c>
      <c r="N1412" t="str">
        <f>VLOOKUP($A1412,[1]Table!$A$2:$N1554,N$1,FALSE)</f>
        <v>Bronchusverwijding (kortwerkend) bij intermitterende astma klachten</v>
      </c>
      <c r="O1412" t="str">
        <f>ConcatenateRange(AZ1412:BU1412,"||")</f>
        <v/>
      </c>
      <c r="AZ1412" t="str">
        <f t="shared" si="506"/>
        <v/>
      </c>
      <c r="BA1412" t="str">
        <f t="shared" si="507"/>
        <v/>
      </c>
      <c r="BB1412" t="str">
        <f t="shared" si="508"/>
        <v/>
      </c>
      <c r="BC1412" t="str">
        <f t="shared" si="509"/>
        <v/>
      </c>
      <c r="BD1412" t="str">
        <f t="shared" si="510"/>
        <v/>
      </c>
      <c r="BE1412" t="str">
        <f t="shared" si="511"/>
        <v/>
      </c>
      <c r="BF1412" t="str">
        <f t="shared" si="512"/>
        <v/>
      </c>
      <c r="BG1412" t="str">
        <f t="shared" si="513"/>
        <v/>
      </c>
      <c r="BH1412" t="str">
        <f t="shared" si="514"/>
        <v/>
      </c>
      <c r="BI1412" t="str">
        <f t="shared" si="515"/>
        <v/>
      </c>
      <c r="BJ1412" t="str">
        <f t="shared" si="516"/>
        <v/>
      </c>
      <c r="BK1412" t="str">
        <f t="shared" si="517"/>
        <v/>
      </c>
      <c r="BL1412" t="str">
        <f t="shared" si="518"/>
        <v/>
      </c>
      <c r="BM1412" t="str">
        <f t="shared" si="519"/>
        <v/>
      </c>
      <c r="BN1412" t="str">
        <f t="shared" si="520"/>
        <v/>
      </c>
      <c r="BO1412" t="str">
        <f t="shared" si="521"/>
        <v/>
      </c>
      <c r="BP1412" t="str">
        <f t="shared" si="522"/>
        <v/>
      </c>
      <c r="BQ1412" t="str">
        <f t="shared" si="523"/>
        <v/>
      </c>
      <c r="BR1412" t="str">
        <f t="shared" si="524"/>
        <v/>
      </c>
      <c r="BS1412" t="str">
        <f t="shared" si="525"/>
        <v/>
      </c>
      <c r="BT1412" t="str">
        <f t="shared" si="526"/>
        <v/>
      </c>
      <c r="BU1412" t="str">
        <f t="shared" si="527"/>
        <v/>
      </c>
    </row>
    <row r="1413" spans="1:73">
      <c r="A1413" s="1">
        <v>71293</v>
      </c>
      <c r="B1413" t="str">
        <f>VLOOKUP($A1413,[1]Table!$A$2:$N1555,B$1,FALSE)</f>
        <v>R03AC03</v>
      </c>
      <c r="C1413" t="str">
        <f>VLOOKUP($A1413,[1]Table!$A$2:$N1555,C$1,FALSE)</f>
        <v>MIDDELEN BIJ ASTMA/COPD</v>
      </c>
      <c r="D1413" t="str">
        <f>VLOOKUP($A1413,[1]Table!$A$2:$N1555,D$1,FALSE)</f>
        <v>SYMPATHICOMIMETICA VOOR INHALATIE</v>
      </c>
      <c r="E1413" t="str">
        <f>VLOOKUP($A1413,[1]Table!$A$2:$N1555,E$1,FALSE)</f>
        <v>TERBUTALINE</v>
      </c>
      <c r="F1413" t="str">
        <f>VLOOKUP($A1413,[1]Table!$A$2:$N1555,F$1,FALSE)</f>
        <v>BRICANYL TURBUHALER INHALPDR 0,5MG/DOSIS 100 DO</v>
      </c>
      <c r="G1413" t="str">
        <f>VLOOKUP($A1413,[1]Table!$A$2:$N1555,G$1,FALSE)</f>
        <v>TERBUTALINE 0,5MG/DO INHPDR</v>
      </c>
      <c r="H1413" t="str">
        <f>VLOOKUP($A1413,[1]Table!$A$2:$N1555,H$1,FALSE)</f>
        <v>inhalatiepoeder</v>
      </c>
      <c r="I1413" t="str">
        <f>VLOOKUP($A1413,[1]Table!$A$2:$N1555,I$1,FALSE)</f>
        <v>inh</v>
      </c>
      <c r="J1413">
        <f>VLOOKUP($A1413,[1]Table!$A$2:$N1555,J$1,FALSE)</f>
        <v>0.5</v>
      </c>
      <c r="K1413" t="str">
        <f>VLOOKUP($A1413,[1]Table!$A$2:$N1555,K$1,FALSE)</f>
        <v>mg/dose</v>
      </c>
      <c r="L1413">
        <f>VLOOKUP($A1413,[1]Table!$A$2:$N1555,L$1,FALSE)</f>
        <v>0.5</v>
      </c>
      <c r="M1413" t="str">
        <f>VLOOKUP($A1413,[1]Table!$A$2:$N1555,M$1,FALSE)</f>
        <v>mg</v>
      </c>
      <c r="N1413" t="str">
        <f>VLOOKUP($A1413,[1]Table!$A$2:$N1555,N$1,FALSE)</f>
        <v>Bronchusverwijding (kortwerkend) bij intermitterende astma klachten</v>
      </c>
      <c r="O1413" t="str">
        <f>ConcatenateRange(AZ1413:BU1413,"||")</f>
        <v/>
      </c>
      <c r="AZ1413" t="str">
        <f t="shared" si="506"/>
        <v/>
      </c>
      <c r="BA1413" t="str">
        <f t="shared" si="507"/>
        <v/>
      </c>
      <c r="BB1413" t="str">
        <f t="shared" si="508"/>
        <v/>
      </c>
      <c r="BC1413" t="str">
        <f t="shared" si="509"/>
        <v/>
      </c>
      <c r="BD1413" t="str">
        <f t="shared" si="510"/>
        <v/>
      </c>
      <c r="BE1413" t="str">
        <f t="shared" si="511"/>
        <v/>
      </c>
      <c r="BF1413" t="str">
        <f t="shared" si="512"/>
        <v/>
      </c>
      <c r="BG1413" t="str">
        <f t="shared" si="513"/>
        <v/>
      </c>
      <c r="BH1413" t="str">
        <f t="shared" si="514"/>
        <v/>
      </c>
      <c r="BI1413" t="str">
        <f t="shared" si="515"/>
        <v/>
      </c>
      <c r="BJ1413" t="str">
        <f t="shared" si="516"/>
        <v/>
      </c>
      <c r="BK1413" t="str">
        <f t="shared" si="517"/>
        <v/>
      </c>
      <c r="BL1413" t="str">
        <f t="shared" si="518"/>
        <v/>
      </c>
      <c r="BM1413" t="str">
        <f t="shared" si="519"/>
        <v/>
      </c>
      <c r="BN1413" t="str">
        <f t="shared" si="520"/>
        <v/>
      </c>
      <c r="BO1413" t="str">
        <f t="shared" si="521"/>
        <v/>
      </c>
      <c r="BP1413" t="str">
        <f t="shared" si="522"/>
        <v/>
      </c>
      <c r="BQ1413" t="str">
        <f t="shared" si="523"/>
        <v/>
      </c>
      <c r="BR1413" t="str">
        <f t="shared" si="524"/>
        <v/>
      </c>
      <c r="BS1413" t="str">
        <f t="shared" si="525"/>
        <v/>
      </c>
      <c r="BT1413" t="str">
        <f t="shared" si="526"/>
        <v/>
      </c>
      <c r="BU1413" t="str">
        <f t="shared" si="527"/>
        <v/>
      </c>
    </row>
    <row r="1414" spans="1:73">
      <c r="A1414" s="1">
        <v>11533</v>
      </c>
      <c r="B1414" t="str">
        <f>VLOOKUP($A1414,[1]Table!$A$2:$N1556,B$1,FALSE)</f>
        <v>G03BA03</v>
      </c>
      <c r="C1414" t="str">
        <f>VLOOKUP($A1414,[1]Table!$A$2:$N1556,C$1,FALSE)</f>
        <v>GESLACHTSHORMONEN EN MODULATOREN VAN HET GENITALE STELSEL</v>
      </c>
      <c r="D1414" t="str">
        <f>VLOOKUP($A1414,[1]Table!$A$2:$N1556,D$1,FALSE)</f>
        <v>ANDROGENEN</v>
      </c>
      <c r="E1414" t="str">
        <f>VLOOKUP($A1414,[1]Table!$A$2:$N1556,E$1,FALSE)</f>
        <v>TESTOSTERON</v>
      </c>
      <c r="F1414" t="str">
        <f>VLOOKUP($A1414,[1]Table!$A$2:$N1556,F$1,FALSE)</f>
        <v>ANDRIOL TESTOCAPS CAPSULE 40 MG</v>
      </c>
      <c r="G1414" t="str">
        <f>VLOOKUP($A1414,[1]Table!$A$2:$N1556,G$1,FALSE)</f>
        <v>TESTOSTERON 40MG CAPSULE</v>
      </c>
      <c r="H1414" t="str">
        <f>VLOOKUP($A1414,[1]Table!$A$2:$N1556,H$1,FALSE)</f>
        <v>capsule</v>
      </c>
      <c r="I1414" t="str">
        <f>VLOOKUP($A1414,[1]Table!$A$2:$N1556,I$1,FALSE)</f>
        <v>or</v>
      </c>
      <c r="J1414">
        <f>VLOOKUP($A1414,[1]Table!$A$2:$N1556,J$1,FALSE)</f>
        <v>40</v>
      </c>
      <c r="K1414" t="str">
        <f>VLOOKUP($A1414,[1]Table!$A$2:$N1556,K$1,FALSE)</f>
        <v>mg/stuk</v>
      </c>
      <c r="L1414">
        <f>VLOOKUP($A1414,[1]Table!$A$2:$N1556,L$1,FALSE)</f>
        <v>40</v>
      </c>
      <c r="M1414" t="str">
        <f>VLOOKUP($A1414,[1]Table!$A$2:$N1556,M$1,FALSE)</f>
        <v>mg</v>
      </c>
      <c r="N1414" t="str">
        <f>VLOOKUP($A1414,[1]Table!$A$2:$N1556,N$1,FALSE)</f>
        <v>Substitutietherapie, hypogonadisme||Puberteitsinductie||Priming voorafgaand aan groeihormoontest||Constitutioneel vertraagde puberteit ||Groeiremming</v>
      </c>
      <c r="O1414" t="str">
        <f>ConcatenateRange(AZ1414:BU1414,"||")</f>
        <v/>
      </c>
      <c r="AZ1414" t="str">
        <f t="shared" si="506"/>
        <v/>
      </c>
      <c r="BA1414" t="str">
        <f t="shared" si="507"/>
        <v/>
      </c>
      <c r="BB1414" t="str">
        <f t="shared" si="508"/>
        <v/>
      </c>
      <c r="BC1414" t="str">
        <f t="shared" si="509"/>
        <v/>
      </c>
      <c r="BD1414" t="str">
        <f t="shared" si="510"/>
        <v/>
      </c>
      <c r="BE1414" t="str">
        <f t="shared" si="511"/>
        <v/>
      </c>
      <c r="BF1414" t="str">
        <f t="shared" si="512"/>
        <v/>
      </c>
      <c r="BG1414" t="str">
        <f t="shared" si="513"/>
        <v/>
      </c>
      <c r="BH1414" t="str">
        <f t="shared" si="514"/>
        <v/>
      </c>
      <c r="BI1414" t="str">
        <f t="shared" si="515"/>
        <v/>
      </c>
      <c r="BJ1414" t="str">
        <f t="shared" si="516"/>
        <v/>
      </c>
      <c r="BK1414" t="str">
        <f t="shared" si="517"/>
        <v/>
      </c>
      <c r="BL1414" t="str">
        <f t="shared" si="518"/>
        <v/>
      </c>
      <c r="BM1414" t="str">
        <f t="shared" si="519"/>
        <v/>
      </c>
      <c r="BN1414" t="str">
        <f t="shared" si="520"/>
        <v/>
      </c>
      <c r="BO1414" t="str">
        <f t="shared" si="521"/>
        <v/>
      </c>
      <c r="BP1414" t="str">
        <f t="shared" si="522"/>
        <v/>
      </c>
      <c r="BQ1414" t="str">
        <f t="shared" si="523"/>
        <v/>
      </c>
      <c r="BR1414" t="str">
        <f t="shared" si="524"/>
        <v/>
      </c>
      <c r="BS1414" t="str">
        <f t="shared" si="525"/>
        <v/>
      </c>
      <c r="BT1414" t="str">
        <f t="shared" si="526"/>
        <v/>
      </c>
      <c r="BU1414" t="str">
        <f t="shared" si="527"/>
        <v/>
      </c>
    </row>
    <row r="1415" spans="1:73">
      <c r="A1415" s="1">
        <v>120413</v>
      </c>
      <c r="B1415" t="str">
        <f>VLOOKUP($A1415,[1]Table!$A$2:$N1557,B$1,FALSE)</f>
        <v>G03BA03</v>
      </c>
      <c r="C1415" t="str">
        <f>VLOOKUP($A1415,[1]Table!$A$2:$N1557,C$1,FALSE)</f>
        <v>GESLACHTSHORMONEN EN MODULATOREN VAN HET GENITALE STELSEL</v>
      </c>
      <c r="D1415" t="str">
        <f>VLOOKUP($A1415,[1]Table!$A$2:$N1557,D$1,FALSE)</f>
        <v>ANDROGENEN</v>
      </c>
      <c r="E1415" t="str">
        <f>VLOOKUP($A1415,[1]Table!$A$2:$N1557,E$1,FALSE)</f>
        <v>TESTOSTERON</v>
      </c>
      <c r="F1415" t="str">
        <f>VLOOKUP($A1415,[1]Table!$A$2:$N1557,F$1,FALSE)</f>
        <v>ANDROGEL 25 MG/ST GEL SACHET (10MG/G 2.5G)</v>
      </c>
      <c r="G1415" t="str">
        <f>VLOOKUP($A1415,[1]Table!$A$2:$N1557,G$1,FALSE)</f>
        <v>TESTOSTERON 10MG/G GEL</v>
      </c>
      <c r="H1415" t="str">
        <f>VLOOKUP($A1415,[1]Table!$A$2:$N1557,H$1,FALSE)</f>
        <v>gel</v>
      </c>
      <c r="I1415" t="str">
        <f>VLOOKUP($A1415,[1]Table!$A$2:$N1557,I$1,FALSE)</f>
        <v>transderm</v>
      </c>
      <c r="J1415">
        <f>VLOOKUP($A1415,[1]Table!$A$2:$N1557,J$1,FALSE)</f>
        <v>10</v>
      </c>
      <c r="K1415" t="str">
        <f>VLOOKUP($A1415,[1]Table!$A$2:$N1557,K$1,FALSE)</f>
        <v>mg/gr</v>
      </c>
      <c r="L1415">
        <f>VLOOKUP($A1415,[1]Table!$A$2:$N1557,L$1,FALSE)</f>
        <v>10</v>
      </c>
      <c r="M1415" t="str">
        <f>VLOOKUP($A1415,[1]Table!$A$2:$N1557,M$1,FALSE)</f>
        <v>mg</v>
      </c>
      <c r="N1415" t="str">
        <f>VLOOKUP($A1415,[1]Table!$A$2:$N1557,N$1,FALSE)</f>
        <v>Substitutietherapie, hypogonadisme||Puberteitsinductie||Priming voorafgaand aan groeihormoontest||Constitutioneel vertraagde puberteit ||Groeiremming</v>
      </c>
      <c r="O1415" t="str">
        <f>ConcatenateRange(AZ1415:BU1415,"||")</f>
        <v/>
      </c>
      <c r="AZ1415" t="str">
        <f t="shared" si="506"/>
        <v/>
      </c>
      <c r="BA1415" t="str">
        <f t="shared" si="507"/>
        <v/>
      </c>
      <c r="BB1415" t="str">
        <f t="shared" si="508"/>
        <v/>
      </c>
      <c r="BC1415" t="str">
        <f t="shared" si="509"/>
        <v/>
      </c>
      <c r="BD1415" t="str">
        <f t="shared" si="510"/>
        <v/>
      </c>
      <c r="BE1415" t="str">
        <f t="shared" si="511"/>
        <v/>
      </c>
      <c r="BF1415" t="str">
        <f t="shared" si="512"/>
        <v/>
      </c>
      <c r="BG1415" t="str">
        <f t="shared" si="513"/>
        <v/>
      </c>
      <c r="BH1415" t="str">
        <f t="shared" si="514"/>
        <v/>
      </c>
      <c r="BI1415" t="str">
        <f t="shared" si="515"/>
        <v/>
      </c>
      <c r="BJ1415" t="str">
        <f t="shared" si="516"/>
        <v/>
      </c>
      <c r="BK1415" t="str">
        <f t="shared" si="517"/>
        <v/>
      </c>
      <c r="BL1415" t="str">
        <f t="shared" si="518"/>
        <v/>
      </c>
      <c r="BM1415" t="str">
        <f t="shared" si="519"/>
        <v/>
      </c>
      <c r="BN1415" t="str">
        <f t="shared" si="520"/>
        <v/>
      </c>
      <c r="BO1415" t="str">
        <f t="shared" si="521"/>
        <v/>
      </c>
      <c r="BP1415" t="str">
        <f t="shared" si="522"/>
        <v/>
      </c>
      <c r="BQ1415" t="str">
        <f t="shared" si="523"/>
        <v/>
      </c>
      <c r="BR1415" t="str">
        <f t="shared" si="524"/>
        <v/>
      </c>
      <c r="BS1415" t="str">
        <f t="shared" si="525"/>
        <v/>
      </c>
      <c r="BT1415" t="str">
        <f t="shared" si="526"/>
        <v/>
      </c>
      <c r="BU1415" t="str">
        <f t="shared" si="527"/>
        <v/>
      </c>
    </row>
    <row r="1416" spans="1:73">
      <c r="A1416" s="1">
        <v>127272</v>
      </c>
      <c r="B1416" t="str">
        <f>VLOOKUP($A1416,[1]Table!$A$2:$N1558,B$1,FALSE)</f>
        <v>G03BA03</v>
      </c>
      <c r="C1416" t="str">
        <f>VLOOKUP($A1416,[1]Table!$A$2:$N1558,C$1,FALSE)</f>
        <v>GESLACHTSHORMONEN EN MODULATOREN VAN HET GENITALE STELSEL</v>
      </c>
      <c r="D1416" t="str">
        <f>VLOOKUP($A1416,[1]Table!$A$2:$N1558,D$1,FALSE)</f>
        <v>ANDROGENEN</v>
      </c>
      <c r="E1416" t="str">
        <f>VLOOKUP($A1416,[1]Table!$A$2:$N1558,E$1,FALSE)</f>
        <v>TESTOSTERON</v>
      </c>
      <c r="F1416" t="str">
        <f>VLOOKUP($A1416,[1]Table!$A$2:$N1558,F$1,FALSE)</f>
        <v>TOSTRAN 20 MG/G GEL 60 GRAM</v>
      </c>
      <c r="G1416" t="str">
        <f>VLOOKUP($A1416,[1]Table!$A$2:$N1558,G$1,FALSE)</f>
        <v>TESTOSTERON 20MG/G GEL</v>
      </c>
      <c r="H1416" t="str">
        <f>VLOOKUP($A1416,[1]Table!$A$2:$N1558,H$1,FALSE)</f>
        <v>gel</v>
      </c>
      <c r="I1416" t="str">
        <f>VLOOKUP($A1416,[1]Table!$A$2:$N1558,I$1,FALSE)</f>
        <v>transderm</v>
      </c>
      <c r="J1416">
        <f>VLOOKUP($A1416,[1]Table!$A$2:$N1558,J$1,FALSE)</f>
        <v>20</v>
      </c>
      <c r="K1416" t="str">
        <f>VLOOKUP($A1416,[1]Table!$A$2:$N1558,K$1,FALSE)</f>
        <v>mg/gr</v>
      </c>
      <c r="L1416">
        <f>VLOOKUP($A1416,[1]Table!$A$2:$N1558,L$1,FALSE)</f>
        <v>20</v>
      </c>
      <c r="M1416" t="str">
        <f>VLOOKUP($A1416,[1]Table!$A$2:$N1558,M$1,FALSE)</f>
        <v>mg</v>
      </c>
      <c r="N1416" t="str">
        <f>VLOOKUP($A1416,[1]Table!$A$2:$N1558,N$1,FALSE)</f>
        <v>Substitutietherapie, hypogonadisme||Puberteitsinductie||Priming voorafgaand aan groeihormoontest||Constitutioneel vertraagde puberteit ||Groeiremming</v>
      </c>
      <c r="O1416" t="str">
        <f>ConcatenateRange(AZ1416:BU1416,"||")</f>
        <v/>
      </c>
      <c r="AZ1416" t="str">
        <f t="shared" ref="AZ1416:AZ1478" si="528">IF(AA1416&lt;&gt;0,AA$2,"")</f>
        <v/>
      </c>
      <c r="BA1416" t="str">
        <f t="shared" ref="BA1416:BA1478" si="529">IF(AB1416&lt;&gt;0,AB$2,"")</f>
        <v/>
      </c>
      <c r="BB1416" t="str">
        <f t="shared" ref="BB1416:BB1478" si="530">IF(AC1416&lt;&gt;0,AC$2,"")</f>
        <v/>
      </c>
      <c r="BC1416" t="str">
        <f t="shared" ref="BC1416:BC1478" si="531">IF(AD1416&lt;&gt;0,AD$2,"")</f>
        <v/>
      </c>
      <c r="BD1416" t="str">
        <f t="shared" ref="BD1416:BD1478" si="532">IF(AE1416&lt;&gt;0,AE$2,"")</f>
        <v/>
      </c>
      <c r="BE1416" t="str">
        <f t="shared" ref="BE1416:BE1478" si="533">IF(AF1416&lt;&gt;0,AF$2,"")</f>
        <v/>
      </c>
      <c r="BF1416" t="str">
        <f t="shared" ref="BF1416:BF1478" si="534">IF(AG1416&lt;&gt;0,AG$2,"")</f>
        <v/>
      </c>
      <c r="BG1416" t="str">
        <f t="shared" ref="BG1416:BG1478" si="535">IF(AH1416&lt;&gt;0,AH$2,"")</f>
        <v/>
      </c>
      <c r="BH1416" t="str">
        <f t="shared" ref="BH1416:BH1478" si="536">IF(AI1416&lt;&gt;0,AI$2,"")</f>
        <v/>
      </c>
      <c r="BI1416" t="str">
        <f t="shared" ref="BI1416:BI1478" si="537">IF(AJ1416&lt;&gt;0,AJ$2,"")</f>
        <v/>
      </c>
      <c r="BJ1416" t="str">
        <f t="shared" ref="BJ1416:BJ1478" si="538">IF(AK1416&lt;&gt;0,AK$2,"")</f>
        <v/>
      </c>
      <c r="BK1416" t="str">
        <f t="shared" ref="BK1416:BK1478" si="539">IF(AL1416&lt;&gt;0,AL$2,"")</f>
        <v/>
      </c>
      <c r="BL1416" t="str">
        <f t="shared" ref="BL1416:BL1478" si="540">IF(AM1416&lt;&gt;0,AM$2,"")</f>
        <v/>
      </c>
      <c r="BM1416" t="str">
        <f t="shared" ref="BM1416:BM1478" si="541">IF(AN1416&lt;&gt;0,AN$2,"")</f>
        <v/>
      </c>
      <c r="BN1416" t="str">
        <f t="shared" ref="BN1416:BN1478" si="542">IF(AO1416&lt;&gt;0,AO$2,"")</f>
        <v/>
      </c>
      <c r="BO1416" t="str">
        <f t="shared" ref="BO1416:BO1478" si="543">IF(AP1416&lt;&gt;0,AP$2,"")</f>
        <v/>
      </c>
      <c r="BP1416" t="str">
        <f t="shared" ref="BP1416:BP1478" si="544">IF(AQ1416&lt;&gt;0,AQ$2,"")</f>
        <v/>
      </c>
      <c r="BQ1416" t="str">
        <f t="shared" ref="BQ1416:BQ1478" si="545">IF(AR1416&lt;&gt;0,AR$2,"")</f>
        <v/>
      </c>
      <c r="BR1416" t="str">
        <f t="shared" ref="BR1416:BR1478" si="546">IF(AS1416&lt;&gt;0,AS$2,"")</f>
        <v/>
      </c>
      <c r="BS1416" t="str">
        <f t="shared" ref="BS1416:BS1478" si="547">IF(AT1416&lt;&gt;0,AT$2,"")</f>
        <v/>
      </c>
      <c r="BT1416" t="str">
        <f t="shared" ref="BT1416:BT1478" si="548">IF(AU1416&lt;&gt;0,AU$2,"")</f>
        <v/>
      </c>
      <c r="BU1416" t="str">
        <f t="shared" ref="BU1416:BU1478" si="549">IF(AV1416&lt;&gt;0,AV$2,"")</f>
        <v/>
      </c>
    </row>
    <row r="1417" spans="1:73">
      <c r="A1417" s="1">
        <v>1333</v>
      </c>
      <c r="B1417" t="str">
        <f>VLOOKUP($A1417,[1]Table!$A$2:$N1559,B$1,FALSE)</f>
        <v>G03BA03</v>
      </c>
      <c r="C1417" t="str">
        <f>VLOOKUP($A1417,[1]Table!$A$2:$N1559,C$1,FALSE)</f>
        <v>GESLACHTSHORMONEN EN MODULATOREN VAN HET GENITALE STELSEL</v>
      </c>
      <c r="D1417" t="str">
        <f>VLOOKUP($A1417,[1]Table!$A$2:$N1559,D$1,FALSE)</f>
        <v>ANDROGENEN</v>
      </c>
      <c r="E1417" t="str">
        <f>VLOOKUP($A1417,[1]Table!$A$2:$N1559,E$1,FALSE)</f>
        <v>TESTOSTERON</v>
      </c>
      <c r="F1417" t="str">
        <f>VLOOKUP($A1417,[1]Table!$A$2:$N1559,F$1,FALSE)</f>
        <v>SUSTANON 250 MG/ML AMPUL 1 ML</v>
      </c>
      <c r="G1417" t="str">
        <f>VLOOKUP($A1417,[1]Table!$A$2:$N1559,G$1,FALSE)</f>
        <v>TESTOSTERON 250MG/ML INJVLS</v>
      </c>
      <c r="H1417" t="str">
        <f>VLOOKUP($A1417,[1]Table!$A$2:$N1559,H$1,FALSE)</f>
        <v>injectievloeistof</v>
      </c>
      <c r="I1417" t="str">
        <f>VLOOKUP($A1417,[1]Table!$A$2:$N1559,I$1,FALSE)</f>
        <v>im</v>
      </c>
      <c r="J1417">
        <f>VLOOKUP($A1417,[1]Table!$A$2:$N1559,J$1,FALSE)</f>
        <v>30</v>
      </c>
      <c r="K1417" t="str">
        <f>VLOOKUP($A1417,[1]Table!$A$2:$N1559,K$1,FALSE)</f>
        <v>mg/ml</v>
      </c>
      <c r="L1417">
        <f>VLOOKUP($A1417,[1]Table!$A$2:$N1559,L$1,FALSE)</f>
        <v>30</v>
      </c>
      <c r="M1417" t="str">
        <f>VLOOKUP($A1417,[1]Table!$A$2:$N1559,M$1,FALSE)</f>
        <v>mg</v>
      </c>
      <c r="N1417" t="str">
        <f>VLOOKUP($A1417,[1]Table!$A$2:$N1559,N$1,FALSE)</f>
        <v>Substitutietherapie, hypogonadisme||Puberteitsinductie||Priming voorafgaand aan groeihormoontest||Constitutioneel vertraagde puberteit ||Groeiremming</v>
      </c>
      <c r="O1417" t="str">
        <f>ConcatenateRange(AZ1417:BU1417,"||")</f>
        <v/>
      </c>
      <c r="AZ1417" t="str">
        <f t="shared" si="528"/>
        <v/>
      </c>
      <c r="BA1417" t="str">
        <f t="shared" si="529"/>
        <v/>
      </c>
      <c r="BB1417" t="str">
        <f t="shared" si="530"/>
        <v/>
      </c>
      <c r="BC1417" t="str">
        <f t="shared" si="531"/>
        <v/>
      </c>
      <c r="BD1417" t="str">
        <f t="shared" si="532"/>
        <v/>
      </c>
      <c r="BE1417" t="str">
        <f t="shared" si="533"/>
        <v/>
      </c>
      <c r="BF1417" t="str">
        <f t="shared" si="534"/>
        <v/>
      </c>
      <c r="BG1417" t="str">
        <f t="shared" si="535"/>
        <v/>
      </c>
      <c r="BH1417" t="str">
        <f t="shared" si="536"/>
        <v/>
      </c>
      <c r="BI1417" t="str">
        <f t="shared" si="537"/>
        <v/>
      </c>
      <c r="BJ1417" t="str">
        <f t="shared" si="538"/>
        <v/>
      </c>
      <c r="BK1417" t="str">
        <f t="shared" si="539"/>
        <v/>
      </c>
      <c r="BL1417" t="str">
        <f t="shared" si="540"/>
        <v/>
      </c>
      <c r="BM1417" t="str">
        <f t="shared" si="541"/>
        <v/>
      </c>
      <c r="BN1417" t="str">
        <f t="shared" si="542"/>
        <v/>
      </c>
      <c r="BO1417" t="str">
        <f t="shared" si="543"/>
        <v/>
      </c>
      <c r="BP1417" t="str">
        <f t="shared" si="544"/>
        <v/>
      </c>
      <c r="BQ1417" t="str">
        <f t="shared" si="545"/>
        <v/>
      </c>
      <c r="BR1417" t="str">
        <f t="shared" si="546"/>
        <v/>
      </c>
      <c r="BS1417" t="str">
        <f t="shared" si="547"/>
        <v/>
      </c>
      <c r="BT1417" t="str">
        <f t="shared" si="548"/>
        <v/>
      </c>
      <c r="BU1417" t="str">
        <f t="shared" si="549"/>
        <v/>
      </c>
    </row>
    <row r="1418" spans="1:73">
      <c r="A1418" s="1">
        <v>135151</v>
      </c>
      <c r="B1418" t="str">
        <f>VLOOKUP($A1418,[1]Table!$A$2:$N1560,B$1,FALSE)</f>
        <v>G03BA03</v>
      </c>
      <c r="C1418" t="str">
        <f>VLOOKUP($A1418,[1]Table!$A$2:$N1560,C$1,FALSE)</f>
        <v>GESLACHTSHORMONEN EN MODULATOREN VAN HET GENITALE STELSEL</v>
      </c>
      <c r="D1418" t="str">
        <f>VLOOKUP($A1418,[1]Table!$A$2:$N1560,D$1,FALSE)</f>
        <v>ANDROGENEN</v>
      </c>
      <c r="E1418" t="str">
        <f>VLOOKUP($A1418,[1]Table!$A$2:$N1560,E$1,FALSE)</f>
        <v>TESTOSTERON</v>
      </c>
      <c r="F1418" t="str">
        <f>VLOOKUP($A1418,[1]Table!$A$2:$N1560,F$1,FALSE)</f>
        <v>NEBIDO 250 MG/ML FLACON 4 ML INJVLST</v>
      </c>
      <c r="G1418" t="str">
        <f>VLOOKUP($A1418,[1]Table!$A$2:$N1560,G$1,FALSE)</f>
        <v>TESTOSTERON 250MG/ML INJVLS</v>
      </c>
      <c r="H1418" t="str">
        <f>VLOOKUP($A1418,[1]Table!$A$2:$N1560,H$1,FALSE)</f>
        <v>injectievloeistof</v>
      </c>
      <c r="I1418" t="str">
        <f>VLOOKUP($A1418,[1]Table!$A$2:$N1560,I$1,FALSE)</f>
        <v>im</v>
      </c>
      <c r="J1418">
        <f>VLOOKUP($A1418,[1]Table!$A$2:$N1560,J$1,FALSE)</f>
        <v>250</v>
      </c>
      <c r="K1418" t="str">
        <f>VLOOKUP($A1418,[1]Table!$A$2:$N1560,K$1,FALSE)</f>
        <v>mg/ml</v>
      </c>
      <c r="L1418">
        <f>VLOOKUP($A1418,[1]Table!$A$2:$N1560,L$1,FALSE)</f>
        <v>250</v>
      </c>
      <c r="M1418" t="str">
        <f>VLOOKUP($A1418,[1]Table!$A$2:$N1560,M$1,FALSE)</f>
        <v>mg</v>
      </c>
      <c r="N1418" t="str">
        <f>VLOOKUP($A1418,[1]Table!$A$2:$N1560,N$1,FALSE)</f>
        <v>Substitutietherapie, hypogonadisme||Puberteitsinductie||Priming voorafgaand aan groeihormoontest||Constitutioneel vertraagde puberteit ||Groeiremming</v>
      </c>
      <c r="O1418" t="str">
        <f>ConcatenateRange(AZ1418:BU1418,"||")</f>
        <v/>
      </c>
      <c r="AZ1418" t="str">
        <f t="shared" si="528"/>
        <v/>
      </c>
      <c r="BA1418" t="str">
        <f t="shared" si="529"/>
        <v/>
      </c>
      <c r="BB1418" t="str">
        <f t="shared" si="530"/>
        <v/>
      </c>
      <c r="BC1418" t="str">
        <f t="shared" si="531"/>
        <v/>
      </c>
      <c r="BD1418" t="str">
        <f t="shared" si="532"/>
        <v/>
      </c>
      <c r="BE1418" t="str">
        <f t="shared" si="533"/>
        <v/>
      </c>
      <c r="BF1418" t="str">
        <f t="shared" si="534"/>
        <v/>
      </c>
      <c r="BG1418" t="str">
        <f t="shared" si="535"/>
        <v/>
      </c>
      <c r="BH1418" t="str">
        <f t="shared" si="536"/>
        <v/>
      </c>
      <c r="BI1418" t="str">
        <f t="shared" si="537"/>
        <v/>
      </c>
      <c r="BJ1418" t="str">
        <f t="shared" si="538"/>
        <v/>
      </c>
      <c r="BK1418" t="str">
        <f t="shared" si="539"/>
        <v/>
      </c>
      <c r="BL1418" t="str">
        <f t="shared" si="540"/>
        <v/>
      </c>
      <c r="BM1418" t="str">
        <f t="shared" si="541"/>
        <v/>
      </c>
      <c r="BN1418" t="str">
        <f t="shared" si="542"/>
        <v/>
      </c>
      <c r="BO1418" t="str">
        <f t="shared" si="543"/>
        <v/>
      </c>
      <c r="BP1418" t="str">
        <f t="shared" si="544"/>
        <v/>
      </c>
      <c r="BQ1418" t="str">
        <f t="shared" si="545"/>
        <v/>
      </c>
      <c r="BR1418" t="str">
        <f t="shared" si="546"/>
        <v/>
      </c>
      <c r="BS1418" t="str">
        <f t="shared" si="547"/>
        <v/>
      </c>
      <c r="BT1418" t="str">
        <f t="shared" si="548"/>
        <v/>
      </c>
      <c r="BU1418" t="str">
        <f t="shared" si="549"/>
        <v/>
      </c>
    </row>
    <row r="1419" spans="1:73">
      <c r="A1419" s="1">
        <v>66311</v>
      </c>
      <c r="B1419" t="str">
        <f>VLOOKUP($A1419,[1]Table!$A$2:$N1561,B$1,FALSE)</f>
        <v>J06BB02</v>
      </c>
      <c r="C1419" t="str">
        <f>VLOOKUP($A1419,[1]Table!$A$2:$N1561,C$1,FALSE)</f>
        <v>SERA EN IMMUNOGLOBULINEN</v>
      </c>
      <c r="D1419" t="str">
        <f>VLOOKUP($A1419,[1]Table!$A$2:$N1561,D$1,FALSE)</f>
        <v>IMMUNOGLOBULINEN</v>
      </c>
      <c r="E1419" t="str">
        <f>VLOOKUP($A1419,[1]Table!$A$2:$N1561,E$1,FALSE)</f>
        <v>TETANUSIMMUNOGLOBULINE</v>
      </c>
      <c r="F1419" t="str">
        <f>VLOOKUP($A1419,[1]Table!$A$2:$N1561,F$1,FALSE)</f>
        <v>TETAQUIN (TETANUS IMMUNOGLOB)125IE/ML FL</v>
      </c>
      <c r="G1419" t="str">
        <f>VLOOKUP($A1419,[1]Table!$A$2:$N1561,G$1,FALSE)</f>
        <v>TETANUSIMMUNOGLOBULINE 125I</v>
      </c>
      <c r="H1419" t="str">
        <f>VLOOKUP($A1419,[1]Table!$A$2:$N1561,H$1,FALSE)</f>
        <v>injectievloeistof</v>
      </c>
      <c r="I1419" t="str">
        <f>VLOOKUP($A1419,[1]Table!$A$2:$N1561,I$1,FALSE)</f>
        <v>im||sc</v>
      </c>
      <c r="J1419">
        <f>VLOOKUP($A1419,[1]Table!$A$2:$N1561,J$1,FALSE)</f>
        <v>125</v>
      </c>
      <c r="K1419" t="str">
        <f>VLOOKUP($A1419,[1]Table!$A$2:$N1561,K$1,FALSE)</f>
        <v>IE/ml</v>
      </c>
      <c r="L1419">
        <f>VLOOKUP($A1419,[1]Table!$A$2:$N1561,L$1,FALSE)</f>
        <v>125</v>
      </c>
      <c r="M1419" t="str">
        <f>VLOOKUP($A1419,[1]Table!$A$2:$N1561,M$1,FALSE)</f>
        <v>IE</v>
      </c>
      <c r="N1419" t="str">
        <f>VLOOKUP($A1419,[1]Table!$A$2:$N1561,N$1,FALSE)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19" t="str">
        <f>ConcatenateRange(AZ1419:BU1419,"||")</f>
        <v/>
      </c>
      <c r="AZ1419" t="str">
        <f t="shared" si="528"/>
        <v/>
      </c>
      <c r="BA1419" t="str">
        <f t="shared" si="529"/>
        <v/>
      </c>
      <c r="BB1419" t="str">
        <f t="shared" si="530"/>
        <v/>
      </c>
      <c r="BC1419" t="str">
        <f t="shared" si="531"/>
        <v/>
      </c>
      <c r="BD1419" t="str">
        <f t="shared" si="532"/>
        <v/>
      </c>
      <c r="BE1419" t="str">
        <f t="shared" si="533"/>
        <v/>
      </c>
      <c r="BF1419" t="str">
        <f t="shared" si="534"/>
        <v/>
      </c>
      <c r="BG1419" t="str">
        <f t="shared" si="535"/>
        <v/>
      </c>
      <c r="BH1419" t="str">
        <f t="shared" si="536"/>
        <v/>
      </c>
      <c r="BI1419" t="str">
        <f t="shared" si="537"/>
        <v/>
      </c>
      <c r="BJ1419" t="str">
        <f t="shared" si="538"/>
        <v/>
      </c>
      <c r="BK1419" t="str">
        <f t="shared" si="539"/>
        <v/>
      </c>
      <c r="BL1419" t="str">
        <f t="shared" si="540"/>
        <v/>
      </c>
      <c r="BM1419" t="str">
        <f t="shared" si="541"/>
        <v/>
      </c>
      <c r="BN1419" t="str">
        <f t="shared" si="542"/>
        <v/>
      </c>
      <c r="BO1419" t="str">
        <f t="shared" si="543"/>
        <v/>
      </c>
      <c r="BP1419" t="str">
        <f t="shared" si="544"/>
        <v/>
      </c>
      <c r="BQ1419" t="str">
        <f t="shared" si="545"/>
        <v/>
      </c>
      <c r="BR1419" t="str">
        <f t="shared" si="546"/>
        <v/>
      </c>
      <c r="BS1419" t="str">
        <f t="shared" si="547"/>
        <v/>
      </c>
      <c r="BT1419" t="str">
        <f t="shared" si="548"/>
        <v/>
      </c>
      <c r="BU1419" t="str">
        <f t="shared" si="549"/>
        <v/>
      </c>
    </row>
    <row r="1420" spans="1:73">
      <c r="A1420" s="1">
        <v>31461</v>
      </c>
      <c r="B1420" t="str">
        <f>VLOOKUP($A1420,[1]Table!$A$2:$N1562,B$1,FALSE)</f>
        <v>S01HA03</v>
      </c>
      <c r="C1420" t="str">
        <f>VLOOKUP($A1420,[1]Table!$A$2:$N1562,C$1,FALSE)</f>
        <v>MIDDELEN VOOR OOGHEELKUNDIG GEBRUIK</v>
      </c>
      <c r="D1420" t="str">
        <f>VLOOKUP($A1420,[1]Table!$A$2:$N1562,D$1,FALSE)</f>
        <v>ANAESTHETICA, LOKALE</v>
      </c>
      <c r="E1420" t="str">
        <f>VLOOKUP($A1420,[1]Table!$A$2:$N1562,E$1,FALSE)</f>
        <v>TETRACAINE</v>
      </c>
      <c r="F1420" t="str">
        <f>VLOOKUP($A1420,[1]Table!$A$2:$N1562,F$1,FALSE)</f>
        <v>TETRACAINE HCL 0,5% MINIM 0,5 ML</v>
      </c>
      <c r="G1420" t="str">
        <f>VLOOKUP($A1420,[1]Table!$A$2:$N1562,G$1,FALSE)</f>
        <v>TETRACAINE 5MG/ML OOGDRUPPE</v>
      </c>
      <c r="H1420" t="str">
        <f>VLOOKUP($A1420,[1]Table!$A$2:$N1562,H$1,FALSE)</f>
        <v>oogdruppels</v>
      </c>
      <c r="I1420" t="str">
        <f>VLOOKUP($A1420,[1]Table!$A$2:$N1562,I$1,FALSE)</f>
        <v>oog</v>
      </c>
      <c r="J1420">
        <f>VLOOKUP($A1420,[1]Table!$A$2:$N1562,J$1,FALSE)</f>
        <v>5</v>
      </c>
      <c r="K1420" t="str">
        <f>VLOOKUP($A1420,[1]Table!$A$2:$N1562,K$1,FALSE)</f>
        <v>mg/ml</v>
      </c>
      <c r="L1420">
        <f>VLOOKUP($A1420,[1]Table!$A$2:$N1562,L$1,FALSE)</f>
        <v>5</v>
      </c>
      <c r="M1420" t="str">
        <f>VLOOKUP($A1420,[1]Table!$A$2:$N1562,M$1,FALSE)</f>
        <v>mg</v>
      </c>
      <c r="N1420" t="str">
        <f>VLOOKUP($A1420,[1]Table!$A$2:$N1562,N$1,FALSE)</f>
        <v>Oppervlakte anesthesie</v>
      </c>
      <c r="O1420" t="str">
        <f>ConcatenateRange(AZ1420:BU1420,"||")</f>
        <v/>
      </c>
      <c r="AZ1420" t="str">
        <f t="shared" si="528"/>
        <v/>
      </c>
      <c r="BA1420" t="str">
        <f t="shared" si="529"/>
        <v/>
      </c>
      <c r="BB1420" t="str">
        <f t="shared" si="530"/>
        <v/>
      </c>
      <c r="BC1420" t="str">
        <f t="shared" si="531"/>
        <v/>
      </c>
      <c r="BD1420" t="str">
        <f t="shared" si="532"/>
        <v/>
      </c>
      <c r="BE1420" t="str">
        <f t="shared" si="533"/>
        <v/>
      </c>
      <c r="BF1420" t="str">
        <f t="shared" si="534"/>
        <v/>
      </c>
      <c r="BG1420" t="str">
        <f t="shared" si="535"/>
        <v/>
      </c>
      <c r="BH1420" t="str">
        <f t="shared" si="536"/>
        <v/>
      </c>
      <c r="BI1420" t="str">
        <f t="shared" si="537"/>
        <v/>
      </c>
      <c r="BJ1420" t="str">
        <f t="shared" si="538"/>
        <v/>
      </c>
      <c r="BK1420" t="str">
        <f t="shared" si="539"/>
        <v/>
      </c>
      <c r="BL1420" t="str">
        <f t="shared" si="540"/>
        <v/>
      </c>
      <c r="BM1420" t="str">
        <f t="shared" si="541"/>
        <v/>
      </c>
      <c r="BN1420" t="str">
        <f t="shared" si="542"/>
        <v/>
      </c>
      <c r="BO1420" t="str">
        <f t="shared" si="543"/>
        <v/>
      </c>
      <c r="BP1420" t="str">
        <f t="shared" si="544"/>
        <v/>
      </c>
      <c r="BQ1420" t="str">
        <f t="shared" si="545"/>
        <v/>
      </c>
      <c r="BR1420" t="str">
        <f t="shared" si="546"/>
        <v/>
      </c>
      <c r="BS1420" t="str">
        <f t="shared" si="547"/>
        <v/>
      </c>
      <c r="BT1420" t="str">
        <f t="shared" si="548"/>
        <v/>
      </c>
      <c r="BU1420" t="str">
        <f t="shared" si="549"/>
        <v/>
      </c>
    </row>
    <row r="1421" spans="1:73">
      <c r="A1421" s="1">
        <v>38008</v>
      </c>
      <c r="B1421" t="str">
        <f>VLOOKUP($A1421,[1]Table!$A$2:$N1563,B$1,FALSE)</f>
        <v>S01HA03</v>
      </c>
      <c r="C1421" t="str">
        <f>VLOOKUP($A1421,[1]Table!$A$2:$N1563,C$1,FALSE)</f>
        <v>MIDDELEN VOOR OOGHEELKUNDIG GEBRUIK</v>
      </c>
      <c r="D1421" t="str">
        <f>VLOOKUP($A1421,[1]Table!$A$2:$N1563,D$1,FALSE)</f>
        <v>ANAESTHETICA, LOKALE</v>
      </c>
      <c r="E1421" t="str">
        <f>VLOOKUP($A1421,[1]Table!$A$2:$N1563,E$1,FALSE)</f>
        <v>TETRACAINE</v>
      </c>
      <c r="F1421" t="str">
        <f>VLOOKUP($A1421,[1]Table!$A$2:$N1563,F$1,FALSE)</f>
        <v>TETRACAINE  1% MINIMS 0.5ML</v>
      </c>
      <c r="G1421" t="str">
        <f>VLOOKUP($A1421,[1]Table!$A$2:$N1563,G$1,FALSE)</f>
        <v>TETRACAINE 10MG/ML OOGDRUPP</v>
      </c>
      <c r="H1421" t="str">
        <f>VLOOKUP($A1421,[1]Table!$A$2:$N1563,H$1,FALSE)</f>
        <v>oogdruppels</v>
      </c>
      <c r="I1421" t="str">
        <f>VLOOKUP($A1421,[1]Table!$A$2:$N1563,I$1,FALSE)</f>
        <v>oog</v>
      </c>
      <c r="J1421">
        <f>VLOOKUP($A1421,[1]Table!$A$2:$N1563,J$1,FALSE)</f>
        <v>10</v>
      </c>
      <c r="K1421" t="str">
        <f>VLOOKUP($A1421,[1]Table!$A$2:$N1563,K$1,FALSE)</f>
        <v>mg/ml</v>
      </c>
      <c r="L1421">
        <f>VLOOKUP($A1421,[1]Table!$A$2:$N1563,L$1,FALSE)</f>
        <v>10</v>
      </c>
      <c r="M1421" t="str">
        <f>VLOOKUP($A1421,[1]Table!$A$2:$N1563,M$1,FALSE)</f>
        <v>mg</v>
      </c>
      <c r="N1421" t="str">
        <f>VLOOKUP($A1421,[1]Table!$A$2:$N1563,N$1,FALSE)</f>
        <v>Oppervlakte anesthesie</v>
      </c>
      <c r="O1421" t="str">
        <f>ConcatenateRange(AZ1421:BU1421,"||")</f>
        <v/>
      </c>
      <c r="AZ1421" t="str">
        <f t="shared" si="528"/>
        <v/>
      </c>
      <c r="BA1421" t="str">
        <f t="shared" si="529"/>
        <v/>
      </c>
      <c r="BB1421" t="str">
        <f t="shared" si="530"/>
        <v/>
      </c>
      <c r="BC1421" t="str">
        <f t="shared" si="531"/>
        <v/>
      </c>
      <c r="BD1421" t="str">
        <f t="shared" si="532"/>
        <v/>
      </c>
      <c r="BE1421" t="str">
        <f t="shared" si="533"/>
        <v/>
      </c>
      <c r="BF1421" t="str">
        <f t="shared" si="534"/>
        <v/>
      </c>
      <c r="BG1421" t="str">
        <f t="shared" si="535"/>
        <v/>
      </c>
      <c r="BH1421" t="str">
        <f t="shared" si="536"/>
        <v/>
      </c>
      <c r="BI1421" t="str">
        <f t="shared" si="537"/>
        <v/>
      </c>
      <c r="BJ1421" t="str">
        <f t="shared" si="538"/>
        <v/>
      </c>
      <c r="BK1421" t="str">
        <f t="shared" si="539"/>
        <v/>
      </c>
      <c r="BL1421" t="str">
        <f t="shared" si="540"/>
        <v/>
      </c>
      <c r="BM1421" t="str">
        <f t="shared" si="541"/>
        <v/>
      </c>
      <c r="BN1421" t="str">
        <f t="shared" si="542"/>
        <v/>
      </c>
      <c r="BO1421" t="str">
        <f t="shared" si="543"/>
        <v/>
      </c>
      <c r="BP1421" t="str">
        <f t="shared" si="544"/>
        <v/>
      </c>
      <c r="BQ1421" t="str">
        <f t="shared" si="545"/>
        <v/>
      </c>
      <c r="BR1421" t="str">
        <f t="shared" si="546"/>
        <v/>
      </c>
      <c r="BS1421" t="str">
        <f t="shared" si="547"/>
        <v/>
      </c>
      <c r="BT1421" t="str">
        <f t="shared" si="548"/>
        <v/>
      </c>
      <c r="BU1421" t="str">
        <f t="shared" si="549"/>
        <v/>
      </c>
    </row>
    <row r="1422" spans="1:73">
      <c r="A1422" s="1">
        <v>8427</v>
      </c>
      <c r="B1422" t="str">
        <f>VLOOKUP($A1422,[1]Table!$A$2:$N1564,B$1,FALSE)</f>
        <v>H01AA02</v>
      </c>
      <c r="C1422" t="str">
        <f>VLOOKUP($A1422,[1]Table!$A$2:$N1564,C$1,FALSE)</f>
        <v>HYPOFYSE- EN HYPOTHALAMUSHORMONEN EN VERWANTE VERBINDINGEN</v>
      </c>
      <c r="D1422" t="str">
        <f>VLOOKUP($A1422,[1]Table!$A$2:$N1564,D$1,FALSE)</f>
        <v>ADENOHYPOFYSEHORMONEN EN VERWANTE VERBINDINGEN</v>
      </c>
      <c r="E1422" t="str">
        <f>VLOOKUP($A1422,[1]Table!$A$2:$N1564,E$1,FALSE)</f>
        <v>TETRACOSACTIDE</v>
      </c>
      <c r="F1422" t="str">
        <f>VLOOKUP($A1422,[1]Table!$A$2:$N1564,F$1,FALSE)</f>
        <v>SYNACTHEN 250 MICROGRAM/ML AMPUL 1ML</v>
      </c>
      <c r="G1422" t="str">
        <f>VLOOKUP($A1422,[1]Table!$A$2:$N1564,G$1,FALSE)</f>
        <v>TETRACOSACTID 0,25MG/ML INJ</v>
      </c>
      <c r="H1422" t="str">
        <f>VLOOKUP($A1422,[1]Table!$A$2:$N1564,H$1,FALSE)</f>
        <v>injectievloeistof</v>
      </c>
      <c r="I1422" t="str">
        <f>VLOOKUP($A1422,[1]Table!$A$2:$N1564,I$1,FALSE)</f>
        <v>im||iv</v>
      </c>
      <c r="J1422">
        <f>VLOOKUP($A1422,[1]Table!$A$2:$N1564,J$1,FALSE)</f>
        <v>0.25</v>
      </c>
      <c r="K1422" t="str">
        <f>VLOOKUP($A1422,[1]Table!$A$2:$N1564,K$1,FALSE)</f>
        <v>mg/ml</v>
      </c>
      <c r="L1422">
        <f>VLOOKUP($A1422,[1]Table!$A$2:$N1564,L$1,FALSE)</f>
        <v>0.25</v>
      </c>
      <c r="M1422" t="str">
        <f>VLOOKUP($A1422,[1]Table!$A$2:$N1564,M$1,FALSE)</f>
        <v>mg</v>
      </c>
      <c r="N1422" t="str">
        <f>VLOOKUP($A1422,[1]Table!$A$2:$N1564,N$1,FALSE)</f>
        <v>Syndroom van West||Diagnosticum: ACTH test</v>
      </c>
      <c r="O1422" t="str">
        <f>ConcatenateRange(AZ1422:BU1422,"||")</f>
        <v/>
      </c>
      <c r="AZ1422" t="str">
        <f t="shared" si="528"/>
        <v/>
      </c>
      <c r="BA1422" t="str">
        <f t="shared" si="529"/>
        <v/>
      </c>
      <c r="BB1422" t="str">
        <f t="shared" si="530"/>
        <v/>
      </c>
      <c r="BC1422" t="str">
        <f t="shared" si="531"/>
        <v/>
      </c>
      <c r="BD1422" t="str">
        <f t="shared" si="532"/>
        <v/>
      </c>
      <c r="BE1422" t="str">
        <f t="shared" si="533"/>
        <v/>
      </c>
      <c r="BF1422" t="str">
        <f t="shared" si="534"/>
        <v/>
      </c>
      <c r="BG1422" t="str">
        <f t="shared" si="535"/>
        <v/>
      </c>
      <c r="BH1422" t="str">
        <f t="shared" si="536"/>
        <v/>
      </c>
      <c r="BI1422" t="str">
        <f t="shared" si="537"/>
        <v/>
      </c>
      <c r="BJ1422" t="str">
        <f t="shared" si="538"/>
        <v/>
      </c>
      <c r="BK1422" t="str">
        <f t="shared" si="539"/>
        <v/>
      </c>
      <c r="BL1422" t="str">
        <f t="shared" si="540"/>
        <v/>
      </c>
      <c r="BM1422" t="str">
        <f t="shared" si="541"/>
        <v/>
      </c>
      <c r="BN1422" t="str">
        <f t="shared" si="542"/>
        <v/>
      </c>
      <c r="BO1422" t="str">
        <f t="shared" si="543"/>
        <v/>
      </c>
      <c r="BP1422" t="str">
        <f t="shared" si="544"/>
        <v/>
      </c>
      <c r="BQ1422" t="str">
        <f t="shared" si="545"/>
        <v/>
      </c>
      <c r="BR1422" t="str">
        <f t="shared" si="546"/>
        <v/>
      </c>
      <c r="BS1422" t="str">
        <f t="shared" si="547"/>
        <v/>
      </c>
      <c r="BT1422" t="str">
        <f t="shared" si="548"/>
        <v/>
      </c>
      <c r="BU1422" t="str">
        <f t="shared" si="549"/>
        <v/>
      </c>
    </row>
    <row r="1423" spans="1:73">
      <c r="A1423" s="1">
        <v>4766</v>
      </c>
      <c r="B1423" t="str">
        <f>VLOOKUP($A1423,[1]Table!$A$2:$N1565,B$1,FALSE)</f>
        <v>J01AA07</v>
      </c>
      <c r="C1423" t="str">
        <f>VLOOKUP($A1423,[1]Table!$A$2:$N1565,C$1,FALSE)</f>
        <v>ANTIBACTERIELE MIDDELEN VOOR SYSTEMISCH GEBRUIK</v>
      </c>
      <c r="D1423" t="str">
        <f>VLOOKUP($A1423,[1]Table!$A$2:$N1565,D$1,FALSE)</f>
        <v>TETRACYCLINES</v>
      </c>
      <c r="E1423" t="str">
        <f>VLOOKUP($A1423,[1]Table!$A$2:$N1565,E$1,FALSE)</f>
        <v>TETRACYCLINE</v>
      </c>
      <c r="F1423" t="str">
        <f>VLOOKUP($A1423,[1]Table!$A$2:$N1565,F$1,FALSE)</f>
        <v>TETRACYCLINI HCL 250 MG CAPS GEEL</v>
      </c>
      <c r="G1423" t="str">
        <f>VLOOKUP($A1423,[1]Table!$A$2:$N1565,G$1,FALSE)</f>
        <v>TETRACYCLINE 250MG CAPSULE</v>
      </c>
      <c r="H1423" t="str">
        <f>VLOOKUP($A1423,[1]Table!$A$2:$N1565,H$1,FALSE)</f>
        <v>capsule</v>
      </c>
      <c r="I1423" t="str">
        <f>VLOOKUP($A1423,[1]Table!$A$2:$N1565,I$1,FALSE)</f>
        <v>or</v>
      </c>
      <c r="J1423">
        <f>VLOOKUP($A1423,[1]Table!$A$2:$N1565,J$1,FALSE)</f>
        <v>250</v>
      </c>
      <c r="K1423" t="str">
        <f>VLOOKUP($A1423,[1]Table!$A$2:$N1565,K$1,FALSE)</f>
        <v>mg/stuk</v>
      </c>
      <c r="L1423">
        <f>VLOOKUP($A1423,[1]Table!$A$2:$N1565,L$1,FALSE)</f>
        <v>250</v>
      </c>
      <c r="M1423" t="str">
        <f>VLOOKUP($A1423,[1]Table!$A$2:$N1565,M$1,FALSE)</f>
        <v>mg</v>
      </c>
      <c r="N1423" t="str">
        <f>VLOOKUP($A1423,[1]Table!$A$2:$N1565,N$1,FALSE)</f>
        <v>Infecties</v>
      </c>
      <c r="O1423" t="str">
        <f>ConcatenateRange(AZ1423:BU1423,"||")</f>
        <v/>
      </c>
      <c r="AZ1423" t="str">
        <f t="shared" si="528"/>
        <v/>
      </c>
      <c r="BA1423" t="str">
        <f t="shared" si="529"/>
        <v/>
      </c>
      <c r="BB1423" t="str">
        <f t="shared" si="530"/>
        <v/>
      </c>
      <c r="BC1423" t="str">
        <f t="shared" si="531"/>
        <v/>
      </c>
      <c r="BD1423" t="str">
        <f t="shared" si="532"/>
        <v/>
      </c>
      <c r="BE1423" t="str">
        <f t="shared" si="533"/>
        <v/>
      </c>
      <c r="BF1423" t="str">
        <f t="shared" si="534"/>
        <v/>
      </c>
      <c r="BG1423" t="str">
        <f t="shared" si="535"/>
        <v/>
      </c>
      <c r="BH1423" t="str">
        <f t="shared" si="536"/>
        <v/>
      </c>
      <c r="BI1423" t="str">
        <f t="shared" si="537"/>
        <v/>
      </c>
      <c r="BJ1423" t="str">
        <f t="shared" si="538"/>
        <v/>
      </c>
      <c r="BK1423" t="str">
        <f t="shared" si="539"/>
        <v/>
      </c>
      <c r="BL1423" t="str">
        <f t="shared" si="540"/>
        <v/>
      </c>
      <c r="BM1423" t="str">
        <f t="shared" si="541"/>
        <v/>
      </c>
      <c r="BN1423" t="str">
        <f t="shared" si="542"/>
        <v/>
      </c>
      <c r="BO1423" t="str">
        <f t="shared" si="543"/>
        <v/>
      </c>
      <c r="BP1423" t="str">
        <f t="shared" si="544"/>
        <v/>
      </c>
      <c r="BQ1423" t="str">
        <f t="shared" si="545"/>
        <v/>
      </c>
      <c r="BR1423" t="str">
        <f t="shared" si="546"/>
        <v/>
      </c>
      <c r="BS1423" t="str">
        <f t="shared" si="547"/>
        <v/>
      </c>
      <c r="BT1423" t="str">
        <f t="shared" si="548"/>
        <v/>
      </c>
      <c r="BU1423" t="str">
        <f t="shared" si="549"/>
        <v/>
      </c>
    </row>
    <row r="1424" spans="1:73">
      <c r="A1424" s="1">
        <v>62332</v>
      </c>
      <c r="B1424" t="str">
        <f>VLOOKUP($A1424,[1]Table!$A$2:$N1566,B$1,FALSE)</f>
        <v>R03DA04</v>
      </c>
      <c r="C1424" t="str">
        <f>VLOOKUP($A1424,[1]Table!$A$2:$N1566,C$1,FALSE)</f>
        <v>MIDDELEN BIJ ASTMA/COPD</v>
      </c>
      <c r="D1424" t="str">
        <f>VLOOKUP($A1424,[1]Table!$A$2:$N1566,D$1,FALSE)</f>
        <v>OVERIGE MIDDELEN BIJ ASTMA/COPD VOOR SYSTEMISCH GEBRUIK</v>
      </c>
      <c r="E1424" t="s">
        <v>120</v>
      </c>
      <c r="F1424" t="str">
        <f>VLOOKUP($A1424,[1]Table!$A$2:$N1566,F$1,FALSE)</f>
        <v>THEOLAIR 175 MG TABLET MGA (RETARD)</v>
      </c>
      <c r="G1424" t="str">
        <f>VLOOKUP($A1424,[1]Table!$A$2:$N1566,G$1,FALSE)</f>
        <v>THEOFYLLINE 175MG TAB MGA</v>
      </c>
      <c r="H1424" t="str">
        <f>VLOOKUP($A1424,[1]Table!$A$2:$N1566,H$1,FALSE)</f>
        <v>tablet met gereguleerde afgifte</v>
      </c>
      <c r="I1424" t="str">
        <f>VLOOKUP($A1424,[1]Table!$A$2:$N1566,I$1,FALSE)</f>
        <v>or</v>
      </c>
      <c r="J1424">
        <f>VLOOKUP($A1424,[1]Table!$A$2:$N1566,J$1,FALSE)</f>
        <v>175</v>
      </c>
      <c r="K1424" t="str">
        <f>VLOOKUP($A1424,[1]Table!$A$2:$N1566,K$1,FALSE)</f>
        <v>mg/stuk</v>
      </c>
      <c r="L1424">
        <f>VLOOKUP($A1424,[1]Table!$A$2:$N1566,L$1,FALSE)</f>
        <v>175</v>
      </c>
      <c r="M1424" t="str">
        <f>VLOOKUP($A1424,[1]Table!$A$2:$N1566,M$1,FALSE)</f>
        <v>mg</v>
      </c>
      <c r="N1424" t="str">
        <f>VLOOKUP($A1424,[1]Table!$A$2:$N1566,N$1,FALSE)</f>
        <v>Neonatale apneu||Therapieresistente status astmaticus</v>
      </c>
      <c r="O1424" t="str">
        <f>ConcatenateRange(AZ1424:BU1424,"||")</f>
        <v/>
      </c>
      <c r="AZ1424" t="str">
        <f t="shared" si="528"/>
        <v/>
      </c>
      <c r="BA1424" t="str">
        <f t="shared" si="529"/>
        <v/>
      </c>
      <c r="BB1424" t="str">
        <f t="shared" si="530"/>
        <v/>
      </c>
      <c r="BC1424" t="str">
        <f t="shared" si="531"/>
        <v/>
      </c>
      <c r="BD1424" t="str">
        <f t="shared" si="532"/>
        <v/>
      </c>
      <c r="BE1424" t="str">
        <f t="shared" si="533"/>
        <v/>
      </c>
      <c r="BF1424" t="str">
        <f t="shared" si="534"/>
        <v/>
      </c>
      <c r="BG1424" t="str">
        <f t="shared" si="535"/>
        <v/>
      </c>
      <c r="BH1424" t="str">
        <f t="shared" si="536"/>
        <v/>
      </c>
      <c r="BI1424" t="str">
        <f t="shared" si="537"/>
        <v/>
      </c>
      <c r="BJ1424" t="str">
        <f t="shared" si="538"/>
        <v/>
      </c>
      <c r="BK1424" t="str">
        <f t="shared" si="539"/>
        <v/>
      </c>
      <c r="BL1424" t="str">
        <f t="shared" si="540"/>
        <v/>
      </c>
      <c r="BM1424" t="str">
        <f t="shared" si="541"/>
        <v/>
      </c>
      <c r="BN1424" t="str">
        <f t="shared" si="542"/>
        <v/>
      </c>
      <c r="BO1424" t="str">
        <f t="shared" si="543"/>
        <v/>
      </c>
      <c r="BP1424" t="str">
        <f t="shared" si="544"/>
        <v/>
      </c>
      <c r="BQ1424" t="str">
        <f t="shared" si="545"/>
        <v/>
      </c>
      <c r="BR1424" t="str">
        <f t="shared" si="546"/>
        <v/>
      </c>
      <c r="BS1424" t="str">
        <f t="shared" si="547"/>
        <v/>
      </c>
      <c r="BT1424" t="str">
        <f t="shared" si="548"/>
        <v/>
      </c>
      <c r="BU1424" t="str">
        <f t="shared" si="549"/>
        <v/>
      </c>
    </row>
    <row r="1425" spans="1:73">
      <c r="A1425" s="1">
        <v>62340</v>
      </c>
      <c r="B1425" t="str">
        <f>VLOOKUP($A1425,[1]Table!$A$2:$N1567,B$1,FALSE)</f>
        <v>R03DA04</v>
      </c>
      <c r="C1425" t="str">
        <f>VLOOKUP($A1425,[1]Table!$A$2:$N1567,C$1,FALSE)</f>
        <v>MIDDELEN BIJ ASTMA/COPD</v>
      </c>
      <c r="D1425" t="str">
        <f>VLOOKUP($A1425,[1]Table!$A$2:$N1567,D$1,FALSE)</f>
        <v>OVERIGE MIDDELEN BIJ ASTMA/COPD VOOR SYSTEMISCH GEBRUIK</v>
      </c>
      <c r="E1425" t="s">
        <v>120</v>
      </c>
      <c r="F1425" t="str">
        <f>VLOOKUP($A1425,[1]Table!$A$2:$N1567,F$1,FALSE)</f>
        <v>THEOLAIR 250 MG TABLET MGA (RETARD)</v>
      </c>
      <c r="G1425" t="str">
        <f>VLOOKUP($A1425,[1]Table!$A$2:$N1567,G$1,FALSE)</f>
        <v>THEOFYLLINE 250MG TAB MGA</v>
      </c>
      <c r="H1425" t="str">
        <f>VLOOKUP($A1425,[1]Table!$A$2:$N1567,H$1,FALSE)</f>
        <v>tablet met gereguleerde afgifte</v>
      </c>
      <c r="I1425" t="str">
        <f>VLOOKUP($A1425,[1]Table!$A$2:$N1567,I$1,FALSE)</f>
        <v>or</v>
      </c>
      <c r="J1425">
        <f>VLOOKUP($A1425,[1]Table!$A$2:$N1567,J$1,FALSE)</f>
        <v>250</v>
      </c>
      <c r="K1425" t="str">
        <f>VLOOKUP($A1425,[1]Table!$A$2:$N1567,K$1,FALSE)</f>
        <v>mg/stuk</v>
      </c>
      <c r="L1425">
        <f>VLOOKUP($A1425,[1]Table!$A$2:$N1567,L$1,FALSE)</f>
        <v>125</v>
      </c>
      <c r="M1425" t="str">
        <f>VLOOKUP($A1425,[1]Table!$A$2:$N1567,M$1,FALSE)</f>
        <v>mg</v>
      </c>
      <c r="N1425" t="str">
        <f>VLOOKUP($A1425,[1]Table!$A$2:$N1567,N$1,FALSE)</f>
        <v>Neonatale apneu||Therapieresistente status astmaticus</v>
      </c>
      <c r="O1425" t="str">
        <f>ConcatenateRange(AZ1425:BU1425,"||")</f>
        <v/>
      </c>
      <c r="AZ1425" t="str">
        <f t="shared" si="528"/>
        <v/>
      </c>
      <c r="BA1425" t="str">
        <f t="shared" si="529"/>
        <v/>
      </c>
      <c r="BB1425" t="str">
        <f t="shared" si="530"/>
        <v/>
      </c>
      <c r="BC1425" t="str">
        <f t="shared" si="531"/>
        <v/>
      </c>
      <c r="BD1425" t="str">
        <f t="shared" si="532"/>
        <v/>
      </c>
      <c r="BE1425" t="str">
        <f t="shared" si="533"/>
        <v/>
      </c>
      <c r="BF1425" t="str">
        <f t="shared" si="534"/>
        <v/>
      </c>
      <c r="BG1425" t="str">
        <f t="shared" si="535"/>
        <v/>
      </c>
      <c r="BH1425" t="str">
        <f t="shared" si="536"/>
        <v/>
      </c>
      <c r="BI1425" t="str">
        <f t="shared" si="537"/>
        <v/>
      </c>
      <c r="BJ1425" t="str">
        <f t="shared" si="538"/>
        <v/>
      </c>
      <c r="BK1425" t="str">
        <f t="shared" si="539"/>
        <v/>
      </c>
      <c r="BL1425" t="str">
        <f t="shared" si="540"/>
        <v/>
      </c>
      <c r="BM1425" t="str">
        <f t="shared" si="541"/>
        <v/>
      </c>
      <c r="BN1425" t="str">
        <f t="shared" si="542"/>
        <v/>
      </c>
      <c r="BO1425" t="str">
        <f t="shared" si="543"/>
        <v/>
      </c>
      <c r="BP1425" t="str">
        <f t="shared" si="544"/>
        <v/>
      </c>
      <c r="BQ1425" t="str">
        <f t="shared" si="545"/>
        <v/>
      </c>
      <c r="BR1425" t="str">
        <f t="shared" si="546"/>
        <v/>
      </c>
      <c r="BS1425" t="str">
        <f t="shared" si="547"/>
        <v/>
      </c>
      <c r="BT1425" t="str">
        <f t="shared" si="548"/>
        <v/>
      </c>
      <c r="BU1425" t="str">
        <f t="shared" si="549"/>
        <v/>
      </c>
    </row>
    <row r="1426" spans="1:73">
      <c r="A1426" s="1">
        <v>62359</v>
      </c>
      <c r="B1426" t="str">
        <f>VLOOKUP($A1426,[1]Table!$A$2:$N1568,B$1,FALSE)</f>
        <v>R03DA04</v>
      </c>
      <c r="C1426" t="str">
        <f>VLOOKUP($A1426,[1]Table!$A$2:$N1568,C$1,FALSE)</f>
        <v>MIDDELEN BIJ ASTMA/COPD</v>
      </c>
      <c r="D1426" t="str">
        <f>VLOOKUP($A1426,[1]Table!$A$2:$N1568,D$1,FALSE)</f>
        <v>OVERIGE MIDDELEN BIJ ASTMA/COPD VOOR SYSTEMISCH GEBRUIK</v>
      </c>
      <c r="E1426" t="s">
        <v>120</v>
      </c>
      <c r="F1426" t="str">
        <f>VLOOKUP($A1426,[1]Table!$A$2:$N1568,F$1,FALSE)</f>
        <v>THEOLAIR 350 MG  MGA TABLET ( RETARD)</v>
      </c>
      <c r="G1426" t="str">
        <f>VLOOKUP($A1426,[1]Table!$A$2:$N1568,G$1,FALSE)</f>
        <v>THEOFYLLINE 350MG TAB MGA</v>
      </c>
      <c r="H1426" t="str">
        <f>VLOOKUP($A1426,[1]Table!$A$2:$N1568,H$1,FALSE)</f>
        <v>tablet met gereguleerde afgifte</v>
      </c>
      <c r="I1426" t="str">
        <f>VLOOKUP($A1426,[1]Table!$A$2:$N1568,I$1,FALSE)</f>
        <v>or</v>
      </c>
      <c r="J1426">
        <f>VLOOKUP($A1426,[1]Table!$A$2:$N1568,J$1,FALSE)</f>
        <v>350</v>
      </c>
      <c r="K1426" t="str">
        <f>VLOOKUP($A1426,[1]Table!$A$2:$N1568,K$1,FALSE)</f>
        <v>mg/stuk</v>
      </c>
      <c r="L1426">
        <f>VLOOKUP($A1426,[1]Table!$A$2:$N1568,L$1,FALSE)</f>
        <v>350</v>
      </c>
      <c r="M1426" t="str">
        <f>VLOOKUP($A1426,[1]Table!$A$2:$N1568,M$1,FALSE)</f>
        <v>mg</v>
      </c>
      <c r="N1426" t="str">
        <f>VLOOKUP($A1426,[1]Table!$A$2:$N1568,N$1,FALSE)</f>
        <v>Neonatale apneu||Therapieresistente status astmaticus</v>
      </c>
      <c r="O1426" t="str">
        <f>ConcatenateRange(AZ1426:BU1426,"||")</f>
        <v/>
      </c>
      <c r="AZ1426" t="str">
        <f t="shared" si="528"/>
        <v/>
      </c>
      <c r="BA1426" t="str">
        <f t="shared" si="529"/>
        <v/>
      </c>
      <c r="BB1426" t="str">
        <f t="shared" si="530"/>
        <v/>
      </c>
      <c r="BC1426" t="str">
        <f t="shared" si="531"/>
        <v/>
      </c>
      <c r="BD1426" t="str">
        <f t="shared" si="532"/>
        <v/>
      </c>
      <c r="BE1426" t="str">
        <f t="shared" si="533"/>
        <v/>
      </c>
      <c r="BF1426" t="str">
        <f t="shared" si="534"/>
        <v/>
      </c>
      <c r="BG1426" t="str">
        <f t="shared" si="535"/>
        <v/>
      </c>
      <c r="BH1426" t="str">
        <f t="shared" si="536"/>
        <v/>
      </c>
      <c r="BI1426" t="str">
        <f t="shared" si="537"/>
        <v/>
      </c>
      <c r="BJ1426" t="str">
        <f t="shared" si="538"/>
        <v/>
      </c>
      <c r="BK1426" t="str">
        <f t="shared" si="539"/>
        <v/>
      </c>
      <c r="BL1426" t="str">
        <f t="shared" si="540"/>
        <v/>
      </c>
      <c r="BM1426" t="str">
        <f t="shared" si="541"/>
        <v/>
      </c>
      <c r="BN1426" t="str">
        <f t="shared" si="542"/>
        <v/>
      </c>
      <c r="BO1426" t="str">
        <f t="shared" si="543"/>
        <v/>
      </c>
      <c r="BP1426" t="str">
        <f t="shared" si="544"/>
        <v/>
      </c>
      <c r="BQ1426" t="str">
        <f t="shared" si="545"/>
        <v/>
      </c>
      <c r="BR1426" t="str">
        <f t="shared" si="546"/>
        <v/>
      </c>
      <c r="BS1426" t="str">
        <f t="shared" si="547"/>
        <v/>
      </c>
      <c r="BT1426" t="str">
        <f t="shared" si="548"/>
        <v/>
      </c>
      <c r="BU1426" t="str">
        <f t="shared" si="549"/>
        <v/>
      </c>
    </row>
    <row r="1427" spans="1:73">
      <c r="A1427" s="1">
        <v>1236</v>
      </c>
      <c r="B1427" t="str">
        <f>VLOOKUP($A1427,[1]Table!$A$2:$N1569,B$1,FALSE)</f>
        <v>H03BB02</v>
      </c>
      <c r="C1427" t="str">
        <f>VLOOKUP($A1427,[1]Table!$A$2:$N1569,C$1,FALSE)</f>
        <v>SCHILDKLIERMIDDELEN</v>
      </c>
      <c r="D1427" t="str">
        <f>VLOOKUP($A1427,[1]Table!$A$2:$N1569,D$1,FALSE)</f>
        <v>THYREOSTATICA</v>
      </c>
      <c r="E1427" t="str">
        <f>VLOOKUP($A1427,[1]Table!$A$2:$N1569,E$1,FALSE)</f>
        <v>THIAMAZOL</v>
      </c>
      <c r="F1427" t="str">
        <f>VLOOKUP($A1427,[1]Table!$A$2:$N1569,F$1,FALSE)</f>
        <v>STRUMAZOL 10 MG TABLET</v>
      </c>
      <c r="G1427" t="str">
        <f>VLOOKUP($A1427,[1]Table!$A$2:$N1569,G$1,FALSE)</f>
        <v>THIAMAZOL 10MG TABLET</v>
      </c>
      <c r="H1427" t="str">
        <f>VLOOKUP($A1427,[1]Table!$A$2:$N1569,H$1,FALSE)</f>
        <v>tablet</v>
      </c>
      <c r="I1427" t="str">
        <f>VLOOKUP($A1427,[1]Table!$A$2:$N1569,I$1,FALSE)</f>
        <v>or</v>
      </c>
      <c r="J1427">
        <f>VLOOKUP($A1427,[1]Table!$A$2:$N1569,J$1,FALSE)</f>
        <v>10</v>
      </c>
      <c r="K1427" t="str">
        <f>VLOOKUP($A1427,[1]Table!$A$2:$N1569,K$1,FALSE)</f>
        <v>mg/stuk</v>
      </c>
      <c r="L1427">
        <f>VLOOKUP($A1427,[1]Table!$A$2:$N1569,L$1,FALSE)</f>
        <v>10</v>
      </c>
      <c r="M1427" t="str">
        <f>VLOOKUP($A1427,[1]Table!$A$2:$N1569,M$1,FALSE)</f>
        <v>mg</v>
      </c>
      <c r="N1427" t="str">
        <f>VLOOKUP($A1427,[1]Table!$A$2:$N1569,N$1,FALSE)</f>
        <v>Hyperthyreoidie</v>
      </c>
      <c r="O1427" t="str">
        <f>ConcatenateRange(AZ1427:BU1427,"||")</f>
        <v/>
      </c>
      <c r="AZ1427" t="str">
        <f t="shared" si="528"/>
        <v/>
      </c>
      <c r="BA1427" t="str">
        <f t="shared" si="529"/>
        <v/>
      </c>
      <c r="BB1427" t="str">
        <f t="shared" si="530"/>
        <v/>
      </c>
      <c r="BC1427" t="str">
        <f t="shared" si="531"/>
        <v/>
      </c>
      <c r="BD1427" t="str">
        <f t="shared" si="532"/>
        <v/>
      </c>
      <c r="BE1427" t="str">
        <f t="shared" si="533"/>
        <v/>
      </c>
      <c r="BF1427" t="str">
        <f t="shared" si="534"/>
        <v/>
      </c>
      <c r="BG1427" t="str">
        <f t="shared" si="535"/>
        <v/>
      </c>
      <c r="BH1427" t="str">
        <f t="shared" si="536"/>
        <v/>
      </c>
      <c r="BI1427" t="str">
        <f t="shared" si="537"/>
        <v/>
      </c>
      <c r="BJ1427" t="str">
        <f t="shared" si="538"/>
        <v/>
      </c>
      <c r="BK1427" t="str">
        <f t="shared" si="539"/>
        <v/>
      </c>
      <c r="BL1427" t="str">
        <f t="shared" si="540"/>
        <v/>
      </c>
      <c r="BM1427" t="str">
        <f t="shared" si="541"/>
        <v/>
      </c>
      <c r="BN1427" t="str">
        <f t="shared" si="542"/>
        <v/>
      </c>
      <c r="BO1427" t="str">
        <f t="shared" si="543"/>
        <v/>
      </c>
      <c r="BP1427" t="str">
        <f t="shared" si="544"/>
        <v/>
      </c>
      <c r="BQ1427" t="str">
        <f t="shared" si="545"/>
        <v/>
      </c>
      <c r="BR1427" t="str">
        <f t="shared" si="546"/>
        <v/>
      </c>
      <c r="BS1427" t="str">
        <f t="shared" si="547"/>
        <v/>
      </c>
      <c r="BT1427" t="str">
        <f t="shared" si="548"/>
        <v/>
      </c>
      <c r="BU1427" t="str">
        <f t="shared" si="549"/>
        <v/>
      </c>
    </row>
    <row r="1428" spans="1:73">
      <c r="A1428" s="1">
        <v>70602</v>
      </c>
      <c r="B1428" t="str">
        <f>VLOOKUP($A1428,[1]Table!$A$2:$N1570,B$1,FALSE)</f>
        <v>H03BB02</v>
      </c>
      <c r="C1428" t="str">
        <f>VLOOKUP($A1428,[1]Table!$A$2:$N1570,C$1,FALSE)</f>
        <v>SCHILDKLIERMIDDELEN</v>
      </c>
      <c r="D1428" t="str">
        <f>VLOOKUP($A1428,[1]Table!$A$2:$N1570,D$1,FALSE)</f>
        <v>THYREOSTATICA</v>
      </c>
      <c r="E1428" t="str">
        <f>VLOOKUP($A1428,[1]Table!$A$2:$N1570,E$1,FALSE)</f>
        <v>THIAMAZOL</v>
      </c>
      <c r="F1428" t="str">
        <f>VLOOKUP($A1428,[1]Table!$A$2:$N1570,F$1,FALSE)</f>
        <v>STRUMAZOL 30 MG TABLET</v>
      </c>
      <c r="G1428" t="str">
        <f>VLOOKUP($A1428,[1]Table!$A$2:$N1570,G$1,FALSE)</f>
        <v>THIAMAZOL 30MG TABLET</v>
      </c>
      <c r="H1428" t="str">
        <f>VLOOKUP($A1428,[1]Table!$A$2:$N1570,H$1,FALSE)</f>
        <v>tablet</v>
      </c>
      <c r="I1428" t="str">
        <f>VLOOKUP($A1428,[1]Table!$A$2:$N1570,I$1,FALSE)</f>
        <v>or</v>
      </c>
      <c r="J1428">
        <f>VLOOKUP($A1428,[1]Table!$A$2:$N1570,J$1,FALSE)</f>
        <v>30</v>
      </c>
      <c r="K1428" t="str">
        <f>VLOOKUP($A1428,[1]Table!$A$2:$N1570,K$1,FALSE)</f>
        <v>mg/stuk</v>
      </c>
      <c r="L1428">
        <f>VLOOKUP($A1428,[1]Table!$A$2:$N1570,L$1,FALSE)</f>
        <v>30</v>
      </c>
      <c r="M1428" t="str">
        <f>VLOOKUP($A1428,[1]Table!$A$2:$N1570,M$1,FALSE)</f>
        <v>mg</v>
      </c>
      <c r="N1428" t="str">
        <f>VLOOKUP($A1428,[1]Table!$A$2:$N1570,N$1,FALSE)</f>
        <v>Hyperthyreoidie</v>
      </c>
      <c r="O1428" t="str">
        <f>ConcatenateRange(AZ1428:BU1428,"||")</f>
        <v/>
      </c>
      <c r="AZ1428" t="str">
        <f t="shared" si="528"/>
        <v/>
      </c>
      <c r="BA1428" t="str">
        <f t="shared" si="529"/>
        <v/>
      </c>
      <c r="BB1428" t="str">
        <f t="shared" si="530"/>
        <v/>
      </c>
      <c r="BC1428" t="str">
        <f t="shared" si="531"/>
        <v/>
      </c>
      <c r="BD1428" t="str">
        <f t="shared" si="532"/>
        <v/>
      </c>
      <c r="BE1428" t="str">
        <f t="shared" si="533"/>
        <v/>
      </c>
      <c r="BF1428" t="str">
        <f t="shared" si="534"/>
        <v/>
      </c>
      <c r="BG1428" t="str">
        <f t="shared" si="535"/>
        <v/>
      </c>
      <c r="BH1428" t="str">
        <f t="shared" si="536"/>
        <v/>
      </c>
      <c r="BI1428" t="str">
        <f t="shared" si="537"/>
        <v/>
      </c>
      <c r="BJ1428" t="str">
        <f t="shared" si="538"/>
        <v/>
      </c>
      <c r="BK1428" t="str">
        <f t="shared" si="539"/>
        <v/>
      </c>
      <c r="BL1428" t="str">
        <f t="shared" si="540"/>
        <v/>
      </c>
      <c r="BM1428" t="str">
        <f t="shared" si="541"/>
        <v/>
      </c>
      <c r="BN1428" t="str">
        <f t="shared" si="542"/>
        <v/>
      </c>
      <c r="BO1428" t="str">
        <f t="shared" si="543"/>
        <v/>
      </c>
      <c r="BP1428" t="str">
        <f t="shared" si="544"/>
        <v/>
      </c>
      <c r="BQ1428" t="str">
        <f t="shared" si="545"/>
        <v/>
      </c>
      <c r="BR1428" t="str">
        <f t="shared" si="546"/>
        <v/>
      </c>
      <c r="BS1428" t="str">
        <f t="shared" si="547"/>
        <v/>
      </c>
      <c r="BT1428" t="str">
        <f t="shared" si="548"/>
        <v/>
      </c>
      <c r="BU1428" t="str">
        <f t="shared" si="549"/>
        <v/>
      </c>
    </row>
    <row r="1429" spans="1:73">
      <c r="A1429" s="1">
        <v>29076</v>
      </c>
      <c r="B1429" t="str">
        <f>VLOOKUP($A1429,[1]Table!$A$2:$N1571,B$1,FALSE)</f>
        <v>A11DA01</v>
      </c>
      <c r="C1429" t="str">
        <f>VLOOKUP($A1429,[1]Table!$A$2:$N1571,C$1,FALSE)</f>
        <v>VITAMINEN</v>
      </c>
      <c r="D1429" t="str">
        <f>VLOOKUP($A1429,[1]Table!$A$2:$N1571,D$1,FALSE)</f>
        <v>VITAMINE B1, ENKELVOUDIG EN MET VITAMINE B6 EN/OF B12</v>
      </c>
      <c r="E1429" t="str">
        <f>VLOOKUP($A1429,[1]Table!$A$2:$N1571,E$1,FALSE)</f>
        <v>THIAMINE</v>
      </c>
      <c r="F1429" t="str">
        <f>VLOOKUP($A1429,[1]Table!$A$2:$N1571,F$1,FALSE)</f>
        <v>THIAMINI HCL 100 MG/ML AMPUL 2 ML (VITAMINE B 1)</v>
      </c>
      <c r="G1429" t="str">
        <f>VLOOKUP($A1429,[1]Table!$A$2:$N1571,G$1,FALSE)</f>
        <v>THIAMINE 100MG/ML INJVLST</v>
      </c>
      <c r="H1429" t="str">
        <f>VLOOKUP($A1429,[1]Table!$A$2:$N1571,H$1,FALSE)</f>
        <v>injectievloeistof</v>
      </c>
      <c r="I1429" t="str">
        <f>VLOOKUP($A1429,[1]Table!$A$2:$N1571,I$1,FALSE)</f>
        <v>im||iv||sc</v>
      </c>
      <c r="J1429">
        <f>VLOOKUP($A1429,[1]Table!$A$2:$N1571,J$1,FALSE)</f>
        <v>100</v>
      </c>
      <c r="K1429" t="str">
        <f>VLOOKUP($A1429,[1]Table!$A$2:$N1571,K$1,FALSE)</f>
        <v>mg/ml</v>
      </c>
      <c r="L1429">
        <f>VLOOKUP($A1429,[1]Table!$A$2:$N1571,L$1,FALSE)</f>
        <v>100</v>
      </c>
      <c r="M1429" t="str">
        <f>VLOOKUP($A1429,[1]Table!$A$2:$N1571,M$1,FALSE)</f>
        <v>mg</v>
      </c>
      <c r="N1429" t="str">
        <f>VLOOKUP($A1429,[1]Table!$A$2:$N1571,N$1,FALSE)</f>
        <v>Deficientie||Maple syrup urine disease (MSUD), lactaatacidose tgv PDH-deficiëntie of complex I van de ademhalingsketen</v>
      </c>
      <c r="O1429" t="str">
        <f>ConcatenateRange(AZ1429:BU1429,"||")</f>
        <v/>
      </c>
      <c r="AZ1429" t="str">
        <f t="shared" si="528"/>
        <v/>
      </c>
      <c r="BA1429" t="str">
        <f t="shared" si="529"/>
        <v/>
      </c>
      <c r="BB1429" t="str">
        <f t="shared" si="530"/>
        <v/>
      </c>
      <c r="BC1429" t="str">
        <f t="shared" si="531"/>
        <v/>
      </c>
      <c r="BD1429" t="str">
        <f t="shared" si="532"/>
        <v/>
      </c>
      <c r="BE1429" t="str">
        <f t="shared" si="533"/>
        <v/>
      </c>
      <c r="BF1429" t="str">
        <f t="shared" si="534"/>
        <v/>
      </c>
      <c r="BG1429" t="str">
        <f t="shared" si="535"/>
        <v/>
      </c>
      <c r="BH1429" t="str">
        <f t="shared" si="536"/>
        <v/>
      </c>
      <c r="BI1429" t="str">
        <f t="shared" si="537"/>
        <v/>
      </c>
      <c r="BJ1429" t="str">
        <f t="shared" si="538"/>
        <v/>
      </c>
      <c r="BK1429" t="str">
        <f t="shared" si="539"/>
        <v/>
      </c>
      <c r="BL1429" t="str">
        <f t="shared" si="540"/>
        <v/>
      </c>
      <c r="BM1429" t="str">
        <f t="shared" si="541"/>
        <v/>
      </c>
      <c r="BN1429" t="str">
        <f t="shared" si="542"/>
        <v/>
      </c>
      <c r="BO1429" t="str">
        <f t="shared" si="543"/>
        <v/>
      </c>
      <c r="BP1429" t="str">
        <f t="shared" si="544"/>
        <v/>
      </c>
      <c r="BQ1429" t="str">
        <f t="shared" si="545"/>
        <v/>
      </c>
      <c r="BR1429" t="str">
        <f t="shared" si="546"/>
        <v/>
      </c>
      <c r="BS1429" t="str">
        <f t="shared" si="547"/>
        <v/>
      </c>
      <c r="BT1429" t="str">
        <f t="shared" si="548"/>
        <v/>
      </c>
      <c r="BU1429" t="str">
        <f t="shared" si="549"/>
        <v/>
      </c>
    </row>
    <row r="1430" spans="1:73">
      <c r="A1430" s="1">
        <v>24031</v>
      </c>
      <c r="B1430" t="str">
        <f>VLOOKUP($A1430,[1]Table!$A$2:$N1572,B$1,FALSE)</f>
        <v>A11DA01</v>
      </c>
      <c r="C1430" t="str">
        <f>VLOOKUP($A1430,[1]Table!$A$2:$N1572,C$1,FALSE)</f>
        <v>VITAMINEN</v>
      </c>
      <c r="D1430" t="str">
        <f>VLOOKUP($A1430,[1]Table!$A$2:$N1572,D$1,FALSE)</f>
        <v>VITAMINE B1, ENKELVOUDIG EN MET VITAMINE B6 EN/OF B12</v>
      </c>
      <c r="E1430" t="str">
        <f>VLOOKUP($A1430,[1]Table!$A$2:$N1572,E$1,FALSE)</f>
        <v>THIAMINE</v>
      </c>
      <c r="F1430" t="str">
        <f>VLOOKUP($A1430,[1]Table!$A$2:$N1572,F$1,FALSE)</f>
        <v>THIAMINI HCL 25 MG TABLET</v>
      </c>
      <c r="G1430" t="str">
        <f>VLOOKUP($A1430,[1]Table!$A$2:$N1572,G$1,FALSE)</f>
        <v>THIAMINE 25MG TABLET</v>
      </c>
      <c r="H1430" t="str">
        <f>VLOOKUP($A1430,[1]Table!$A$2:$N1572,H$1,FALSE)</f>
        <v>tablet</v>
      </c>
      <c r="I1430" t="str">
        <f>VLOOKUP($A1430,[1]Table!$A$2:$N1572,I$1,FALSE)</f>
        <v>or</v>
      </c>
      <c r="J1430">
        <f>VLOOKUP($A1430,[1]Table!$A$2:$N1572,J$1,FALSE)</f>
        <v>25</v>
      </c>
      <c r="K1430" t="str">
        <f>VLOOKUP($A1430,[1]Table!$A$2:$N1572,K$1,FALSE)</f>
        <v>mg/stuk</v>
      </c>
      <c r="L1430">
        <f>VLOOKUP($A1430,[1]Table!$A$2:$N1572,L$1,FALSE)</f>
        <v>12.5</v>
      </c>
      <c r="M1430" t="str">
        <f>VLOOKUP($A1430,[1]Table!$A$2:$N1572,M$1,FALSE)</f>
        <v>mg</v>
      </c>
      <c r="N1430" t="str">
        <f>VLOOKUP($A1430,[1]Table!$A$2:$N1572,N$1,FALSE)</f>
        <v>Deficientie||Maple syrup urine disease (MSUD), lactaatacidose tgv PDH-deficiëntie of complex I van de ademhalingsketen</v>
      </c>
      <c r="O1430" t="str">
        <f>ConcatenateRange(AZ1430:BU1430,"||")</f>
        <v/>
      </c>
      <c r="AZ1430" t="str">
        <f t="shared" si="528"/>
        <v/>
      </c>
      <c r="BA1430" t="str">
        <f t="shared" si="529"/>
        <v/>
      </c>
      <c r="BB1430" t="str">
        <f t="shared" si="530"/>
        <v/>
      </c>
      <c r="BC1430" t="str">
        <f t="shared" si="531"/>
        <v/>
      </c>
      <c r="BD1430" t="str">
        <f t="shared" si="532"/>
        <v/>
      </c>
      <c r="BE1430" t="str">
        <f t="shared" si="533"/>
        <v/>
      </c>
      <c r="BF1430" t="str">
        <f t="shared" si="534"/>
        <v/>
      </c>
      <c r="BG1430" t="str">
        <f t="shared" si="535"/>
        <v/>
      </c>
      <c r="BH1430" t="str">
        <f t="shared" si="536"/>
        <v/>
      </c>
      <c r="BI1430" t="str">
        <f t="shared" si="537"/>
        <v/>
      </c>
      <c r="BJ1430" t="str">
        <f t="shared" si="538"/>
        <v/>
      </c>
      <c r="BK1430" t="str">
        <f t="shared" si="539"/>
        <v/>
      </c>
      <c r="BL1430" t="str">
        <f t="shared" si="540"/>
        <v/>
      </c>
      <c r="BM1430" t="str">
        <f t="shared" si="541"/>
        <v/>
      </c>
      <c r="BN1430" t="str">
        <f t="shared" si="542"/>
        <v/>
      </c>
      <c r="BO1430" t="str">
        <f t="shared" si="543"/>
        <v/>
      </c>
      <c r="BP1430" t="str">
        <f t="shared" si="544"/>
        <v/>
      </c>
      <c r="BQ1430" t="str">
        <f t="shared" si="545"/>
        <v/>
      </c>
      <c r="BR1430" t="str">
        <f t="shared" si="546"/>
        <v/>
      </c>
      <c r="BS1430" t="str">
        <f t="shared" si="547"/>
        <v/>
      </c>
      <c r="BT1430" t="str">
        <f t="shared" si="548"/>
        <v/>
      </c>
      <c r="BU1430" t="str">
        <f t="shared" si="549"/>
        <v/>
      </c>
    </row>
    <row r="1431" spans="1:73">
      <c r="A1431" s="1">
        <v>24058</v>
      </c>
      <c r="B1431" t="str">
        <f>VLOOKUP($A1431,[1]Table!$A$2:$N1573,B$1,FALSE)</f>
        <v>A11DA01</v>
      </c>
      <c r="C1431" t="str">
        <f>VLOOKUP($A1431,[1]Table!$A$2:$N1573,C$1,FALSE)</f>
        <v>VITAMINEN</v>
      </c>
      <c r="D1431" t="str">
        <f>VLOOKUP($A1431,[1]Table!$A$2:$N1573,D$1,FALSE)</f>
        <v>VITAMINE B1, ENKELVOUDIG EN MET VITAMINE B6 EN/OF B12</v>
      </c>
      <c r="E1431" t="str">
        <f>VLOOKUP($A1431,[1]Table!$A$2:$N1573,E$1,FALSE)</f>
        <v>THIAMINE</v>
      </c>
      <c r="F1431" t="str">
        <f>VLOOKUP($A1431,[1]Table!$A$2:$N1573,F$1,FALSE)</f>
        <v>THIAMINE HCL 50 MG TABLET</v>
      </c>
      <c r="G1431" t="str">
        <f>VLOOKUP($A1431,[1]Table!$A$2:$N1573,G$1,FALSE)</f>
        <v>THIAMINE 50MG TABLET</v>
      </c>
      <c r="H1431" t="str">
        <f>VLOOKUP($A1431,[1]Table!$A$2:$N1573,H$1,FALSE)</f>
        <v>tablet</v>
      </c>
      <c r="I1431" t="str">
        <f>VLOOKUP($A1431,[1]Table!$A$2:$N1573,I$1,FALSE)</f>
        <v>or</v>
      </c>
      <c r="J1431">
        <f>VLOOKUP($A1431,[1]Table!$A$2:$N1573,J$1,FALSE)</f>
        <v>50</v>
      </c>
      <c r="K1431" t="str">
        <f>VLOOKUP($A1431,[1]Table!$A$2:$N1573,K$1,FALSE)</f>
        <v>mg/stuk</v>
      </c>
      <c r="L1431">
        <f>VLOOKUP($A1431,[1]Table!$A$2:$N1573,L$1,FALSE)</f>
        <v>25</v>
      </c>
      <c r="M1431" t="str">
        <f>VLOOKUP($A1431,[1]Table!$A$2:$N1573,M$1,FALSE)</f>
        <v>mg</v>
      </c>
      <c r="N1431" t="str">
        <f>VLOOKUP($A1431,[1]Table!$A$2:$N1573,N$1,FALSE)</f>
        <v>Deficientie||Maple syrup urine disease (MSUD), lactaatacidose tgv PDH-deficiëntie of complex I van de ademhalingsketen</v>
      </c>
      <c r="O1431" t="str">
        <f>ConcatenateRange(AZ1431:BU1431,"||")</f>
        <v/>
      </c>
      <c r="AZ1431" t="str">
        <f t="shared" si="528"/>
        <v/>
      </c>
      <c r="BA1431" t="str">
        <f t="shared" si="529"/>
        <v/>
      </c>
      <c r="BB1431" t="str">
        <f t="shared" si="530"/>
        <v/>
      </c>
      <c r="BC1431" t="str">
        <f t="shared" si="531"/>
        <v/>
      </c>
      <c r="BD1431" t="str">
        <f t="shared" si="532"/>
        <v/>
      </c>
      <c r="BE1431" t="str">
        <f t="shared" si="533"/>
        <v/>
      </c>
      <c r="BF1431" t="str">
        <f t="shared" si="534"/>
        <v/>
      </c>
      <c r="BG1431" t="str">
        <f t="shared" si="535"/>
        <v/>
      </c>
      <c r="BH1431" t="str">
        <f t="shared" si="536"/>
        <v/>
      </c>
      <c r="BI1431" t="str">
        <f t="shared" si="537"/>
        <v/>
      </c>
      <c r="BJ1431" t="str">
        <f t="shared" si="538"/>
        <v/>
      </c>
      <c r="BK1431" t="str">
        <f t="shared" si="539"/>
        <v/>
      </c>
      <c r="BL1431" t="str">
        <f t="shared" si="540"/>
        <v/>
      </c>
      <c r="BM1431" t="str">
        <f t="shared" si="541"/>
        <v/>
      </c>
      <c r="BN1431" t="str">
        <f t="shared" si="542"/>
        <v/>
      </c>
      <c r="BO1431" t="str">
        <f t="shared" si="543"/>
        <v/>
      </c>
      <c r="BP1431" t="str">
        <f t="shared" si="544"/>
        <v/>
      </c>
      <c r="BQ1431" t="str">
        <f t="shared" si="545"/>
        <v/>
      </c>
      <c r="BR1431" t="str">
        <f t="shared" si="546"/>
        <v/>
      </c>
      <c r="BS1431" t="str">
        <f t="shared" si="547"/>
        <v/>
      </c>
      <c r="BT1431" t="str">
        <f t="shared" si="548"/>
        <v/>
      </c>
      <c r="BU1431" t="str">
        <f t="shared" si="549"/>
        <v/>
      </c>
    </row>
    <row r="1432" spans="1:73">
      <c r="A1432" s="1">
        <v>24066</v>
      </c>
      <c r="B1432" t="str">
        <f>VLOOKUP($A1432,[1]Table!$A$2:$N1574,B$1,FALSE)</f>
        <v>A11DA01</v>
      </c>
      <c r="C1432" t="str">
        <f>VLOOKUP($A1432,[1]Table!$A$2:$N1574,C$1,FALSE)</f>
        <v>VITAMINEN</v>
      </c>
      <c r="D1432" t="str">
        <f>VLOOKUP($A1432,[1]Table!$A$2:$N1574,D$1,FALSE)</f>
        <v>VITAMINE B1, ENKELVOUDIG EN MET VITAMINE B6 EN/OF B12</v>
      </c>
      <c r="E1432" t="str">
        <f>VLOOKUP($A1432,[1]Table!$A$2:$N1574,E$1,FALSE)</f>
        <v>THIAMINE</v>
      </c>
      <c r="F1432" t="str">
        <f>VLOOKUP($A1432,[1]Table!$A$2:$N1574,F$1,FALSE)</f>
        <v>THIAMINI HCL 100 MG TABLET</v>
      </c>
      <c r="G1432" t="str">
        <f>VLOOKUP($A1432,[1]Table!$A$2:$N1574,G$1,FALSE)</f>
        <v>THIAMINE 100MG TABLET</v>
      </c>
      <c r="H1432" t="str">
        <f>VLOOKUP($A1432,[1]Table!$A$2:$N1574,H$1,FALSE)</f>
        <v>tablet</v>
      </c>
      <c r="I1432" t="str">
        <f>VLOOKUP($A1432,[1]Table!$A$2:$N1574,I$1,FALSE)</f>
        <v>or</v>
      </c>
      <c r="J1432">
        <f>VLOOKUP($A1432,[1]Table!$A$2:$N1574,J$1,FALSE)</f>
        <v>100</v>
      </c>
      <c r="K1432" t="str">
        <f>VLOOKUP($A1432,[1]Table!$A$2:$N1574,K$1,FALSE)</f>
        <v>mg/stuk</v>
      </c>
      <c r="L1432">
        <f>VLOOKUP($A1432,[1]Table!$A$2:$N1574,L$1,FALSE)</f>
        <v>50</v>
      </c>
      <c r="M1432" t="str">
        <f>VLOOKUP($A1432,[1]Table!$A$2:$N1574,M$1,FALSE)</f>
        <v>mg</v>
      </c>
      <c r="N1432" t="str">
        <f>VLOOKUP($A1432,[1]Table!$A$2:$N1574,N$1,FALSE)</f>
        <v>Deficientie||Maple syrup urine disease (MSUD), lactaatacidose tgv PDH-deficiëntie of complex I van de ademhalingsketen</v>
      </c>
      <c r="O1432" t="str">
        <f>ConcatenateRange(AZ1432:BU1432,"||")</f>
        <v/>
      </c>
      <c r="AZ1432" t="str">
        <f t="shared" si="528"/>
        <v/>
      </c>
      <c r="BA1432" t="str">
        <f t="shared" si="529"/>
        <v/>
      </c>
      <c r="BB1432" t="str">
        <f t="shared" si="530"/>
        <v/>
      </c>
      <c r="BC1432" t="str">
        <f t="shared" si="531"/>
        <v/>
      </c>
      <c r="BD1432" t="str">
        <f t="shared" si="532"/>
        <v/>
      </c>
      <c r="BE1432" t="str">
        <f t="shared" si="533"/>
        <v/>
      </c>
      <c r="BF1432" t="str">
        <f t="shared" si="534"/>
        <v/>
      </c>
      <c r="BG1432" t="str">
        <f t="shared" si="535"/>
        <v/>
      </c>
      <c r="BH1432" t="str">
        <f t="shared" si="536"/>
        <v/>
      </c>
      <c r="BI1432" t="str">
        <f t="shared" si="537"/>
        <v/>
      </c>
      <c r="BJ1432" t="str">
        <f t="shared" si="538"/>
        <v/>
      </c>
      <c r="BK1432" t="str">
        <f t="shared" si="539"/>
        <v/>
      </c>
      <c r="BL1432" t="str">
        <f t="shared" si="540"/>
        <v/>
      </c>
      <c r="BM1432" t="str">
        <f t="shared" si="541"/>
        <v/>
      </c>
      <c r="BN1432" t="str">
        <f t="shared" si="542"/>
        <v/>
      </c>
      <c r="BO1432" t="str">
        <f t="shared" si="543"/>
        <v/>
      </c>
      <c r="BP1432" t="str">
        <f t="shared" si="544"/>
        <v/>
      </c>
      <c r="BQ1432" t="str">
        <f t="shared" si="545"/>
        <v/>
      </c>
      <c r="BR1432" t="str">
        <f t="shared" si="546"/>
        <v/>
      </c>
      <c r="BS1432" t="str">
        <f t="shared" si="547"/>
        <v/>
      </c>
      <c r="BT1432" t="str">
        <f t="shared" si="548"/>
        <v/>
      </c>
      <c r="BU1432" t="str">
        <f t="shared" si="549"/>
        <v/>
      </c>
    </row>
    <row r="1433" spans="1:73">
      <c r="A1433" s="1">
        <v>18147</v>
      </c>
      <c r="B1433" t="str">
        <f>VLOOKUP($A1433,[1]Table!$A$2:$N1575,B$1,FALSE)</f>
        <v>N01AF03</v>
      </c>
      <c r="C1433" t="str">
        <f>VLOOKUP($A1433,[1]Table!$A$2:$N1575,C$1,FALSE)</f>
        <v>ANAESTHETICA</v>
      </c>
      <c r="D1433" t="str">
        <f>VLOOKUP($A1433,[1]Table!$A$2:$N1575,D$1,FALSE)</f>
        <v>ALGEMENE ANAESTHETICA</v>
      </c>
      <c r="E1433" t="str">
        <f>VLOOKUP($A1433,[1]Table!$A$2:$N1575,E$1,FALSE)</f>
        <v>THIOPENTAL</v>
      </c>
      <c r="F1433" t="str">
        <f>VLOOKUP($A1433,[1]Table!$A$2:$N1575,F$1,FALSE)</f>
        <v>PENTOTHAL 500 MG INJECTIEPOEDER FLACON</v>
      </c>
      <c r="G1433" t="str">
        <f>VLOOKUP($A1433,[1]Table!$A$2:$N1575,G$1,FALSE)</f>
        <v>THIOPENTAL 500MG INJPDR</v>
      </c>
      <c r="H1433" t="str">
        <f>VLOOKUP($A1433,[1]Table!$A$2:$N1575,H$1,FALSE)</f>
        <v>poeder voor injectievloeistof</v>
      </c>
      <c r="I1433" t="str">
        <f>VLOOKUP($A1433,[1]Table!$A$2:$N1575,I$1,FALSE)</f>
        <v>iv</v>
      </c>
      <c r="J1433">
        <f>VLOOKUP($A1433,[1]Table!$A$2:$N1575,J$1,FALSE)</f>
        <v>500</v>
      </c>
      <c r="K1433" t="str">
        <f>VLOOKUP($A1433,[1]Table!$A$2:$N1575,K$1,FALSE)</f>
        <v>mg/stuk</v>
      </c>
      <c r="L1433">
        <f>VLOOKUP($A1433,[1]Table!$A$2:$N1575,L$1,FALSE)</f>
        <v>500</v>
      </c>
      <c r="M1433" t="str">
        <f>VLOOKUP($A1433,[1]Table!$A$2:$N1575,M$1,FALSE)</f>
        <v>mg</v>
      </c>
      <c r="N1433" t="str">
        <f>VLOOKUP($A1433,[1]Table!$A$2:$N1575,N$1,FALSE)</f>
        <v>Status epilepticus||Anesthesie: inleiding||Thiopental-coma: refractaire intracraniele hypertensie</v>
      </c>
      <c r="O1433" t="str">
        <f>ConcatenateRange(AZ1433:BU1433,"||")</f>
        <v/>
      </c>
      <c r="AZ1433" t="str">
        <f t="shared" si="528"/>
        <v/>
      </c>
      <c r="BA1433" t="str">
        <f t="shared" si="529"/>
        <v/>
      </c>
      <c r="BB1433" t="str">
        <f t="shared" si="530"/>
        <v/>
      </c>
      <c r="BC1433" t="str">
        <f t="shared" si="531"/>
        <v/>
      </c>
      <c r="BD1433" t="str">
        <f t="shared" si="532"/>
        <v/>
      </c>
      <c r="BE1433" t="str">
        <f t="shared" si="533"/>
        <v/>
      </c>
      <c r="BF1433" t="str">
        <f t="shared" si="534"/>
        <v/>
      </c>
      <c r="BG1433" t="str">
        <f t="shared" si="535"/>
        <v/>
      </c>
      <c r="BH1433" t="str">
        <f t="shared" si="536"/>
        <v/>
      </c>
      <c r="BI1433" t="str">
        <f t="shared" si="537"/>
        <v/>
      </c>
      <c r="BJ1433" t="str">
        <f t="shared" si="538"/>
        <v/>
      </c>
      <c r="BK1433" t="str">
        <f t="shared" si="539"/>
        <v/>
      </c>
      <c r="BL1433" t="str">
        <f t="shared" si="540"/>
        <v/>
      </c>
      <c r="BM1433" t="str">
        <f t="shared" si="541"/>
        <v/>
      </c>
      <c r="BN1433" t="str">
        <f t="shared" si="542"/>
        <v/>
      </c>
      <c r="BO1433" t="str">
        <f t="shared" si="543"/>
        <v/>
      </c>
      <c r="BP1433" t="str">
        <f t="shared" si="544"/>
        <v/>
      </c>
      <c r="BQ1433" t="str">
        <f t="shared" si="545"/>
        <v/>
      </c>
      <c r="BR1433" t="str">
        <f t="shared" si="546"/>
        <v/>
      </c>
      <c r="BS1433" t="str">
        <f t="shared" si="547"/>
        <v/>
      </c>
      <c r="BT1433" t="str">
        <f t="shared" si="548"/>
        <v/>
      </c>
      <c r="BU1433" t="str">
        <f t="shared" si="549"/>
        <v/>
      </c>
    </row>
    <row r="1434" spans="1:73">
      <c r="A1434" s="1">
        <v>134082</v>
      </c>
      <c r="B1434" t="str">
        <f>VLOOKUP($A1434,[1]Table!$A$2:$N1576,B$1,FALSE)</f>
        <v>L01AC01</v>
      </c>
      <c r="C1434" t="str">
        <f>VLOOKUP($A1434,[1]Table!$A$2:$N1576,C$1,FALSE)</f>
        <v>ONCOLYTICA</v>
      </c>
      <c r="D1434" t="str">
        <f>VLOOKUP($A1434,[1]Table!$A$2:$N1576,D$1,FALSE)</f>
        <v>ALKYLERENDE MIDDELEN</v>
      </c>
      <c r="E1434" t="str">
        <f>VLOOKUP($A1434,[1]Table!$A$2:$N1576,E$1,FALSE)</f>
        <v>THIOTEPA</v>
      </c>
      <c r="F1434" t="str">
        <f>VLOOKUP($A1434,[1]Table!$A$2:$N1576,F$1,FALSE)</f>
        <v>TEPADINA 15 MG POEDER VOOR INFUSIE</v>
      </c>
      <c r="G1434" t="str">
        <f>VLOOKUP($A1434,[1]Table!$A$2:$N1576,G$1,FALSE)</f>
        <v>THIOTEPA 15MG INFPDR</v>
      </c>
      <c r="H1434" t="str">
        <f>VLOOKUP($A1434,[1]Table!$A$2:$N1576,H$1,FALSE)</f>
        <v>poeder voor oplossing voor infusie</v>
      </c>
      <c r="I1434" t="str">
        <f>VLOOKUP($A1434,[1]Table!$A$2:$N1576,I$1,FALSE)</f>
        <v>iv</v>
      </c>
      <c r="J1434">
        <f>VLOOKUP($A1434,[1]Table!$A$2:$N1576,J$1,FALSE)</f>
        <v>15</v>
      </c>
      <c r="K1434" t="str">
        <f>VLOOKUP($A1434,[1]Table!$A$2:$N1576,K$1,FALSE)</f>
        <v>mg/stuk</v>
      </c>
      <c r="L1434">
        <f>VLOOKUP($A1434,[1]Table!$A$2:$N1576,L$1,FALSE)</f>
        <v>15</v>
      </c>
      <c r="M1434" t="str">
        <f>VLOOKUP($A1434,[1]Table!$A$2:$N1576,M$1,FALSE)</f>
        <v>mg</v>
      </c>
      <c r="N1434" t="str">
        <f>VLOOKUP($A1434,[1]Table!$A$2:$N1576,N$1,FALSE)</f>
        <v>Oncologische aandoeningen</v>
      </c>
      <c r="O1434" t="str">
        <f>ConcatenateRange(AZ1434:BU1434,"||")</f>
        <v/>
      </c>
      <c r="AZ1434" t="str">
        <f t="shared" si="528"/>
        <v/>
      </c>
      <c r="BA1434" t="str">
        <f t="shared" si="529"/>
        <v/>
      </c>
      <c r="BB1434" t="str">
        <f t="shared" si="530"/>
        <v/>
      </c>
      <c r="BC1434" t="str">
        <f t="shared" si="531"/>
        <v/>
      </c>
      <c r="BD1434" t="str">
        <f t="shared" si="532"/>
        <v/>
      </c>
      <c r="BE1434" t="str">
        <f t="shared" si="533"/>
        <v/>
      </c>
      <c r="BF1434" t="str">
        <f t="shared" si="534"/>
        <v/>
      </c>
      <c r="BG1434" t="str">
        <f t="shared" si="535"/>
        <v/>
      </c>
      <c r="BH1434" t="str">
        <f t="shared" si="536"/>
        <v/>
      </c>
      <c r="BI1434" t="str">
        <f t="shared" si="537"/>
        <v/>
      </c>
      <c r="BJ1434" t="str">
        <f t="shared" si="538"/>
        <v/>
      </c>
      <c r="BK1434" t="str">
        <f t="shared" si="539"/>
        <v/>
      </c>
      <c r="BL1434" t="str">
        <f t="shared" si="540"/>
        <v/>
      </c>
      <c r="BM1434" t="str">
        <f t="shared" si="541"/>
        <v/>
      </c>
      <c r="BN1434" t="str">
        <f t="shared" si="542"/>
        <v/>
      </c>
      <c r="BO1434" t="str">
        <f t="shared" si="543"/>
        <v/>
      </c>
      <c r="BP1434" t="str">
        <f t="shared" si="544"/>
        <v/>
      </c>
      <c r="BQ1434" t="str">
        <f t="shared" si="545"/>
        <v/>
      </c>
      <c r="BR1434" t="str">
        <f t="shared" si="546"/>
        <v/>
      </c>
      <c r="BS1434" t="str">
        <f t="shared" si="547"/>
        <v/>
      </c>
      <c r="BT1434" t="str">
        <f t="shared" si="548"/>
        <v/>
      </c>
      <c r="BU1434" t="str">
        <f t="shared" si="549"/>
        <v/>
      </c>
    </row>
    <row r="1435" spans="1:73">
      <c r="A1435" s="1">
        <v>134090</v>
      </c>
      <c r="B1435" t="str">
        <f>VLOOKUP($A1435,[1]Table!$A$2:$N1577,B$1,FALSE)</f>
        <v>L01AC01</v>
      </c>
      <c r="C1435" t="str">
        <f>VLOOKUP($A1435,[1]Table!$A$2:$N1577,C$1,FALSE)</f>
        <v>ONCOLYTICA</v>
      </c>
      <c r="D1435" t="str">
        <f>VLOOKUP($A1435,[1]Table!$A$2:$N1577,D$1,FALSE)</f>
        <v>ALKYLERENDE MIDDELEN</v>
      </c>
      <c r="E1435" t="str">
        <f>VLOOKUP($A1435,[1]Table!$A$2:$N1577,E$1,FALSE)</f>
        <v>THIOTEPA</v>
      </c>
      <c r="F1435" t="str">
        <f>VLOOKUP($A1435,[1]Table!$A$2:$N1577,F$1,FALSE)</f>
        <v>TEPADINA 100 MG INFUSIEPOEDER</v>
      </c>
      <c r="G1435" t="str">
        <f>VLOOKUP($A1435,[1]Table!$A$2:$N1577,G$1,FALSE)</f>
        <v>THIOTEPA 100MG INFPDR</v>
      </c>
      <c r="H1435" t="str">
        <f>VLOOKUP($A1435,[1]Table!$A$2:$N1577,H$1,FALSE)</f>
        <v>poeder voor oplossing voor infusie</v>
      </c>
      <c r="I1435" t="str">
        <f>VLOOKUP($A1435,[1]Table!$A$2:$N1577,I$1,FALSE)</f>
        <v>iv</v>
      </c>
      <c r="J1435">
        <f>VLOOKUP($A1435,[1]Table!$A$2:$N1577,J$1,FALSE)</f>
        <v>100</v>
      </c>
      <c r="K1435" t="str">
        <f>VLOOKUP($A1435,[1]Table!$A$2:$N1577,K$1,FALSE)</f>
        <v>mg/stuk</v>
      </c>
      <c r="L1435">
        <f>VLOOKUP($A1435,[1]Table!$A$2:$N1577,L$1,FALSE)</f>
        <v>100</v>
      </c>
      <c r="M1435" t="str">
        <f>VLOOKUP($A1435,[1]Table!$A$2:$N1577,M$1,FALSE)</f>
        <v>mg</v>
      </c>
      <c r="N1435" t="str">
        <f>VLOOKUP($A1435,[1]Table!$A$2:$N1577,N$1,FALSE)</f>
        <v>Oncologische aandoeningen</v>
      </c>
      <c r="O1435" t="str">
        <f>ConcatenateRange(AZ1435:BU1435,"||")</f>
        <v/>
      </c>
      <c r="AZ1435" t="str">
        <f t="shared" si="528"/>
        <v/>
      </c>
      <c r="BA1435" t="str">
        <f t="shared" si="529"/>
        <v/>
      </c>
      <c r="BB1435" t="str">
        <f t="shared" si="530"/>
        <v/>
      </c>
      <c r="BC1435" t="str">
        <f t="shared" si="531"/>
        <v/>
      </c>
      <c r="BD1435" t="str">
        <f t="shared" si="532"/>
        <v/>
      </c>
      <c r="BE1435" t="str">
        <f t="shared" si="533"/>
        <v/>
      </c>
      <c r="BF1435" t="str">
        <f t="shared" si="534"/>
        <v/>
      </c>
      <c r="BG1435" t="str">
        <f t="shared" si="535"/>
        <v/>
      </c>
      <c r="BH1435" t="str">
        <f t="shared" si="536"/>
        <v/>
      </c>
      <c r="BI1435" t="str">
        <f t="shared" si="537"/>
        <v/>
      </c>
      <c r="BJ1435" t="str">
        <f t="shared" si="538"/>
        <v/>
      </c>
      <c r="BK1435" t="str">
        <f t="shared" si="539"/>
        <v/>
      </c>
      <c r="BL1435" t="str">
        <f t="shared" si="540"/>
        <v/>
      </c>
      <c r="BM1435" t="str">
        <f t="shared" si="541"/>
        <v/>
      </c>
      <c r="BN1435" t="str">
        <f t="shared" si="542"/>
        <v/>
      </c>
      <c r="BO1435" t="str">
        <f t="shared" si="543"/>
        <v/>
      </c>
      <c r="BP1435" t="str">
        <f t="shared" si="544"/>
        <v/>
      </c>
      <c r="BQ1435" t="str">
        <f t="shared" si="545"/>
        <v/>
      </c>
      <c r="BR1435" t="str">
        <f t="shared" si="546"/>
        <v/>
      </c>
      <c r="BS1435" t="str">
        <f t="shared" si="547"/>
        <v/>
      </c>
      <c r="BT1435" t="str">
        <f t="shared" si="548"/>
        <v/>
      </c>
      <c r="BU1435" t="str">
        <f t="shared" si="549"/>
        <v/>
      </c>
    </row>
    <row r="1436" spans="1:73">
      <c r="A1436" s="1">
        <v>112410</v>
      </c>
      <c r="B1436" t="str">
        <f>VLOOKUP($A1436,[1]Table!$A$2:$N1578,B$1,FALSE)</f>
        <v>L04AA04</v>
      </c>
      <c r="C1436" t="str">
        <f>VLOOKUP($A1436,[1]Table!$A$2:$N1578,C$1,FALSE)</f>
        <v>IMMUNOSUPPRESSIVA</v>
      </c>
      <c r="D1436" t="str">
        <f>VLOOKUP($A1436,[1]Table!$A$2:$N1578,D$1,FALSE)</f>
        <v>IMMUNOSUPPRESSIVA</v>
      </c>
      <c r="E1436" t="str">
        <f>VLOOKUP($A1436,[1]Table!$A$2:$N1578,E$1,FALSE)</f>
        <v>THYMOCYTENIMMUNOGLOBULINE</v>
      </c>
      <c r="F1436" t="str">
        <f>VLOOKUP($A1436,[1]Table!$A$2:$N1578,F$1,FALSE)</f>
        <v>GRAFALON 20 MG/ML INFVLST CONC  FLACON 5ML</v>
      </c>
      <c r="G1436" t="str">
        <f>VLOOKUP($A1436,[1]Table!$A$2:$N1578,G$1,FALSE)</f>
        <v>THYMOCYTENIMMUNOGL. 20MG/ML</v>
      </c>
      <c r="H1436" t="str">
        <f>VLOOKUP($A1436,[1]Table!$A$2:$N1578,H$1,FALSE)</f>
        <v>infusievloeistof</v>
      </c>
      <c r="I1436" t="str">
        <f>VLOOKUP($A1436,[1]Table!$A$2:$N1578,I$1,FALSE)</f>
        <v>iv</v>
      </c>
      <c r="J1436">
        <f>VLOOKUP($A1436,[1]Table!$A$2:$N1578,J$1,FALSE)</f>
        <v>20</v>
      </c>
      <c r="K1436" t="str">
        <f>VLOOKUP($A1436,[1]Table!$A$2:$N1578,K$1,FALSE)</f>
        <v>mg/ml</v>
      </c>
      <c r="L1436">
        <f>VLOOKUP($A1436,[1]Table!$A$2:$N1578,L$1,FALSE)</f>
        <v>20</v>
      </c>
      <c r="M1436" t="str">
        <f>VLOOKUP($A1436,[1]Table!$A$2:$N1578,M$1,FALSE)</f>
        <v>mg</v>
      </c>
      <c r="N1436" t="str">
        <f>VLOOKUP($A1436,[1]Table!$A$2:$N1578,N$1,FALSE)</f>
        <v>Beenmergtransplantatie||Afstotingsreactie bij niertransplantatie||Aplastische anemie en voorbereiding beenmergtransplantatie</v>
      </c>
      <c r="O1436" t="str">
        <f>ConcatenateRange(AZ1436:BU1436,"||")</f>
        <v/>
      </c>
      <c r="AZ1436" t="str">
        <f t="shared" si="528"/>
        <v/>
      </c>
      <c r="BA1436" t="str">
        <f t="shared" si="529"/>
        <v/>
      </c>
      <c r="BB1436" t="str">
        <f t="shared" si="530"/>
        <v/>
      </c>
      <c r="BC1436" t="str">
        <f t="shared" si="531"/>
        <v/>
      </c>
      <c r="BD1436" t="str">
        <f t="shared" si="532"/>
        <v/>
      </c>
      <c r="BE1436" t="str">
        <f t="shared" si="533"/>
        <v/>
      </c>
      <c r="BF1436" t="str">
        <f t="shared" si="534"/>
        <v/>
      </c>
      <c r="BG1436" t="str">
        <f t="shared" si="535"/>
        <v/>
      </c>
      <c r="BH1436" t="str">
        <f t="shared" si="536"/>
        <v/>
      </c>
      <c r="BI1436" t="str">
        <f t="shared" si="537"/>
        <v/>
      </c>
      <c r="BJ1436" t="str">
        <f t="shared" si="538"/>
        <v/>
      </c>
      <c r="BK1436" t="str">
        <f t="shared" si="539"/>
        <v/>
      </c>
      <c r="BL1436" t="str">
        <f t="shared" si="540"/>
        <v/>
      </c>
      <c r="BM1436" t="str">
        <f t="shared" si="541"/>
        <v/>
      </c>
      <c r="BN1436" t="str">
        <f t="shared" si="542"/>
        <v/>
      </c>
      <c r="BO1436" t="str">
        <f t="shared" si="543"/>
        <v/>
      </c>
      <c r="BP1436" t="str">
        <f t="shared" si="544"/>
        <v/>
      </c>
      <c r="BQ1436" t="str">
        <f t="shared" si="545"/>
        <v/>
      </c>
      <c r="BR1436" t="str">
        <f t="shared" si="546"/>
        <v/>
      </c>
      <c r="BS1436" t="str">
        <f t="shared" si="547"/>
        <v/>
      </c>
      <c r="BT1436" t="str">
        <f t="shared" si="548"/>
        <v/>
      </c>
      <c r="BU1436" t="str">
        <f t="shared" si="549"/>
        <v/>
      </c>
    </row>
    <row r="1437" spans="1:73">
      <c r="A1437" s="1">
        <v>97659</v>
      </c>
      <c r="B1437" t="str">
        <f>VLOOKUP($A1437,[1]Table!$A$2:$N1579,B$1,FALSE)</f>
        <v>L04AA04</v>
      </c>
      <c r="C1437" t="str">
        <f>VLOOKUP($A1437,[1]Table!$A$2:$N1579,C$1,FALSE)</f>
        <v>IMMUNOSUPPRESSIVA</v>
      </c>
      <c r="D1437" t="str">
        <f>VLOOKUP($A1437,[1]Table!$A$2:$N1579,D$1,FALSE)</f>
        <v>IMMUNOSUPPRESSIVA</v>
      </c>
      <c r="E1437" t="str">
        <f>VLOOKUP($A1437,[1]Table!$A$2:$N1579,E$1,FALSE)</f>
        <v>THYMOCYTENIMMUNOGLOBULINE</v>
      </c>
      <c r="F1437" t="str">
        <f>VLOOKUP($A1437,[1]Table!$A$2:$N1579,F$1,FALSE)</f>
        <v>THYMOGLOBULINE 25 MG INFUSIEPOEDER (GENZYME)</v>
      </c>
      <c r="G1437" t="str">
        <f>VLOOKUP($A1437,[1]Table!$A$2:$N1579,G$1,FALSE)</f>
        <v>THYMOCYTENIMMGL 25MG INFPDR</v>
      </c>
      <c r="H1437" t="str">
        <f>VLOOKUP($A1437,[1]Table!$A$2:$N1579,H$1,FALSE)</f>
        <v>poeder voor oplossing voor infusie</v>
      </c>
      <c r="I1437" t="str">
        <f>VLOOKUP($A1437,[1]Table!$A$2:$N1579,I$1,FALSE)</f>
        <v>iv</v>
      </c>
      <c r="J1437">
        <f>VLOOKUP($A1437,[1]Table!$A$2:$N1579,J$1,FALSE)</f>
        <v>25</v>
      </c>
      <c r="K1437" t="str">
        <f>VLOOKUP($A1437,[1]Table!$A$2:$N1579,K$1,FALSE)</f>
        <v>mg/stuk</v>
      </c>
      <c r="L1437">
        <f>VLOOKUP($A1437,[1]Table!$A$2:$N1579,L$1,FALSE)</f>
        <v>25</v>
      </c>
      <c r="M1437" t="str">
        <f>VLOOKUP($A1437,[1]Table!$A$2:$N1579,M$1,FALSE)</f>
        <v>mg</v>
      </c>
      <c r="N1437" t="str">
        <f>VLOOKUP($A1437,[1]Table!$A$2:$N1579,N$1,FALSE)</f>
        <v>Beenmergtransplantatie||Afstotingsreactie bij niertransplantatie||Aplastische anemie en voorbereiding beenmergtransplantatie</v>
      </c>
      <c r="O1437" t="str">
        <f>ConcatenateRange(AZ1437:BU1437,"||")</f>
        <v/>
      </c>
      <c r="AZ1437" t="str">
        <f t="shared" si="528"/>
        <v/>
      </c>
      <c r="BA1437" t="str">
        <f t="shared" si="529"/>
        <v/>
      </c>
      <c r="BB1437" t="str">
        <f t="shared" si="530"/>
        <v/>
      </c>
      <c r="BC1437" t="str">
        <f t="shared" si="531"/>
        <v/>
      </c>
      <c r="BD1437" t="str">
        <f t="shared" si="532"/>
        <v/>
      </c>
      <c r="BE1437" t="str">
        <f t="shared" si="533"/>
        <v/>
      </c>
      <c r="BF1437" t="str">
        <f t="shared" si="534"/>
        <v/>
      </c>
      <c r="BG1437" t="str">
        <f t="shared" si="535"/>
        <v/>
      </c>
      <c r="BH1437" t="str">
        <f t="shared" si="536"/>
        <v/>
      </c>
      <c r="BI1437" t="str">
        <f t="shared" si="537"/>
        <v/>
      </c>
      <c r="BJ1437" t="str">
        <f t="shared" si="538"/>
        <v/>
      </c>
      <c r="BK1437" t="str">
        <f t="shared" si="539"/>
        <v/>
      </c>
      <c r="BL1437" t="str">
        <f t="shared" si="540"/>
        <v/>
      </c>
      <c r="BM1437" t="str">
        <f t="shared" si="541"/>
        <v/>
      </c>
      <c r="BN1437" t="str">
        <f t="shared" si="542"/>
        <v/>
      </c>
      <c r="BO1437" t="str">
        <f t="shared" si="543"/>
        <v/>
      </c>
      <c r="BP1437" t="str">
        <f t="shared" si="544"/>
        <v/>
      </c>
      <c r="BQ1437" t="str">
        <f t="shared" si="545"/>
        <v/>
      </c>
      <c r="BR1437" t="str">
        <f t="shared" si="546"/>
        <v/>
      </c>
      <c r="BS1437" t="str">
        <f t="shared" si="547"/>
        <v/>
      </c>
      <c r="BT1437" t="str">
        <f t="shared" si="548"/>
        <v/>
      </c>
      <c r="BU1437" t="str">
        <f t="shared" si="549"/>
        <v/>
      </c>
    </row>
    <row r="1438" spans="1:73">
      <c r="A1438" s="1">
        <v>125237</v>
      </c>
      <c r="B1438" t="str">
        <f>VLOOKUP($A1438,[1]Table!$A$2:$N1580,B$1,FALSE)</f>
        <v>J01AA12</v>
      </c>
      <c r="C1438" t="str">
        <f>VLOOKUP($A1438,[1]Table!$A$2:$N1580,C$1,FALSE)</f>
        <v>ANTIBACTERIELE MIDDELEN VOOR SYSTEMISCH GEBRUIK</v>
      </c>
      <c r="D1438" t="str">
        <f>VLOOKUP($A1438,[1]Table!$A$2:$N1580,D$1,FALSE)</f>
        <v>TETRACYCLINES</v>
      </c>
      <c r="E1438" t="str">
        <f>VLOOKUP($A1438,[1]Table!$A$2:$N1580,E$1,FALSE)</f>
        <v>TIGECYCLINE</v>
      </c>
      <c r="F1438" t="str">
        <f>VLOOKUP($A1438,[1]Table!$A$2:$N1580,F$1,FALSE)</f>
        <v>TYGACIL 50 MG/ST POEDER VOOR INFUSIE</v>
      </c>
      <c r="G1438" t="str">
        <f>VLOOKUP($A1438,[1]Table!$A$2:$N1580,G$1,FALSE)</f>
        <v>TIGECYCLINE 50MG INFUSIEPDR</v>
      </c>
      <c r="H1438" t="str">
        <f>VLOOKUP($A1438,[1]Table!$A$2:$N1580,H$1,FALSE)</f>
        <v>poeder voor oplossing voor infusie</v>
      </c>
      <c r="I1438" t="str">
        <f>VLOOKUP($A1438,[1]Table!$A$2:$N1580,I$1,FALSE)</f>
        <v>iv</v>
      </c>
      <c r="J1438">
        <f>VLOOKUP($A1438,[1]Table!$A$2:$N1580,J$1,FALSE)</f>
        <v>50</v>
      </c>
      <c r="K1438" t="str">
        <f>VLOOKUP($A1438,[1]Table!$A$2:$N1580,K$1,FALSE)</f>
        <v>mg/stuk</v>
      </c>
      <c r="L1438">
        <f>VLOOKUP($A1438,[1]Table!$A$2:$N1580,L$1,FALSE)</f>
        <v>50</v>
      </c>
      <c r="M1438" t="str">
        <f>VLOOKUP($A1438,[1]Table!$A$2:$N1580,M$1,FALSE)</f>
        <v>mg</v>
      </c>
      <c r="N1438" t="str">
        <f>VLOOKUP($A1438,[1]Table!$A$2:$N1580,N$1,FALSE)</f>
        <v>Infecties van huid en weke delen en intra-abdominale infecties</v>
      </c>
      <c r="O1438" t="str">
        <f>ConcatenateRange(AZ1438:BU1438,"||")</f>
        <v/>
      </c>
      <c r="AZ1438" t="str">
        <f t="shared" si="528"/>
        <v/>
      </c>
      <c r="BA1438" t="str">
        <f t="shared" si="529"/>
        <v/>
      </c>
      <c r="BB1438" t="str">
        <f t="shared" si="530"/>
        <v/>
      </c>
      <c r="BC1438" t="str">
        <f t="shared" si="531"/>
        <v/>
      </c>
      <c r="BD1438" t="str">
        <f t="shared" si="532"/>
        <v/>
      </c>
      <c r="BE1438" t="str">
        <f t="shared" si="533"/>
        <v/>
      </c>
      <c r="BF1438" t="str">
        <f t="shared" si="534"/>
        <v/>
      </c>
      <c r="BG1438" t="str">
        <f t="shared" si="535"/>
        <v/>
      </c>
      <c r="BH1438" t="str">
        <f t="shared" si="536"/>
        <v/>
      </c>
      <c r="BI1438" t="str">
        <f t="shared" si="537"/>
        <v/>
      </c>
      <c r="BJ1438" t="str">
        <f t="shared" si="538"/>
        <v/>
      </c>
      <c r="BK1438" t="str">
        <f t="shared" si="539"/>
        <v/>
      </c>
      <c r="BL1438" t="str">
        <f t="shared" si="540"/>
        <v/>
      </c>
      <c r="BM1438" t="str">
        <f t="shared" si="541"/>
        <v/>
      </c>
      <c r="BN1438" t="str">
        <f t="shared" si="542"/>
        <v/>
      </c>
      <c r="BO1438" t="str">
        <f t="shared" si="543"/>
        <v/>
      </c>
      <c r="BP1438" t="str">
        <f t="shared" si="544"/>
        <v/>
      </c>
      <c r="BQ1438" t="str">
        <f t="shared" si="545"/>
        <v/>
      </c>
      <c r="BR1438" t="str">
        <f t="shared" si="546"/>
        <v/>
      </c>
      <c r="BS1438" t="str">
        <f t="shared" si="547"/>
        <v/>
      </c>
      <c r="BT1438" t="str">
        <f t="shared" si="548"/>
        <v/>
      </c>
      <c r="BU1438" t="str">
        <f t="shared" si="549"/>
        <v/>
      </c>
    </row>
    <row r="1439" spans="1:73">
      <c r="A1439" s="1">
        <v>11487</v>
      </c>
      <c r="B1439" t="str">
        <f>VLOOKUP($A1439,[1]Table!$A$2:$N1582,B$1,FALSE)</f>
        <v>S01ED01</v>
      </c>
      <c r="C1439" t="str">
        <f>VLOOKUP($A1439,[1]Table!$A$2:$N1582,C$1,FALSE)</f>
        <v>MIDDELEN VOOR OOGHEELKUNDIG GEBRUIK</v>
      </c>
      <c r="D1439" t="str">
        <f>VLOOKUP($A1439,[1]Table!$A$2:$N1582,D$1,FALSE)</f>
        <v>GLAUCOOMMIDDELEN EN MIOTICA</v>
      </c>
      <c r="E1439" t="str">
        <f>VLOOKUP($A1439,[1]Table!$A$2:$N1582,E$1,FALSE)</f>
        <v>TIMOLOL</v>
      </c>
      <c r="F1439" t="str">
        <f>VLOOKUP($A1439,[1]Table!$A$2:$N1582,F$1,FALSE)</f>
        <v>TIMOLOL 0.25 % OOGDRUPPELS 5ML</v>
      </c>
      <c r="G1439" t="str">
        <f>VLOOKUP($A1439,[1]Table!$A$2:$N1582,G$1,FALSE)</f>
        <v>TIMOLOL 2,5MG/ML OOGDRUPPEL</v>
      </c>
      <c r="H1439" t="str">
        <f>VLOOKUP($A1439,[1]Table!$A$2:$N1582,H$1,FALSE)</f>
        <v>oogdruppels</v>
      </c>
      <c r="I1439" t="str">
        <f>VLOOKUP($A1439,[1]Table!$A$2:$N1582,I$1,FALSE)</f>
        <v>oog</v>
      </c>
      <c r="J1439">
        <f>VLOOKUP($A1439,[1]Table!$A$2:$N1582,J$1,FALSE)</f>
        <v>2.5</v>
      </c>
      <c r="K1439" t="str">
        <f>VLOOKUP($A1439,[1]Table!$A$2:$N1582,K$1,FALSE)</f>
        <v>mg/ml</v>
      </c>
      <c r="L1439">
        <f>VLOOKUP($A1439,[1]Table!$A$2:$N1582,L$1,FALSE)</f>
        <v>2.5</v>
      </c>
      <c r="M1439" t="str">
        <f>VLOOKUP($A1439,[1]Table!$A$2:$N1582,M$1,FALSE)</f>
        <v>mg</v>
      </c>
      <c r="N1439" t="str">
        <f>VLOOKUP($A1439,[1]Table!$A$2:$N1582,N$1,FALSE)</f>
        <v>Glaucoom</v>
      </c>
      <c r="O1439" t="str">
        <f>ConcatenateRange(AZ1439:BU1439,"||")</f>
        <v/>
      </c>
      <c r="AZ1439" t="str">
        <f t="shared" si="528"/>
        <v/>
      </c>
      <c r="BA1439" t="str">
        <f t="shared" si="529"/>
        <v/>
      </c>
      <c r="BB1439" t="str">
        <f t="shared" si="530"/>
        <v/>
      </c>
      <c r="BC1439" t="str">
        <f t="shared" si="531"/>
        <v/>
      </c>
      <c r="BD1439" t="str">
        <f t="shared" si="532"/>
        <v/>
      </c>
      <c r="BE1439" t="str">
        <f t="shared" si="533"/>
        <v/>
      </c>
      <c r="BF1439" t="str">
        <f t="shared" si="534"/>
        <v/>
      </c>
      <c r="BG1439" t="str">
        <f t="shared" si="535"/>
        <v/>
      </c>
      <c r="BH1439" t="str">
        <f t="shared" si="536"/>
        <v/>
      </c>
      <c r="BI1439" t="str">
        <f t="shared" si="537"/>
        <v/>
      </c>
      <c r="BJ1439" t="str">
        <f t="shared" si="538"/>
        <v/>
      </c>
      <c r="BK1439" t="str">
        <f t="shared" si="539"/>
        <v/>
      </c>
      <c r="BL1439" t="str">
        <f t="shared" si="540"/>
        <v/>
      </c>
      <c r="BM1439" t="str">
        <f t="shared" si="541"/>
        <v/>
      </c>
      <c r="BN1439" t="str">
        <f t="shared" si="542"/>
        <v/>
      </c>
      <c r="BO1439" t="str">
        <f t="shared" si="543"/>
        <v/>
      </c>
      <c r="BP1439" t="str">
        <f t="shared" si="544"/>
        <v/>
      </c>
      <c r="BQ1439" t="str">
        <f t="shared" si="545"/>
        <v/>
      </c>
      <c r="BR1439" t="str">
        <f t="shared" si="546"/>
        <v/>
      </c>
      <c r="BS1439" t="str">
        <f t="shared" si="547"/>
        <v/>
      </c>
      <c r="BT1439" t="str">
        <f t="shared" si="548"/>
        <v/>
      </c>
      <c r="BU1439" t="str">
        <f t="shared" si="549"/>
        <v/>
      </c>
    </row>
    <row r="1440" spans="1:73">
      <c r="A1440" s="1">
        <v>21261</v>
      </c>
      <c r="B1440" t="str">
        <f>VLOOKUP($A1440,[1]Table!$A$2:$N1583,B$1,FALSE)</f>
        <v>S01ED01</v>
      </c>
      <c r="C1440" t="str">
        <f>VLOOKUP($A1440,[1]Table!$A$2:$N1583,C$1,FALSE)</f>
        <v>MIDDELEN VOOR OOGHEELKUNDIG GEBRUIK</v>
      </c>
      <c r="D1440" t="str">
        <f>VLOOKUP($A1440,[1]Table!$A$2:$N1583,D$1,FALSE)</f>
        <v>GLAUCOOMMIDDELEN EN MIOTICA</v>
      </c>
      <c r="E1440" t="str">
        <f>VLOOKUP($A1440,[1]Table!$A$2:$N1583,E$1,FALSE)</f>
        <v>TIMOLOL</v>
      </c>
      <c r="F1440" t="str">
        <f>VLOOKUP($A1440,[1]Table!$A$2:$N1583,F$1,FALSE)</f>
        <v>TIMO-COMOD (CONSVRIJ) OOGDRUPPELS 5MG/ML FLACON 10ML</v>
      </c>
      <c r="G1440" t="str">
        <f>VLOOKUP($A1440,[1]Table!$A$2:$N1583,G$1,FALSE)</f>
        <v>TIMOLOL 5MG/ML OOGDRUPPELS</v>
      </c>
      <c r="H1440" t="str">
        <f>VLOOKUP($A1440,[1]Table!$A$2:$N1583,H$1,FALSE)</f>
        <v>oogdruppels</v>
      </c>
      <c r="I1440" t="str">
        <f>VLOOKUP($A1440,[1]Table!$A$2:$N1583,I$1,FALSE)</f>
        <v>oog</v>
      </c>
      <c r="J1440">
        <f>VLOOKUP($A1440,[1]Table!$A$2:$N1583,J$1,FALSE)</f>
        <v>5</v>
      </c>
      <c r="K1440" t="str">
        <f>VLOOKUP($A1440,[1]Table!$A$2:$N1583,K$1,FALSE)</f>
        <v>mg/ml</v>
      </c>
      <c r="L1440">
        <f>VLOOKUP($A1440,[1]Table!$A$2:$N1583,L$1,FALSE)</f>
        <v>5</v>
      </c>
      <c r="M1440" t="str">
        <f>VLOOKUP($A1440,[1]Table!$A$2:$N1583,M$1,FALSE)</f>
        <v>mg</v>
      </c>
      <c r="N1440" t="str">
        <f>VLOOKUP($A1440,[1]Table!$A$2:$N1583,N$1,FALSE)</f>
        <v>Glaucoom</v>
      </c>
      <c r="O1440" t="str">
        <f>ConcatenateRange(AZ1440:BU1440,"||")</f>
        <v/>
      </c>
      <c r="AZ1440" t="str">
        <f t="shared" si="528"/>
        <v/>
      </c>
      <c r="BA1440" t="str">
        <f t="shared" si="529"/>
        <v/>
      </c>
      <c r="BB1440" t="str">
        <f t="shared" si="530"/>
        <v/>
      </c>
      <c r="BC1440" t="str">
        <f t="shared" si="531"/>
        <v/>
      </c>
      <c r="BD1440" t="str">
        <f t="shared" si="532"/>
        <v/>
      </c>
      <c r="BE1440" t="str">
        <f t="shared" si="533"/>
        <v/>
      </c>
      <c r="BF1440" t="str">
        <f t="shared" si="534"/>
        <v/>
      </c>
      <c r="BG1440" t="str">
        <f t="shared" si="535"/>
        <v/>
      </c>
      <c r="BH1440" t="str">
        <f t="shared" si="536"/>
        <v/>
      </c>
      <c r="BI1440" t="str">
        <f t="shared" si="537"/>
        <v/>
      </c>
      <c r="BJ1440" t="str">
        <f t="shared" si="538"/>
        <v/>
      </c>
      <c r="BK1440" t="str">
        <f t="shared" si="539"/>
        <v/>
      </c>
      <c r="BL1440" t="str">
        <f t="shared" si="540"/>
        <v/>
      </c>
      <c r="BM1440" t="str">
        <f t="shared" si="541"/>
        <v/>
      </c>
      <c r="BN1440" t="str">
        <f t="shared" si="542"/>
        <v/>
      </c>
      <c r="BO1440" t="str">
        <f t="shared" si="543"/>
        <v/>
      </c>
      <c r="BP1440" t="str">
        <f t="shared" si="544"/>
        <v/>
      </c>
      <c r="BQ1440" t="str">
        <f t="shared" si="545"/>
        <v/>
      </c>
      <c r="BR1440" t="str">
        <f t="shared" si="546"/>
        <v/>
      </c>
      <c r="BS1440" t="str">
        <f t="shared" si="547"/>
        <v/>
      </c>
      <c r="BT1440" t="str">
        <f t="shared" si="548"/>
        <v/>
      </c>
      <c r="BU1440" t="str">
        <f t="shared" si="549"/>
        <v/>
      </c>
    </row>
    <row r="1441" spans="1:73">
      <c r="A1441" s="1">
        <v>115134</v>
      </c>
      <c r="B1441" t="str">
        <f>VLOOKUP($A1441,[1]Table!$A$2:$N1584,B$1,FALSE)</f>
        <v>S01ED01</v>
      </c>
      <c r="C1441" t="str">
        <f>VLOOKUP($A1441,[1]Table!$A$2:$N1584,C$1,FALSE)</f>
        <v>MIDDELEN VOOR OOGHEELKUNDIG GEBRUIK</v>
      </c>
      <c r="D1441" t="str">
        <f>VLOOKUP($A1441,[1]Table!$A$2:$N1584,D$1,FALSE)</f>
        <v>GLAUCOOMMIDDELEN EN MIOTICA</v>
      </c>
      <c r="E1441" t="str">
        <f>VLOOKUP($A1441,[1]Table!$A$2:$N1584,E$1,FALSE)</f>
        <v>TIMOLOL</v>
      </c>
      <c r="F1441" t="str">
        <f>VLOOKUP($A1441,[1]Table!$A$2:$N1584,F$1,FALSE)</f>
        <v>TIMOGEL 1 MG/G OOGGEL</v>
      </c>
      <c r="G1441" t="str">
        <f>VLOOKUP($A1441,[1]Table!$A$2:$N1584,G$1,FALSE)</f>
        <v>TIMOLOL 1MG/G OOGGEL</v>
      </c>
      <c r="H1441" t="str">
        <f>VLOOKUP($A1441,[1]Table!$A$2:$N1584,H$1,FALSE)</f>
        <v>ooggel</v>
      </c>
      <c r="I1441" t="str">
        <f>VLOOKUP($A1441,[1]Table!$A$2:$N1584,I$1,FALSE)</f>
        <v>oog</v>
      </c>
      <c r="J1441">
        <f>VLOOKUP($A1441,[1]Table!$A$2:$N1584,J$1,FALSE)</f>
        <v>1</v>
      </c>
      <c r="K1441" t="str">
        <f>VLOOKUP($A1441,[1]Table!$A$2:$N1584,K$1,FALSE)</f>
        <v>mg/gr</v>
      </c>
      <c r="L1441">
        <f>VLOOKUP($A1441,[1]Table!$A$2:$N1584,L$1,FALSE)</f>
        <v>1</v>
      </c>
      <c r="M1441" t="str">
        <f>VLOOKUP($A1441,[1]Table!$A$2:$N1584,M$1,FALSE)</f>
        <v>mg</v>
      </c>
      <c r="N1441" t="str">
        <f>VLOOKUP($A1441,[1]Table!$A$2:$N1584,N$1,FALSE)</f>
        <v>Glaucoom</v>
      </c>
      <c r="O1441" t="str">
        <f>ConcatenateRange(AZ1441:BU1441,"||")</f>
        <v/>
      </c>
      <c r="AZ1441" t="str">
        <f t="shared" si="528"/>
        <v/>
      </c>
      <c r="BA1441" t="str">
        <f t="shared" si="529"/>
        <v/>
      </c>
      <c r="BB1441" t="str">
        <f t="shared" si="530"/>
        <v/>
      </c>
      <c r="BC1441" t="str">
        <f t="shared" si="531"/>
        <v/>
      </c>
      <c r="BD1441" t="str">
        <f t="shared" si="532"/>
        <v/>
      </c>
      <c r="BE1441" t="str">
        <f t="shared" si="533"/>
        <v/>
      </c>
      <c r="BF1441" t="str">
        <f t="shared" si="534"/>
        <v/>
      </c>
      <c r="BG1441" t="str">
        <f t="shared" si="535"/>
        <v/>
      </c>
      <c r="BH1441" t="str">
        <f t="shared" si="536"/>
        <v/>
      </c>
      <c r="BI1441" t="str">
        <f t="shared" si="537"/>
        <v/>
      </c>
      <c r="BJ1441" t="str">
        <f t="shared" si="538"/>
        <v/>
      </c>
      <c r="BK1441" t="str">
        <f t="shared" si="539"/>
        <v/>
      </c>
      <c r="BL1441" t="str">
        <f t="shared" si="540"/>
        <v/>
      </c>
      <c r="BM1441" t="str">
        <f t="shared" si="541"/>
        <v/>
      </c>
      <c r="BN1441" t="str">
        <f t="shared" si="542"/>
        <v/>
      </c>
      <c r="BO1441" t="str">
        <f t="shared" si="543"/>
        <v/>
      </c>
      <c r="BP1441" t="str">
        <f t="shared" si="544"/>
        <v/>
      </c>
      <c r="BQ1441" t="str">
        <f t="shared" si="545"/>
        <v/>
      </c>
      <c r="BR1441" t="str">
        <f t="shared" si="546"/>
        <v/>
      </c>
      <c r="BS1441" t="str">
        <f t="shared" si="547"/>
        <v/>
      </c>
      <c r="BT1441" t="str">
        <f t="shared" si="548"/>
        <v/>
      </c>
      <c r="BU1441" t="str">
        <f t="shared" si="549"/>
        <v/>
      </c>
    </row>
    <row r="1442" spans="1:73">
      <c r="A1442" s="1">
        <v>126799</v>
      </c>
      <c r="B1442" t="str">
        <f>VLOOKUP($A1442,[1]Table!$A$2:$N1585,B$1,FALSE)</f>
        <v>V01AA02</v>
      </c>
      <c r="C1442" t="str">
        <f>VLOOKUP($A1442,[1]Table!$A$2:$N1585,C$1,FALSE)</f>
        <v>ALLERGENEN</v>
      </c>
      <c r="D1442" t="str">
        <f>VLOOKUP($A1442,[1]Table!$A$2:$N1585,D$1,FALSE)</f>
        <v>ALLERGENEN</v>
      </c>
      <c r="E1442" t="str">
        <f>VLOOKUP($A1442,[1]Table!$A$2:$N1585,E$1,FALSE)</f>
        <v>TIMOTHEEGRASPOLLEN</v>
      </c>
      <c r="F1442" t="str">
        <f>VLOOKUP($A1442,[1]Table!$A$2:$N1585,F$1,FALSE)</f>
        <v>GRAZAX 75000E LYOPHILISAAT</v>
      </c>
      <c r="G1442" t="str">
        <f>VLOOKUP($A1442,[1]Table!$A$2:$N1585,G$1,FALSE)</f>
        <v>TIMOTHEEGRASPOLLEN LYOPHILI</v>
      </c>
      <c r="H1442" t="str">
        <f>VLOOKUP($A1442,[1]Table!$A$2:$N1585,H$1,FALSE)</f>
        <v>lyophilisaat voor oraal gebruik</v>
      </c>
      <c r="I1442" t="str">
        <f>VLOOKUP($A1442,[1]Table!$A$2:$N1585,I$1,FALSE)</f>
        <v>subling</v>
      </c>
      <c r="J1442">
        <f>VLOOKUP($A1442,[1]Table!$A$2:$N1585,J$1,FALSE)</f>
        <v>75000</v>
      </c>
      <c r="K1442" t="str">
        <f>VLOOKUP($A1442,[1]Table!$A$2:$N1585,K$1,FALSE)</f>
        <v>E/stuk</v>
      </c>
      <c r="L1442">
        <f>VLOOKUP($A1442,[1]Table!$A$2:$N1585,L$1,FALSE)</f>
        <v>75000</v>
      </c>
      <c r="M1442" t="str">
        <f>VLOOKUP($A1442,[1]Table!$A$2:$N1585,M$1,FALSE)</f>
        <v>E</v>
      </c>
      <c r="N1442" t="str">
        <f>VLOOKUP($A1442,[1]Table!$A$2:$N1585,N$1,FALSE)</f>
        <v>Inhalatieallergie Gras</v>
      </c>
      <c r="O1442" t="str">
        <f>ConcatenateRange(AZ1442:BU1442,"||")</f>
        <v/>
      </c>
      <c r="AZ1442" t="str">
        <f t="shared" si="528"/>
        <v/>
      </c>
      <c r="BA1442" t="str">
        <f t="shared" si="529"/>
        <v/>
      </c>
      <c r="BB1442" t="str">
        <f t="shared" si="530"/>
        <v/>
      </c>
      <c r="BC1442" t="str">
        <f t="shared" si="531"/>
        <v/>
      </c>
      <c r="BD1442" t="str">
        <f t="shared" si="532"/>
        <v/>
      </c>
      <c r="BE1442" t="str">
        <f t="shared" si="533"/>
        <v/>
      </c>
      <c r="BF1442" t="str">
        <f t="shared" si="534"/>
        <v/>
      </c>
      <c r="BG1442" t="str">
        <f t="shared" si="535"/>
        <v/>
      </c>
      <c r="BH1442" t="str">
        <f t="shared" si="536"/>
        <v/>
      </c>
      <c r="BI1442" t="str">
        <f t="shared" si="537"/>
        <v/>
      </c>
      <c r="BJ1442" t="str">
        <f t="shared" si="538"/>
        <v/>
      </c>
      <c r="BK1442" t="str">
        <f t="shared" si="539"/>
        <v/>
      </c>
      <c r="BL1442" t="str">
        <f t="shared" si="540"/>
        <v/>
      </c>
      <c r="BM1442" t="str">
        <f t="shared" si="541"/>
        <v/>
      </c>
      <c r="BN1442" t="str">
        <f t="shared" si="542"/>
        <v/>
      </c>
      <c r="BO1442" t="str">
        <f t="shared" si="543"/>
        <v/>
      </c>
      <c r="BP1442" t="str">
        <f t="shared" si="544"/>
        <v/>
      </c>
      <c r="BQ1442" t="str">
        <f t="shared" si="545"/>
        <v/>
      </c>
      <c r="BR1442" t="str">
        <f t="shared" si="546"/>
        <v/>
      </c>
      <c r="BS1442" t="str">
        <f t="shared" si="547"/>
        <v/>
      </c>
      <c r="BT1442" t="str">
        <f t="shared" si="548"/>
        <v/>
      </c>
      <c r="BU1442" t="str">
        <f t="shared" si="549"/>
        <v/>
      </c>
    </row>
    <row r="1443" spans="1:73">
      <c r="A1443" s="1">
        <v>103888</v>
      </c>
      <c r="B1443" t="str">
        <f>VLOOKUP($A1443,[1]Table!$A$2:$N1586,B$1,FALSE)</f>
        <v>B01AB10</v>
      </c>
      <c r="C1443" t="str">
        <f>VLOOKUP($A1443,[1]Table!$A$2:$N1586,C$1,FALSE)</f>
        <v>ANTITHROMBOTICA</v>
      </c>
      <c r="D1443" t="str">
        <f>VLOOKUP($A1443,[1]Table!$A$2:$N1586,D$1,FALSE)</f>
        <v>ANTITHROMBOTICA</v>
      </c>
      <c r="E1443" t="str">
        <f>VLOOKUP($A1443,[1]Table!$A$2:$N1586,E$1,FALSE)</f>
        <v>TINZAPARINE</v>
      </c>
      <c r="F1443" t="str">
        <f>VLOOKUP($A1443,[1]Table!$A$2:$N1586,F$1,FALSE)</f>
        <v>INNOHEP 20000 IE/ML INJVLST WWSP 0,5 ML</v>
      </c>
      <c r="G1443" t="str">
        <f>VLOOKUP($A1443,[1]Table!$A$2:$N1586,G$1,FALSE)</f>
        <v>TINZAPARINE 20.000IE/ML INJ</v>
      </c>
      <c r="H1443" t="str">
        <f>VLOOKUP($A1443,[1]Table!$A$2:$N1586,H$1,FALSE)</f>
        <v>injectievloeistof</v>
      </c>
      <c r="I1443" t="str">
        <f>VLOOKUP($A1443,[1]Table!$A$2:$N1586,I$1,FALSE)</f>
        <v>sc</v>
      </c>
      <c r="J1443">
        <f>VLOOKUP($A1443,[1]Table!$A$2:$N1586,J$1,FALSE)</f>
        <v>20000</v>
      </c>
      <c r="K1443" t="str">
        <f>VLOOKUP($A1443,[1]Table!$A$2:$N1586,K$1,FALSE)</f>
        <v>IE/ml</v>
      </c>
      <c r="L1443">
        <f>VLOOKUP($A1443,[1]Table!$A$2:$N1586,L$1,FALSE)</f>
        <v>20000</v>
      </c>
      <c r="M1443" t="str">
        <f>VLOOKUP($A1443,[1]Table!$A$2:$N1586,M$1,FALSE)</f>
        <v>IE</v>
      </c>
      <c r="N1443" t="str">
        <f>VLOOKUP($A1443,[1]Table!$A$2:$N1586,N$1,FALSE)</f>
        <v>Profylaxe trombo-embolische complicaties||Diep veneuze trombose</v>
      </c>
      <c r="O1443" t="str">
        <f>ConcatenateRange(AZ1443:BU1443,"||")</f>
        <v/>
      </c>
      <c r="AZ1443" t="str">
        <f t="shared" si="528"/>
        <v/>
      </c>
      <c r="BA1443" t="str">
        <f t="shared" si="529"/>
        <v/>
      </c>
      <c r="BB1443" t="str">
        <f t="shared" si="530"/>
        <v/>
      </c>
      <c r="BC1443" t="str">
        <f t="shared" si="531"/>
        <v/>
      </c>
      <c r="BD1443" t="str">
        <f t="shared" si="532"/>
        <v/>
      </c>
      <c r="BE1443" t="str">
        <f t="shared" si="533"/>
        <v/>
      </c>
      <c r="BF1443" t="str">
        <f t="shared" si="534"/>
        <v/>
      </c>
      <c r="BG1443" t="str">
        <f t="shared" si="535"/>
        <v/>
      </c>
      <c r="BH1443" t="str">
        <f t="shared" si="536"/>
        <v/>
      </c>
      <c r="BI1443" t="str">
        <f t="shared" si="537"/>
        <v/>
      </c>
      <c r="BJ1443" t="str">
        <f t="shared" si="538"/>
        <v/>
      </c>
      <c r="BK1443" t="str">
        <f t="shared" si="539"/>
        <v/>
      </c>
      <c r="BL1443" t="str">
        <f t="shared" si="540"/>
        <v/>
      </c>
      <c r="BM1443" t="str">
        <f t="shared" si="541"/>
        <v/>
      </c>
      <c r="BN1443" t="str">
        <f t="shared" si="542"/>
        <v/>
      </c>
      <c r="BO1443" t="str">
        <f t="shared" si="543"/>
        <v/>
      </c>
      <c r="BP1443" t="str">
        <f t="shared" si="544"/>
        <v/>
      </c>
      <c r="BQ1443" t="str">
        <f t="shared" si="545"/>
        <v/>
      </c>
      <c r="BR1443" t="str">
        <f t="shared" si="546"/>
        <v/>
      </c>
      <c r="BS1443" t="str">
        <f t="shared" si="547"/>
        <v/>
      </c>
      <c r="BT1443" t="str">
        <f t="shared" si="548"/>
        <v/>
      </c>
      <c r="BU1443" t="str">
        <f t="shared" si="549"/>
        <v/>
      </c>
    </row>
    <row r="1444" spans="1:73">
      <c r="A1444" s="1">
        <v>149144</v>
      </c>
      <c r="B1444" t="str">
        <f>VLOOKUP($A1444,[1]Table!$A$2:$N1587,B$1,FALSE)</f>
        <v>L01BB03</v>
      </c>
      <c r="C1444" t="str">
        <f>VLOOKUP($A1444,[1]Table!$A$2:$N1587,C$1,FALSE)</f>
        <v>ONCOLYTICA</v>
      </c>
      <c r="D1444" t="str">
        <f>VLOOKUP($A1444,[1]Table!$A$2:$N1587,D$1,FALSE)</f>
        <v>ANTIMETABOLIETEN</v>
      </c>
      <c r="E1444" t="str">
        <f>VLOOKUP($A1444,[1]Table!$A$2:$N1587,E$1,FALSE)</f>
        <v>TIOGUANINE</v>
      </c>
      <c r="F1444" t="str">
        <f>VLOOKUP($A1444,[1]Table!$A$2:$N1587,F$1,FALSE)</f>
        <v>THIOSIX 20 MG TABLET</v>
      </c>
      <c r="G1444" t="str">
        <f>VLOOKUP($A1444,[1]Table!$A$2:$N1587,G$1,FALSE)</f>
        <v>TIOGUANINE 20MG TABLET</v>
      </c>
      <c r="H1444" t="str">
        <f>VLOOKUP($A1444,[1]Table!$A$2:$N1587,H$1,FALSE)</f>
        <v>tablet</v>
      </c>
      <c r="I1444" t="str">
        <f>VLOOKUP($A1444,[1]Table!$A$2:$N1587,I$1,FALSE)</f>
        <v>or</v>
      </c>
      <c r="J1444">
        <f>VLOOKUP($A1444,[1]Table!$A$2:$N1587,J$1,FALSE)</f>
        <v>20</v>
      </c>
      <c r="K1444" t="str">
        <f>VLOOKUP($A1444,[1]Table!$A$2:$N1587,K$1,FALSE)</f>
        <v>mg/stuk</v>
      </c>
      <c r="L1444">
        <f>VLOOKUP($A1444,[1]Table!$A$2:$N1587,L$1,FALSE)</f>
        <v>20</v>
      </c>
      <c r="M1444" t="str">
        <f>VLOOKUP($A1444,[1]Table!$A$2:$N1587,M$1,FALSE)</f>
        <v>mg</v>
      </c>
      <c r="N1444" t="str">
        <f>VLOOKUP($A1444,[1]Table!$A$2:$N1587,N$1,FALSE)</f>
        <v>Oncologische aandoeningen</v>
      </c>
      <c r="O1444" t="str">
        <f>ConcatenateRange(AZ1444:BU1444,"||")</f>
        <v/>
      </c>
      <c r="AZ1444" t="str">
        <f t="shared" si="528"/>
        <v/>
      </c>
      <c r="BA1444" t="str">
        <f t="shared" si="529"/>
        <v/>
      </c>
      <c r="BB1444" t="str">
        <f t="shared" si="530"/>
        <v/>
      </c>
      <c r="BC1444" t="str">
        <f t="shared" si="531"/>
        <v/>
      </c>
      <c r="BD1444" t="str">
        <f t="shared" si="532"/>
        <v/>
      </c>
      <c r="BE1444" t="str">
        <f t="shared" si="533"/>
        <v/>
      </c>
      <c r="BF1444" t="str">
        <f t="shared" si="534"/>
        <v/>
      </c>
      <c r="BG1444" t="str">
        <f t="shared" si="535"/>
        <v/>
      </c>
      <c r="BH1444" t="str">
        <f t="shared" si="536"/>
        <v/>
      </c>
      <c r="BI1444" t="str">
        <f t="shared" si="537"/>
        <v/>
      </c>
      <c r="BJ1444" t="str">
        <f t="shared" si="538"/>
        <v/>
      </c>
      <c r="BK1444" t="str">
        <f t="shared" si="539"/>
        <v/>
      </c>
      <c r="BL1444" t="str">
        <f t="shared" si="540"/>
        <v/>
      </c>
      <c r="BM1444" t="str">
        <f t="shared" si="541"/>
        <v/>
      </c>
      <c r="BN1444" t="str">
        <f t="shared" si="542"/>
        <v/>
      </c>
      <c r="BO1444" t="str">
        <f t="shared" si="543"/>
        <v/>
      </c>
      <c r="BP1444" t="str">
        <f t="shared" si="544"/>
        <v/>
      </c>
      <c r="BQ1444" t="str">
        <f t="shared" si="545"/>
        <v/>
      </c>
      <c r="BR1444" t="str">
        <f t="shared" si="546"/>
        <v/>
      </c>
      <c r="BS1444" t="str">
        <f t="shared" si="547"/>
        <v/>
      </c>
      <c r="BT1444" t="str">
        <f t="shared" si="548"/>
        <v/>
      </c>
      <c r="BU1444" t="str">
        <f t="shared" si="549"/>
        <v/>
      </c>
    </row>
    <row r="1445" spans="1:73">
      <c r="A1445" s="1">
        <v>9881</v>
      </c>
      <c r="B1445" t="str">
        <f>VLOOKUP($A1445,[1]Table!$A$2:$N1588,B$1,FALSE)</f>
        <v>L01BB03</v>
      </c>
      <c r="C1445" t="str">
        <f>VLOOKUP($A1445,[1]Table!$A$2:$N1588,C$1,FALSE)</f>
        <v>ONCOLYTICA</v>
      </c>
      <c r="D1445" t="str">
        <f>VLOOKUP($A1445,[1]Table!$A$2:$N1588,D$1,FALSE)</f>
        <v>ANTIMETABOLIETEN</v>
      </c>
      <c r="E1445" t="str">
        <f>VLOOKUP($A1445,[1]Table!$A$2:$N1588,E$1,FALSE)</f>
        <v>TIOGUANINE</v>
      </c>
      <c r="F1445" t="str">
        <f>VLOOKUP($A1445,[1]Table!$A$2:$N1588,F$1,FALSE)</f>
        <v>LANVIS 40 MG TABLET</v>
      </c>
      <c r="G1445" t="str">
        <f>VLOOKUP($A1445,[1]Table!$A$2:$N1588,G$1,FALSE)</f>
        <v>TIOGUANINE 40MG TABLET</v>
      </c>
      <c r="H1445" t="str">
        <f>VLOOKUP($A1445,[1]Table!$A$2:$N1588,H$1,FALSE)</f>
        <v>tablet</v>
      </c>
      <c r="I1445" t="str">
        <f>VLOOKUP($A1445,[1]Table!$A$2:$N1588,I$1,FALSE)</f>
        <v>or</v>
      </c>
      <c r="J1445">
        <f>VLOOKUP($A1445,[1]Table!$A$2:$N1588,J$1,FALSE)</f>
        <v>40</v>
      </c>
      <c r="K1445" t="str">
        <f>VLOOKUP($A1445,[1]Table!$A$2:$N1588,K$1,FALSE)</f>
        <v>mg/stuk</v>
      </c>
      <c r="L1445">
        <f>VLOOKUP($A1445,[1]Table!$A$2:$N1588,L$1,FALSE)</f>
        <v>20</v>
      </c>
      <c r="M1445" t="str">
        <f>VLOOKUP($A1445,[1]Table!$A$2:$N1588,M$1,FALSE)</f>
        <v>mg</v>
      </c>
      <c r="N1445" t="str">
        <f>VLOOKUP($A1445,[1]Table!$A$2:$N1588,N$1,FALSE)</f>
        <v>Oncologische aandoeningen</v>
      </c>
      <c r="O1445" t="str">
        <f>ConcatenateRange(AZ1445:BU1445,"||")</f>
        <v/>
      </c>
      <c r="AZ1445" t="str">
        <f t="shared" si="528"/>
        <v/>
      </c>
      <c r="BA1445" t="str">
        <f t="shared" si="529"/>
        <v/>
      </c>
      <c r="BB1445" t="str">
        <f t="shared" si="530"/>
        <v/>
      </c>
      <c r="BC1445" t="str">
        <f t="shared" si="531"/>
        <v/>
      </c>
      <c r="BD1445" t="str">
        <f t="shared" si="532"/>
        <v/>
      </c>
      <c r="BE1445" t="str">
        <f t="shared" si="533"/>
        <v/>
      </c>
      <c r="BF1445" t="str">
        <f t="shared" si="534"/>
        <v/>
      </c>
      <c r="BG1445" t="str">
        <f t="shared" si="535"/>
        <v/>
      </c>
      <c r="BH1445" t="str">
        <f t="shared" si="536"/>
        <v/>
      </c>
      <c r="BI1445" t="str">
        <f t="shared" si="537"/>
        <v/>
      </c>
      <c r="BJ1445" t="str">
        <f t="shared" si="538"/>
        <v/>
      </c>
      <c r="BK1445" t="str">
        <f t="shared" si="539"/>
        <v/>
      </c>
      <c r="BL1445" t="str">
        <f t="shared" si="540"/>
        <v/>
      </c>
      <c r="BM1445" t="str">
        <f t="shared" si="541"/>
        <v/>
      </c>
      <c r="BN1445" t="str">
        <f t="shared" si="542"/>
        <v/>
      </c>
      <c r="BO1445" t="str">
        <f t="shared" si="543"/>
        <v/>
      </c>
      <c r="BP1445" t="str">
        <f t="shared" si="544"/>
        <v/>
      </c>
      <c r="BQ1445" t="str">
        <f t="shared" si="545"/>
        <v/>
      </c>
      <c r="BR1445" t="str">
        <f t="shared" si="546"/>
        <v/>
      </c>
      <c r="BS1445" t="str">
        <f t="shared" si="547"/>
        <v/>
      </c>
      <c r="BT1445" t="str">
        <f t="shared" si="548"/>
        <v/>
      </c>
      <c r="BU1445" t="str">
        <f t="shared" si="549"/>
        <v/>
      </c>
    </row>
    <row r="1446" spans="1:73">
      <c r="A1446" s="1">
        <v>136980</v>
      </c>
      <c r="B1446" t="str">
        <f>VLOOKUP($A1446,[1]Table!$A$2:$N1589,B$1,FALSE)</f>
        <v>J01GB01</v>
      </c>
      <c r="C1446" t="str">
        <f>VLOOKUP($A1446,[1]Table!$A$2:$N1589,C$1,FALSE)</f>
        <v>ANTIBACTERIELE MIDDELEN VOOR SYSTEMISCH GEBRUIK</v>
      </c>
      <c r="D1446" t="str">
        <f>VLOOKUP($A1446,[1]Table!$A$2:$N1589,D$1,FALSE)</f>
        <v>AMINOGLYCOSIDEN</v>
      </c>
      <c r="E1446" t="str">
        <f>VLOOKUP($A1446,[1]Table!$A$2:$N1589,E$1,FALSE)</f>
        <v>TOBRAMYCINE</v>
      </c>
      <c r="F1446" t="str">
        <f>VLOOKUP($A1446,[1]Table!$A$2:$N1589,F$1,FALSE)</f>
        <v>TOBI PODHALER 28 MG INHALATIEPOEDER MET PODHALER</v>
      </c>
      <c r="G1446" t="str">
        <f>VLOOKUP($A1446,[1]Table!$A$2:$N1589,G$1,FALSE)</f>
        <v>TOBRAMYCINE 28MG INHALCAPS</v>
      </c>
      <c r="H1446" t="str">
        <f>VLOOKUP($A1446,[1]Table!$A$2:$N1589,H$1,FALSE)</f>
        <v>inhalatiepoeder</v>
      </c>
      <c r="I1446" t="str">
        <f>VLOOKUP($A1446,[1]Table!$A$2:$N1589,I$1,FALSE)</f>
        <v>inh</v>
      </c>
      <c r="J1446">
        <f>VLOOKUP($A1446,[1]Table!$A$2:$N1589,J$1,FALSE)</f>
        <v>28</v>
      </c>
      <c r="K1446" t="str">
        <f>VLOOKUP($A1446,[1]Table!$A$2:$N1589,K$1,FALSE)</f>
        <v>mg/stuk</v>
      </c>
      <c r="L1446">
        <f>VLOOKUP($A1446,[1]Table!$A$2:$N1589,L$1,FALSE)</f>
        <v>28</v>
      </c>
      <c r="M1446" t="str">
        <f>VLOOKUP($A1446,[1]Table!$A$2:$N1589,M$1,FALSE)</f>
        <v>mg</v>
      </c>
      <c r="N1446" t="str">
        <f>VLOOKUP($A1446,[1]Table!$A$2:$N1589,N$1,FALSE)</f>
        <v>Sepsis en ernstige infecties||Infecties bij cystische fibrose||Infecties bij Cystic Fibrosis||Pulmonale pseudomonas infecties bij niet CF-patienten</v>
      </c>
      <c r="O1446" t="str">
        <f>ConcatenateRange(AZ1446:BU1446,"||")</f>
        <v/>
      </c>
      <c r="AZ1446" t="str">
        <f t="shared" si="528"/>
        <v/>
      </c>
      <c r="BA1446" t="str">
        <f t="shared" si="529"/>
        <v/>
      </c>
      <c r="BB1446" t="str">
        <f t="shared" si="530"/>
        <v/>
      </c>
      <c r="BC1446" t="str">
        <f t="shared" si="531"/>
        <v/>
      </c>
      <c r="BD1446" t="str">
        <f t="shared" si="532"/>
        <v/>
      </c>
      <c r="BE1446" t="str">
        <f t="shared" si="533"/>
        <v/>
      </c>
      <c r="BF1446" t="str">
        <f t="shared" si="534"/>
        <v/>
      </c>
      <c r="BG1446" t="str">
        <f t="shared" si="535"/>
        <v/>
      </c>
      <c r="BH1446" t="str">
        <f t="shared" si="536"/>
        <v/>
      </c>
      <c r="BI1446" t="str">
        <f t="shared" si="537"/>
        <v/>
      </c>
      <c r="BJ1446" t="str">
        <f t="shared" si="538"/>
        <v/>
      </c>
      <c r="BK1446" t="str">
        <f t="shared" si="539"/>
        <v/>
      </c>
      <c r="BL1446" t="str">
        <f t="shared" si="540"/>
        <v/>
      </c>
      <c r="BM1446" t="str">
        <f t="shared" si="541"/>
        <v/>
      </c>
      <c r="BN1446" t="str">
        <f t="shared" si="542"/>
        <v/>
      </c>
      <c r="BO1446" t="str">
        <f t="shared" si="543"/>
        <v/>
      </c>
      <c r="BP1446" t="str">
        <f t="shared" si="544"/>
        <v/>
      </c>
      <c r="BQ1446" t="str">
        <f t="shared" si="545"/>
        <v/>
      </c>
      <c r="BR1446" t="str">
        <f t="shared" si="546"/>
        <v/>
      </c>
      <c r="BS1446" t="str">
        <f t="shared" si="547"/>
        <v/>
      </c>
      <c r="BT1446" t="str">
        <f t="shared" si="548"/>
        <v/>
      </c>
      <c r="BU1446" t="str">
        <f t="shared" si="549"/>
        <v/>
      </c>
    </row>
    <row r="1447" spans="1:73">
      <c r="A1447" s="1">
        <v>73342</v>
      </c>
      <c r="B1447" t="str">
        <f>VLOOKUP($A1447,[1]Table!$A$2:$N1590,B$1,FALSE)</f>
        <v>J01GB01</v>
      </c>
      <c r="C1447" t="str">
        <f>VLOOKUP($A1447,[1]Table!$A$2:$N1590,C$1,FALSE)</f>
        <v>ANTIBACTERIELE MIDDELEN VOOR SYSTEMISCH GEBRUIK</v>
      </c>
      <c r="D1447" t="str">
        <f>VLOOKUP($A1447,[1]Table!$A$2:$N1590,D$1,FALSE)</f>
        <v>AMINOGLYCOSIDEN</v>
      </c>
      <c r="E1447" t="str">
        <f>VLOOKUP($A1447,[1]Table!$A$2:$N1590,E$1,FALSE)</f>
        <v>TOBRAMYCINE</v>
      </c>
      <c r="F1447" t="str">
        <f>VLOOKUP($A1447,[1]Table!$A$2:$N1590,F$1,FALSE)</f>
        <v>TOBRAMYCINE 40 MG/ML AMPUL 3ML</v>
      </c>
      <c r="G1447" t="str">
        <f>VLOOKUP($A1447,[1]Table!$A$2:$N1590,G$1,FALSE)</f>
        <v>TOBRAMYCINE 40MG/ML INJVLST</v>
      </c>
      <c r="H1447" t="str">
        <f>VLOOKUP($A1447,[1]Table!$A$2:$N1590,H$1,FALSE)</f>
        <v>injectievloeistof</v>
      </c>
      <c r="I1447" t="str">
        <f>VLOOKUP($A1447,[1]Table!$A$2:$N1590,I$1,FALSE)</f>
        <v>im||iv</v>
      </c>
      <c r="J1447">
        <f>VLOOKUP($A1447,[1]Table!$A$2:$N1590,J$1,FALSE)</f>
        <v>40</v>
      </c>
      <c r="K1447" t="str">
        <f>VLOOKUP($A1447,[1]Table!$A$2:$N1590,K$1,FALSE)</f>
        <v>mg/ml</v>
      </c>
      <c r="L1447">
        <f>VLOOKUP($A1447,[1]Table!$A$2:$N1590,L$1,FALSE)</f>
        <v>40</v>
      </c>
      <c r="M1447" t="str">
        <f>VLOOKUP($A1447,[1]Table!$A$2:$N1590,M$1,FALSE)</f>
        <v>mg</v>
      </c>
      <c r="N1447" t="str">
        <f>VLOOKUP($A1447,[1]Table!$A$2:$N1590,N$1,FALSE)</f>
        <v>Sepsis en ernstige infecties||Infecties bij cystische fibrose||Infecties bij Cystic Fibrosis||Pulmonale pseudomonas infecties bij niet CF-patienten</v>
      </c>
      <c r="O1447" t="str">
        <f>ConcatenateRange(AZ1447:BU1447,"||")</f>
        <v/>
      </c>
      <c r="AZ1447" t="str">
        <f t="shared" si="528"/>
        <v/>
      </c>
      <c r="BA1447" t="str">
        <f t="shared" si="529"/>
        <v/>
      </c>
      <c r="BB1447" t="str">
        <f t="shared" si="530"/>
        <v/>
      </c>
      <c r="BC1447" t="str">
        <f t="shared" si="531"/>
        <v/>
      </c>
      <c r="BD1447" t="str">
        <f t="shared" si="532"/>
        <v/>
      </c>
      <c r="BE1447" t="str">
        <f t="shared" si="533"/>
        <v/>
      </c>
      <c r="BF1447" t="str">
        <f t="shared" si="534"/>
        <v/>
      </c>
      <c r="BG1447" t="str">
        <f t="shared" si="535"/>
        <v/>
      </c>
      <c r="BH1447" t="str">
        <f t="shared" si="536"/>
        <v/>
      </c>
      <c r="BI1447" t="str">
        <f t="shared" si="537"/>
        <v/>
      </c>
      <c r="BJ1447" t="str">
        <f t="shared" si="538"/>
        <v/>
      </c>
      <c r="BK1447" t="str">
        <f t="shared" si="539"/>
        <v/>
      </c>
      <c r="BL1447" t="str">
        <f t="shared" si="540"/>
        <v/>
      </c>
      <c r="BM1447" t="str">
        <f t="shared" si="541"/>
        <v/>
      </c>
      <c r="BN1447" t="str">
        <f t="shared" si="542"/>
        <v/>
      </c>
      <c r="BO1447" t="str">
        <f t="shared" si="543"/>
        <v/>
      </c>
      <c r="BP1447" t="str">
        <f t="shared" si="544"/>
        <v/>
      </c>
      <c r="BQ1447" t="str">
        <f t="shared" si="545"/>
        <v/>
      </c>
      <c r="BR1447" t="str">
        <f t="shared" si="546"/>
        <v/>
      </c>
      <c r="BS1447" t="str">
        <f t="shared" si="547"/>
        <v/>
      </c>
      <c r="BT1447" t="str">
        <f t="shared" si="548"/>
        <v/>
      </c>
      <c r="BU1447" t="str">
        <f t="shared" si="549"/>
        <v/>
      </c>
    </row>
    <row r="1448" spans="1:73">
      <c r="A1448" s="1">
        <v>44199</v>
      </c>
      <c r="B1448" t="str">
        <f>VLOOKUP($A1448,[1]Table!$A$2:$N1591,B$1,FALSE)</f>
        <v>S01AA12</v>
      </c>
      <c r="C1448" t="str">
        <f>VLOOKUP($A1448,[1]Table!$A$2:$N1591,C$1,FALSE)</f>
        <v>MIDDELEN VOOR OOGHEELKUNDIG GEBRUIK</v>
      </c>
      <c r="D1448" t="str">
        <f>VLOOKUP($A1448,[1]Table!$A$2:$N1591,D$1,FALSE)</f>
        <v>ANTIMICROBIELE MIDDELEN</v>
      </c>
      <c r="E1448" t="str">
        <f>VLOOKUP($A1448,[1]Table!$A$2:$N1591,E$1,FALSE)</f>
        <v>TOBRAMYCINE</v>
      </c>
      <c r="F1448" t="str">
        <f>VLOOKUP($A1448,[1]Table!$A$2:$N1591,F$1,FALSE)</f>
        <v>TOBREX 0.3 % OOGDRUPPELS 5ML (B.I.D.)</v>
      </c>
      <c r="G1448" t="str">
        <f>VLOOKUP($A1448,[1]Table!$A$2:$N1591,G$1,FALSE)</f>
        <v>TOBRAMYCINE 3MG/ML OOGDRUPP</v>
      </c>
      <c r="H1448" t="str">
        <f>VLOOKUP($A1448,[1]Table!$A$2:$N1591,H$1,FALSE)</f>
        <v>oogdruppels</v>
      </c>
      <c r="I1448" t="str">
        <f>VLOOKUP($A1448,[1]Table!$A$2:$N1591,I$1,FALSE)</f>
        <v>oog</v>
      </c>
      <c r="J1448">
        <f>VLOOKUP($A1448,[1]Table!$A$2:$N1591,J$1,FALSE)</f>
        <v>3</v>
      </c>
      <c r="K1448" t="str">
        <f>VLOOKUP($A1448,[1]Table!$A$2:$N1591,K$1,FALSE)</f>
        <v>mg/ml</v>
      </c>
      <c r="L1448">
        <f>VLOOKUP($A1448,[1]Table!$A$2:$N1591,L$1,FALSE)</f>
        <v>3</v>
      </c>
      <c r="M1448" t="str">
        <f>VLOOKUP($A1448,[1]Table!$A$2:$N1591,M$1,FALSE)</f>
        <v>mg</v>
      </c>
      <c r="N1448" t="str">
        <f>VLOOKUP($A1448,[1]Table!$A$2:$N1591,N$1,FALSE)</f>
        <v>Ernstige bacteriële ooginfecties</v>
      </c>
      <c r="O1448" t="str">
        <f>ConcatenateRange(AZ1448:BU1448,"||")</f>
        <v/>
      </c>
      <c r="AZ1448" t="str">
        <f t="shared" si="528"/>
        <v/>
      </c>
      <c r="BA1448" t="str">
        <f t="shared" si="529"/>
        <v/>
      </c>
      <c r="BB1448" t="str">
        <f t="shared" si="530"/>
        <v/>
      </c>
      <c r="BC1448" t="str">
        <f t="shared" si="531"/>
        <v/>
      </c>
      <c r="BD1448" t="str">
        <f t="shared" si="532"/>
        <v/>
      </c>
      <c r="BE1448" t="str">
        <f t="shared" si="533"/>
        <v/>
      </c>
      <c r="BF1448" t="str">
        <f t="shared" si="534"/>
        <v/>
      </c>
      <c r="BG1448" t="str">
        <f t="shared" si="535"/>
        <v/>
      </c>
      <c r="BH1448" t="str">
        <f t="shared" si="536"/>
        <v/>
      </c>
      <c r="BI1448" t="str">
        <f t="shared" si="537"/>
        <v/>
      </c>
      <c r="BJ1448" t="str">
        <f t="shared" si="538"/>
        <v/>
      </c>
      <c r="BK1448" t="str">
        <f t="shared" si="539"/>
        <v/>
      </c>
      <c r="BL1448" t="str">
        <f t="shared" si="540"/>
        <v/>
      </c>
      <c r="BM1448" t="str">
        <f t="shared" si="541"/>
        <v/>
      </c>
      <c r="BN1448" t="str">
        <f t="shared" si="542"/>
        <v/>
      </c>
      <c r="BO1448" t="str">
        <f t="shared" si="543"/>
        <v/>
      </c>
      <c r="BP1448" t="str">
        <f t="shared" si="544"/>
        <v/>
      </c>
      <c r="BQ1448" t="str">
        <f t="shared" si="545"/>
        <v/>
      </c>
      <c r="BR1448" t="str">
        <f t="shared" si="546"/>
        <v/>
      </c>
      <c r="BS1448" t="str">
        <f t="shared" si="547"/>
        <v/>
      </c>
      <c r="BT1448" t="str">
        <f t="shared" si="548"/>
        <v/>
      </c>
      <c r="BU1448" t="str">
        <f t="shared" si="549"/>
        <v/>
      </c>
    </row>
    <row r="1449" spans="1:73">
      <c r="A1449" s="1">
        <v>53740</v>
      </c>
      <c r="B1449" t="str">
        <f>VLOOKUP($A1449,[1]Table!$A$2:$N1592,B$1,FALSE)</f>
        <v>S01AA12</v>
      </c>
      <c r="C1449" t="str">
        <f>VLOOKUP($A1449,[1]Table!$A$2:$N1592,C$1,FALSE)</f>
        <v>MIDDELEN VOOR OOGHEELKUNDIG GEBRUIK</v>
      </c>
      <c r="D1449" t="str">
        <f>VLOOKUP($A1449,[1]Table!$A$2:$N1592,D$1,FALSE)</f>
        <v>ANTIMICROBIELE MIDDELEN</v>
      </c>
      <c r="E1449" t="str">
        <f>VLOOKUP($A1449,[1]Table!$A$2:$N1592,E$1,FALSE)</f>
        <v>TOBRAMYCINE</v>
      </c>
      <c r="F1449" t="str">
        <f>VLOOKUP($A1449,[1]Table!$A$2:$N1592,F$1,FALSE)</f>
        <v>TOBREX 0.3 % OOGZALF 3.5G</v>
      </c>
      <c r="G1449" t="str">
        <f>VLOOKUP($A1449,[1]Table!$A$2:$N1592,G$1,FALSE)</f>
        <v>TOBRAMYCINE 3MG/G OOGZALF</v>
      </c>
      <c r="H1449" t="str">
        <f>VLOOKUP($A1449,[1]Table!$A$2:$N1592,H$1,FALSE)</f>
        <v>oogzalf</v>
      </c>
      <c r="I1449" t="str">
        <f>VLOOKUP($A1449,[1]Table!$A$2:$N1592,I$1,FALSE)</f>
        <v>oog</v>
      </c>
      <c r="J1449">
        <f>VLOOKUP($A1449,[1]Table!$A$2:$N1592,J$1,FALSE)</f>
        <v>3</v>
      </c>
      <c r="K1449" t="str">
        <f>VLOOKUP($A1449,[1]Table!$A$2:$N1592,K$1,FALSE)</f>
        <v>mg/gr</v>
      </c>
      <c r="L1449">
        <f>VLOOKUP($A1449,[1]Table!$A$2:$N1592,L$1,FALSE)</f>
        <v>3</v>
      </c>
      <c r="M1449" t="str">
        <f>VLOOKUP($A1449,[1]Table!$A$2:$N1592,M$1,FALSE)</f>
        <v>mg</v>
      </c>
      <c r="N1449" t="str">
        <f>VLOOKUP($A1449,[1]Table!$A$2:$N1592,N$1,FALSE)</f>
        <v>Ernstige bacteriële ooginfecties</v>
      </c>
      <c r="O1449" t="str">
        <f>ConcatenateRange(AZ1449:BU1449,"||")</f>
        <v/>
      </c>
      <c r="AZ1449" t="str">
        <f t="shared" si="528"/>
        <v/>
      </c>
      <c r="BA1449" t="str">
        <f t="shared" si="529"/>
        <v/>
      </c>
      <c r="BB1449" t="str">
        <f t="shared" si="530"/>
        <v/>
      </c>
      <c r="BC1449" t="str">
        <f t="shared" si="531"/>
        <v/>
      </c>
      <c r="BD1449" t="str">
        <f t="shared" si="532"/>
        <v/>
      </c>
      <c r="BE1449" t="str">
        <f t="shared" si="533"/>
        <v/>
      </c>
      <c r="BF1449" t="str">
        <f t="shared" si="534"/>
        <v/>
      </c>
      <c r="BG1449" t="str">
        <f t="shared" si="535"/>
        <v/>
      </c>
      <c r="BH1449" t="str">
        <f t="shared" si="536"/>
        <v/>
      </c>
      <c r="BI1449" t="str">
        <f t="shared" si="537"/>
        <v/>
      </c>
      <c r="BJ1449" t="str">
        <f t="shared" si="538"/>
        <v/>
      </c>
      <c r="BK1449" t="str">
        <f t="shared" si="539"/>
        <v/>
      </c>
      <c r="BL1449" t="str">
        <f t="shared" si="540"/>
        <v/>
      </c>
      <c r="BM1449" t="str">
        <f t="shared" si="541"/>
        <v/>
      </c>
      <c r="BN1449" t="str">
        <f t="shared" si="542"/>
        <v/>
      </c>
      <c r="BO1449" t="str">
        <f t="shared" si="543"/>
        <v/>
      </c>
      <c r="BP1449" t="str">
        <f t="shared" si="544"/>
        <v/>
      </c>
      <c r="BQ1449" t="str">
        <f t="shared" si="545"/>
        <v/>
      </c>
      <c r="BR1449" t="str">
        <f t="shared" si="546"/>
        <v/>
      </c>
      <c r="BS1449" t="str">
        <f t="shared" si="547"/>
        <v/>
      </c>
      <c r="BT1449" t="str">
        <f t="shared" si="548"/>
        <v/>
      </c>
      <c r="BU1449" t="str">
        <f t="shared" si="549"/>
        <v/>
      </c>
    </row>
    <row r="1450" spans="1:73">
      <c r="A1450" s="1">
        <v>113565</v>
      </c>
      <c r="B1450" t="str">
        <f>VLOOKUP($A1450,[1]Table!$A$2:$N1593,B$1,FALSE)</f>
        <v>J01GB01</v>
      </c>
      <c r="C1450" t="str">
        <f>VLOOKUP($A1450,[1]Table!$A$2:$N1593,C$1,FALSE)</f>
        <v>ANTIBACTERIELE MIDDELEN VOOR SYSTEMISCH GEBRUIK</v>
      </c>
      <c r="D1450" t="str">
        <f>VLOOKUP($A1450,[1]Table!$A$2:$N1593,D$1,FALSE)</f>
        <v>AMINOGLYCOSIDEN</v>
      </c>
      <c r="E1450" t="str">
        <f>VLOOKUP($A1450,[1]Table!$A$2:$N1593,E$1,FALSE)</f>
        <v>TOBRAMYCINE</v>
      </c>
      <c r="F1450" t="str">
        <f>VLOOKUP($A1450,[1]Table!$A$2:$N1593,F$1,FALSE)</f>
        <v>TOBI   60 MG/ML AMPUL 5ML VOOR INHALAT</v>
      </c>
      <c r="G1450" t="str">
        <f>VLOOKUP($A1450,[1]Table!$A$2:$N1593,G$1,FALSE)</f>
        <v>TOBRAMYCINE 60MG/ML VERNEVE</v>
      </c>
      <c r="H1450" t="str">
        <f>VLOOKUP($A1450,[1]Table!$A$2:$N1593,H$1,FALSE)</f>
        <v>vernevelvloeistof</v>
      </c>
      <c r="I1450" t="str">
        <f>VLOOKUP($A1450,[1]Table!$A$2:$N1593,I$1,FALSE)</f>
        <v>inh</v>
      </c>
      <c r="J1450">
        <f>VLOOKUP($A1450,[1]Table!$A$2:$N1593,J$1,FALSE)</f>
        <v>60</v>
      </c>
      <c r="K1450" t="str">
        <f>VLOOKUP($A1450,[1]Table!$A$2:$N1593,K$1,FALSE)</f>
        <v>mg/ml</v>
      </c>
      <c r="L1450">
        <f>VLOOKUP($A1450,[1]Table!$A$2:$N1593,L$1,FALSE)</f>
        <v>60</v>
      </c>
      <c r="M1450" t="str">
        <f>VLOOKUP($A1450,[1]Table!$A$2:$N1593,M$1,FALSE)</f>
        <v>mg</v>
      </c>
      <c r="N1450" t="str">
        <f>VLOOKUP($A1450,[1]Table!$A$2:$N1593,N$1,FALSE)</f>
        <v>Sepsis en ernstige infecties||Infecties bij cystische fibrose||Infecties bij Cystic Fibrosis||Pulmonale pseudomonas infecties bij niet CF-patienten</v>
      </c>
      <c r="O1450" t="str">
        <f>ConcatenateRange(AZ1450:BU1450,"||")</f>
        <v/>
      </c>
      <c r="AZ1450" t="str">
        <f t="shared" si="528"/>
        <v/>
      </c>
      <c r="BA1450" t="str">
        <f t="shared" si="529"/>
        <v/>
      </c>
      <c r="BB1450" t="str">
        <f t="shared" si="530"/>
        <v/>
      </c>
      <c r="BC1450" t="str">
        <f t="shared" si="531"/>
        <v/>
      </c>
      <c r="BD1450" t="str">
        <f t="shared" si="532"/>
        <v/>
      </c>
      <c r="BE1450" t="str">
        <f t="shared" si="533"/>
        <v/>
      </c>
      <c r="BF1450" t="str">
        <f t="shared" si="534"/>
        <v/>
      </c>
      <c r="BG1450" t="str">
        <f t="shared" si="535"/>
        <v/>
      </c>
      <c r="BH1450" t="str">
        <f t="shared" si="536"/>
        <v/>
      </c>
      <c r="BI1450" t="str">
        <f t="shared" si="537"/>
        <v/>
      </c>
      <c r="BJ1450" t="str">
        <f t="shared" si="538"/>
        <v/>
      </c>
      <c r="BK1450" t="str">
        <f t="shared" si="539"/>
        <v/>
      </c>
      <c r="BL1450" t="str">
        <f t="shared" si="540"/>
        <v/>
      </c>
      <c r="BM1450" t="str">
        <f t="shared" si="541"/>
        <v/>
      </c>
      <c r="BN1450" t="str">
        <f t="shared" si="542"/>
        <v/>
      </c>
      <c r="BO1450" t="str">
        <f t="shared" si="543"/>
        <v/>
      </c>
      <c r="BP1450" t="str">
        <f t="shared" si="544"/>
        <v/>
      </c>
      <c r="BQ1450" t="str">
        <f t="shared" si="545"/>
        <v/>
      </c>
      <c r="BR1450" t="str">
        <f t="shared" si="546"/>
        <v/>
      </c>
      <c r="BS1450" t="str">
        <f t="shared" si="547"/>
        <v/>
      </c>
      <c r="BT1450" t="str">
        <f t="shared" si="548"/>
        <v/>
      </c>
      <c r="BU1450" t="str">
        <f t="shared" si="549"/>
        <v/>
      </c>
    </row>
    <row r="1451" spans="1:73">
      <c r="A1451" s="22">
        <v>98093002</v>
      </c>
      <c r="B1451" t="str">
        <f>VLOOKUP($A1451,[1]Table!$A$2:$N1720,B$1,FALSE)</f>
        <v>J01GB01</v>
      </c>
      <c r="C1451" t="str">
        <f>VLOOKUP($A1451,[1]Table!$A$2:$N1720,C$1,FALSE)</f>
        <v>ANTIBACTERIELE MIDDELEN VOOR SYSTEMISCH GEBRUIK</v>
      </c>
      <c r="D1451" t="str">
        <f>VLOOKUP($A1451,[1]Table!$A$2:$N1720,D$1,FALSE)</f>
        <v>AMINOGLYCOSIDEN</v>
      </c>
      <c r="E1451" t="str">
        <f>VLOOKUP($A1451,[1]Table!$A$2:$N1720,E$1,FALSE)</f>
        <v>TOBRAMYCINE OCULAIR</v>
      </c>
      <c r="F1451" t="str">
        <f>VLOOKUP($A1451,[1]Table!$A$2:$N1720,F$1,FALSE)</f>
        <v>TOBRAMYCINE 1.4% ZONDER CONSERV OOGDRUPPELS 2 ML</v>
      </c>
      <c r="G1451" t="str">
        <f>VLOOKUP($A1451,[1]Table!$A$2:$N1720,G$1,FALSE)</f>
        <v>TOBRAMYCINE 1.4% ZONDER CON</v>
      </c>
      <c r="H1451" t="str">
        <f>VLOOKUP($A1451,[1]Table!$A$2:$N1720,H$1,FALSE)</f>
        <v>oogdruppels</v>
      </c>
      <c r="I1451" t="str">
        <f>VLOOKUP($A1451,[1]Table!$A$2:$N1720,I$1,FALSE)</f>
        <v>oculair</v>
      </c>
      <c r="J1451">
        <f>VLOOKUP($A1451,[1]Table!$A$2:$N1720,J$1,FALSE)</f>
        <v>14</v>
      </c>
      <c r="K1451" t="str">
        <f>VLOOKUP($A1451,[1]Table!$A$2:$N1720,K$1,FALSE)</f>
        <v>mg/ml</v>
      </c>
      <c r="L1451">
        <f>VLOOKUP($A1451,[1]Table!$A$2:$N1720,L$1,FALSE)</f>
        <v>1</v>
      </c>
      <c r="M1451" t="str">
        <f>VLOOKUP($A1451,[1]Table!$A$2:$N1720,M$1,FALSE)</f>
        <v>dr</v>
      </c>
      <c r="N1451" t="str">
        <f>VLOOKUP($A1451,[1]Table!$A$2:$N1720,N$1,FALSE)</f>
        <v>Ernstige bacteriële ooginfecties</v>
      </c>
      <c r="AZ1451" t="str">
        <f t="shared" si="528"/>
        <v/>
      </c>
      <c r="BA1451" t="str">
        <f t="shared" si="529"/>
        <v/>
      </c>
      <c r="BB1451" t="str">
        <f t="shared" si="530"/>
        <v/>
      </c>
      <c r="BC1451" t="str">
        <f t="shared" si="531"/>
        <v/>
      </c>
      <c r="BD1451" t="str">
        <f t="shared" si="532"/>
        <v/>
      </c>
      <c r="BE1451" t="str">
        <f t="shared" si="533"/>
        <v/>
      </c>
      <c r="BF1451" t="str">
        <f t="shared" si="534"/>
        <v/>
      </c>
      <c r="BG1451" t="str">
        <f t="shared" si="535"/>
        <v/>
      </c>
      <c r="BH1451" t="str">
        <f t="shared" si="536"/>
        <v/>
      </c>
      <c r="BI1451" t="str">
        <f t="shared" si="537"/>
        <v/>
      </c>
      <c r="BJ1451" t="str">
        <f t="shared" si="538"/>
        <v/>
      </c>
      <c r="BK1451" t="str">
        <f t="shared" si="539"/>
        <v/>
      </c>
      <c r="BL1451" t="str">
        <f t="shared" si="540"/>
        <v/>
      </c>
      <c r="BM1451" t="str">
        <f t="shared" si="541"/>
        <v/>
      </c>
      <c r="BN1451" t="str">
        <f t="shared" si="542"/>
        <v/>
      </c>
      <c r="BO1451" t="str">
        <f t="shared" si="543"/>
        <v/>
      </c>
      <c r="BP1451" t="str">
        <f t="shared" si="544"/>
        <v/>
      </c>
      <c r="BQ1451" t="str">
        <f t="shared" si="545"/>
        <v/>
      </c>
      <c r="BR1451" t="str">
        <f t="shared" si="546"/>
        <v/>
      </c>
      <c r="BS1451" t="str">
        <f t="shared" si="547"/>
        <v/>
      </c>
      <c r="BT1451" t="str">
        <f t="shared" si="548"/>
        <v/>
      </c>
      <c r="BU1451" t="str">
        <f t="shared" si="549"/>
        <v/>
      </c>
    </row>
    <row r="1452" spans="1:73">
      <c r="A1452" s="1">
        <v>130796</v>
      </c>
      <c r="B1452" t="str">
        <f>VLOOKUP($A1452,[1]Table!$A$2:$N1595,B$1,FALSE)</f>
        <v>L04AC07</v>
      </c>
      <c r="C1452" t="str">
        <f>VLOOKUP($A1452,[1]Table!$A$2:$N1595,C$1,FALSE)</f>
        <v>IMMUNOSUPPRESSIVA</v>
      </c>
      <c r="D1452" t="str">
        <f>VLOOKUP($A1452,[1]Table!$A$2:$N1595,D$1,FALSE)</f>
        <v>IMMUNOSUPPRESSIVA</v>
      </c>
      <c r="E1452" t="str">
        <f>VLOOKUP($A1452,[1]Table!$A$2:$N1595,E$1,FALSE)</f>
        <v>TOCILIZUMAB</v>
      </c>
      <c r="F1452" t="str">
        <f>VLOOKUP($A1452,[1]Table!$A$2:$N1595,F$1,FALSE)</f>
        <v>ROACTEMRA 20 MG/ML FLACON 10 ML</v>
      </c>
      <c r="G1452" t="str">
        <f>VLOOKUP($A1452,[1]Table!$A$2:$N1595,G$1,FALSE)</f>
        <v>TOCILIZUMAB 20MG/ML INFCONC</v>
      </c>
      <c r="H1452" t="str">
        <f>VLOOKUP($A1452,[1]Table!$A$2:$N1595,H$1,FALSE)</f>
        <v>concentraat voor oplossing voor infusie</v>
      </c>
      <c r="I1452" t="str">
        <f>VLOOKUP($A1452,[1]Table!$A$2:$N1595,I$1,FALSE)</f>
        <v>iv</v>
      </c>
      <c r="J1452">
        <f>VLOOKUP($A1452,[1]Table!$A$2:$N1595,J$1,FALSE)</f>
        <v>20</v>
      </c>
      <c r="K1452" t="str">
        <f>VLOOKUP($A1452,[1]Table!$A$2:$N1595,K$1,FALSE)</f>
        <v>mg/ml</v>
      </c>
      <c r="L1452">
        <f>VLOOKUP($A1452,[1]Table!$A$2:$N1595,L$1,FALSE)</f>
        <v>20</v>
      </c>
      <c r="M1452" t="str">
        <f>VLOOKUP($A1452,[1]Table!$A$2:$N1595,M$1,FALSE)</f>
        <v>mg</v>
      </c>
      <c r="N1452" t="str">
        <f>VLOOKUP($A1452,[1]Table!$A$2:$N1595,N$1,FALSE)</f>
        <v>Systemische Juveniele Idiopathische Arthritis (s.J.I.A.) ||Polyarticulaire juveniele idiopathische artritis</v>
      </c>
      <c r="O1452" t="str">
        <f>ConcatenateRange(AZ1452:BU1452,"||")</f>
        <v/>
      </c>
      <c r="AZ1452" t="str">
        <f t="shared" si="528"/>
        <v/>
      </c>
      <c r="BA1452" t="str">
        <f t="shared" si="529"/>
        <v/>
      </c>
      <c r="BB1452" t="str">
        <f t="shared" si="530"/>
        <v/>
      </c>
      <c r="BC1452" t="str">
        <f t="shared" si="531"/>
        <v/>
      </c>
      <c r="BD1452" t="str">
        <f t="shared" si="532"/>
        <v/>
      </c>
      <c r="BE1452" t="str">
        <f t="shared" si="533"/>
        <v/>
      </c>
      <c r="BF1452" t="str">
        <f t="shared" si="534"/>
        <v/>
      </c>
      <c r="BG1452" t="str">
        <f t="shared" si="535"/>
        <v/>
      </c>
      <c r="BH1452" t="str">
        <f t="shared" si="536"/>
        <v/>
      </c>
      <c r="BI1452" t="str">
        <f t="shared" si="537"/>
        <v/>
      </c>
      <c r="BJ1452" t="str">
        <f t="shared" si="538"/>
        <v/>
      </c>
      <c r="BK1452" t="str">
        <f t="shared" si="539"/>
        <v/>
      </c>
      <c r="BL1452" t="str">
        <f t="shared" si="540"/>
        <v/>
      </c>
      <c r="BM1452" t="str">
        <f t="shared" si="541"/>
        <v/>
      </c>
      <c r="BN1452" t="str">
        <f t="shared" si="542"/>
        <v/>
      </c>
      <c r="BO1452" t="str">
        <f t="shared" si="543"/>
        <v/>
      </c>
      <c r="BP1452" t="str">
        <f t="shared" si="544"/>
        <v/>
      </c>
      <c r="BQ1452" t="str">
        <f t="shared" si="545"/>
        <v/>
      </c>
      <c r="BR1452" t="str">
        <f t="shared" si="546"/>
        <v/>
      </c>
      <c r="BS1452" t="str">
        <f t="shared" si="547"/>
        <v/>
      </c>
      <c r="BT1452" t="str">
        <f t="shared" si="548"/>
        <v/>
      </c>
      <c r="BU1452" t="str">
        <f t="shared" si="549"/>
        <v/>
      </c>
    </row>
    <row r="1453" spans="1:73">
      <c r="A1453" s="1">
        <v>150258</v>
      </c>
      <c r="B1453" t="str">
        <f>VLOOKUP($A1453,[1]Table!$A$2:$N1596,B$1,FALSE)</f>
        <v>L04AC07</v>
      </c>
      <c r="C1453" t="str">
        <f>VLOOKUP($A1453,[1]Table!$A$2:$N1596,C$1,FALSE)</f>
        <v>IMMUNOSUPPRESSIVA</v>
      </c>
      <c r="D1453" t="str">
        <f>VLOOKUP($A1453,[1]Table!$A$2:$N1596,D$1,FALSE)</f>
        <v>IMMUNOSUPPRESSIVA</v>
      </c>
      <c r="E1453" t="str">
        <f>VLOOKUP($A1453,[1]Table!$A$2:$N1596,E$1,FALSE)</f>
        <v>TOCILIZUMAB</v>
      </c>
      <c r="F1453" t="str">
        <f>VLOOKUP($A1453,[1]Table!$A$2:$N1596,F$1,FALSE)</f>
        <v>ROACTEMRA 162 MG IN WEGWERPSPUIT 0,9 ML</v>
      </c>
      <c r="G1453" t="str">
        <f>VLOOKUP($A1453,[1]Table!$A$2:$N1596,G$1,FALSE)</f>
        <v>TOCILIZUMAB 180MG/ML INJVLS</v>
      </c>
      <c r="H1453" t="str">
        <f>VLOOKUP($A1453,[1]Table!$A$2:$N1596,H$1,FALSE)</f>
        <v>injectievloeistof</v>
      </c>
      <c r="I1453" t="str">
        <f>VLOOKUP($A1453,[1]Table!$A$2:$N1596,I$1,FALSE)</f>
        <v>sc</v>
      </c>
      <c r="J1453">
        <f>VLOOKUP($A1453,[1]Table!$A$2:$N1596,J$1,FALSE)</f>
        <v>180</v>
      </c>
      <c r="K1453" t="str">
        <f>VLOOKUP($A1453,[1]Table!$A$2:$N1596,K$1,FALSE)</f>
        <v>mg/ml</v>
      </c>
      <c r="L1453">
        <f>VLOOKUP($A1453,[1]Table!$A$2:$N1596,L$1,FALSE)</f>
        <v>180</v>
      </c>
      <c r="M1453" t="str">
        <f>VLOOKUP($A1453,[1]Table!$A$2:$N1596,M$1,FALSE)</f>
        <v>mg</v>
      </c>
      <c r="N1453" t="str">
        <f>VLOOKUP($A1453,[1]Table!$A$2:$N1596,N$1,FALSE)</f>
        <v>Systemische Juveniele Idiopathische Arthritis (s.J.I.A.) ||Polyarticulaire juveniele idiopathische artritis</v>
      </c>
      <c r="O1453" t="str">
        <f>ConcatenateRange(AZ1453:BU1453,"||")</f>
        <v/>
      </c>
      <c r="AZ1453" t="str">
        <f t="shared" si="528"/>
        <v/>
      </c>
      <c r="BA1453" t="str">
        <f t="shared" si="529"/>
        <v/>
      </c>
      <c r="BB1453" t="str">
        <f t="shared" si="530"/>
        <v/>
      </c>
      <c r="BC1453" t="str">
        <f t="shared" si="531"/>
        <v/>
      </c>
      <c r="BD1453" t="str">
        <f t="shared" si="532"/>
        <v/>
      </c>
      <c r="BE1453" t="str">
        <f t="shared" si="533"/>
        <v/>
      </c>
      <c r="BF1453" t="str">
        <f t="shared" si="534"/>
        <v/>
      </c>
      <c r="BG1453" t="str">
        <f t="shared" si="535"/>
        <v/>
      </c>
      <c r="BH1453" t="str">
        <f t="shared" si="536"/>
        <v/>
      </c>
      <c r="BI1453" t="str">
        <f t="shared" si="537"/>
        <v/>
      </c>
      <c r="BJ1453" t="str">
        <f t="shared" si="538"/>
        <v/>
      </c>
      <c r="BK1453" t="str">
        <f t="shared" si="539"/>
        <v/>
      </c>
      <c r="BL1453" t="str">
        <f t="shared" si="540"/>
        <v/>
      </c>
      <c r="BM1453" t="str">
        <f t="shared" si="541"/>
        <v/>
      </c>
      <c r="BN1453" t="str">
        <f t="shared" si="542"/>
        <v/>
      </c>
      <c r="BO1453" t="str">
        <f t="shared" si="543"/>
        <v/>
      </c>
      <c r="BP1453" t="str">
        <f t="shared" si="544"/>
        <v/>
      </c>
      <c r="BQ1453" t="str">
        <f t="shared" si="545"/>
        <v/>
      </c>
      <c r="BR1453" t="str">
        <f t="shared" si="546"/>
        <v/>
      </c>
      <c r="BS1453" t="str">
        <f t="shared" si="547"/>
        <v/>
      </c>
      <c r="BT1453" t="str">
        <f t="shared" si="548"/>
        <v/>
      </c>
      <c r="BU1453" t="str">
        <f t="shared" si="549"/>
        <v/>
      </c>
    </row>
    <row r="1454" spans="1:73">
      <c r="A1454" s="1">
        <v>49077</v>
      </c>
      <c r="B1454" t="str">
        <f>VLOOKUP($A1454,[1]Table!$A$2:$N1597,B$1,FALSE)</f>
        <v>A11HA03</v>
      </c>
      <c r="C1454" t="str">
        <f>VLOOKUP($A1454,[1]Table!$A$2:$N1597,C$1,FALSE)</f>
        <v>VITAMINEN</v>
      </c>
      <c r="D1454" t="str">
        <f>VLOOKUP($A1454,[1]Table!$A$2:$N1597,D$1,FALSE)</f>
        <v>OVERIGE ENKELVOUDIGE VITAMINEPREPARATEN</v>
      </c>
      <c r="E1454" t="str">
        <f>VLOOKUP($A1454,[1]Table!$A$2:$N1597,E$1,FALSE)</f>
        <v>TOCOFEROL DL-ALFA</v>
      </c>
      <c r="F1454" t="str">
        <f>VLOOKUP($A1454,[1]Table!$A$2:$N1597,F$1,FALSE)</f>
        <v>VITAMINE E 50 MG TABLET</v>
      </c>
      <c r="G1454" t="str">
        <f>VLOOKUP($A1454,[1]Table!$A$2:$N1597,G$1,FALSE)</f>
        <v>TOCOFEROL DL-ALFA 50MG TAB</v>
      </c>
      <c r="H1454" t="str">
        <f>VLOOKUP($A1454,[1]Table!$A$2:$N1597,H$1,FALSE)</f>
        <v>tablet</v>
      </c>
      <c r="I1454" t="str">
        <f>VLOOKUP($A1454,[1]Table!$A$2:$N1597,I$1,FALSE)</f>
        <v>or</v>
      </c>
      <c r="J1454">
        <f>VLOOKUP($A1454,[1]Table!$A$2:$N1597,J$1,FALSE)</f>
        <v>50</v>
      </c>
      <c r="K1454" t="str">
        <f>VLOOKUP($A1454,[1]Table!$A$2:$N1597,K$1,FALSE)</f>
        <v>mg/stuk</v>
      </c>
      <c r="L1454">
        <f>VLOOKUP($A1454,[1]Table!$A$2:$N1597,L$1,FALSE)</f>
        <v>25</v>
      </c>
      <c r="M1454" t="str">
        <f>VLOOKUP($A1454,[1]Table!$A$2:$N1597,M$1,FALSE)</f>
        <v>mg</v>
      </c>
      <c r="N1454" t="str">
        <f>VLOOKUP($A1454,[1]Table!$A$2:$N1597,N$1,FALSE)</f>
        <v>Suppletie bij cystische fibrose||Deficientie</v>
      </c>
      <c r="O1454" t="str">
        <f>ConcatenateRange(AZ1454:BU1454,"||")</f>
        <v/>
      </c>
      <c r="AZ1454" t="str">
        <f t="shared" si="528"/>
        <v/>
      </c>
      <c r="BA1454" t="str">
        <f t="shared" si="529"/>
        <v/>
      </c>
      <c r="BB1454" t="str">
        <f t="shared" si="530"/>
        <v/>
      </c>
      <c r="BC1454" t="str">
        <f t="shared" si="531"/>
        <v/>
      </c>
      <c r="BD1454" t="str">
        <f t="shared" si="532"/>
        <v/>
      </c>
      <c r="BE1454" t="str">
        <f t="shared" si="533"/>
        <v/>
      </c>
      <c r="BF1454" t="str">
        <f t="shared" si="534"/>
        <v/>
      </c>
      <c r="BG1454" t="str">
        <f t="shared" si="535"/>
        <v/>
      </c>
      <c r="BH1454" t="str">
        <f t="shared" si="536"/>
        <v/>
      </c>
      <c r="BI1454" t="str">
        <f t="shared" si="537"/>
        <v/>
      </c>
      <c r="BJ1454" t="str">
        <f t="shared" si="538"/>
        <v/>
      </c>
      <c r="BK1454" t="str">
        <f t="shared" si="539"/>
        <v/>
      </c>
      <c r="BL1454" t="str">
        <f t="shared" si="540"/>
        <v/>
      </c>
      <c r="BM1454" t="str">
        <f t="shared" si="541"/>
        <v/>
      </c>
      <c r="BN1454" t="str">
        <f t="shared" si="542"/>
        <v/>
      </c>
      <c r="BO1454" t="str">
        <f t="shared" si="543"/>
        <v/>
      </c>
      <c r="BP1454" t="str">
        <f t="shared" si="544"/>
        <v/>
      </c>
      <c r="BQ1454" t="str">
        <f t="shared" si="545"/>
        <v/>
      </c>
      <c r="BR1454" t="str">
        <f t="shared" si="546"/>
        <v/>
      </c>
      <c r="BS1454" t="str">
        <f t="shared" si="547"/>
        <v/>
      </c>
      <c r="BT1454" t="str">
        <f t="shared" si="548"/>
        <v/>
      </c>
      <c r="BU1454" t="str">
        <f t="shared" si="549"/>
        <v/>
      </c>
    </row>
    <row r="1455" spans="1:73">
      <c r="A1455" s="1">
        <v>115983</v>
      </c>
      <c r="B1455" t="str">
        <f>VLOOKUP($A1455,[1]Table!$A$2:$N1599,B$1,FALSE)</f>
        <v>G04BD07</v>
      </c>
      <c r="C1455" t="str">
        <f>VLOOKUP($A1455,[1]Table!$A$2:$N1599,C$1,FALSE)</f>
        <v>UROLOGICA</v>
      </c>
      <c r="D1455" t="str">
        <f>VLOOKUP($A1455,[1]Table!$A$2:$N1599,D$1,FALSE)</f>
        <v>UROLOGISCHE MIDDELEN</v>
      </c>
      <c r="E1455" t="s">
        <v>122</v>
      </c>
      <c r="F1455" t="str">
        <f>VLOOKUP($A1455,[1]Table!$A$2:$N1599,F$1,FALSE)</f>
        <v>DETRUSITOL SR 2 MG CAPSULE MVA (RETARD)</v>
      </c>
      <c r="G1455" t="str">
        <f>VLOOKUP($A1455,[1]Table!$A$2:$N1599,G$1,FALSE)</f>
        <v>TOLTERODINE 2MG CAPSULE MGA</v>
      </c>
      <c r="H1455" t="str">
        <f>VLOOKUP($A1455,[1]Table!$A$2:$N1599,H$1,FALSE)</f>
        <v>capsule met gereguleerde afgifte</v>
      </c>
      <c r="I1455" t="str">
        <f>VLOOKUP($A1455,[1]Table!$A$2:$N1599,I$1,FALSE)</f>
        <v>or</v>
      </c>
      <c r="J1455">
        <f>VLOOKUP($A1455,[1]Table!$A$2:$N1599,J$1,FALSE)</f>
        <v>2</v>
      </c>
      <c r="K1455" t="str">
        <f>VLOOKUP($A1455,[1]Table!$A$2:$N1599,K$1,FALSE)</f>
        <v>mg/stuk</v>
      </c>
      <c r="L1455">
        <f>VLOOKUP($A1455,[1]Table!$A$2:$N1599,L$1,FALSE)</f>
        <v>2</v>
      </c>
      <c r="M1455" t="str">
        <f>VLOOKUP($A1455,[1]Table!$A$2:$N1599,M$1,FALSE)</f>
        <v>mg</v>
      </c>
      <c r="N1455" t="str">
        <f>VLOOKUP($A1455,[1]Table!$A$2:$N1599,N$1,FALSE)</f>
        <v>Urine incontinentie, overactief blaas syndroom, neurogene blaas</v>
      </c>
      <c r="O1455" t="str">
        <f>ConcatenateRange(AZ1455:BU1455,"||")</f>
        <v/>
      </c>
      <c r="AZ1455" t="str">
        <f t="shared" si="528"/>
        <v/>
      </c>
      <c r="BA1455" t="str">
        <f t="shared" si="529"/>
        <v/>
      </c>
      <c r="BB1455" t="str">
        <f t="shared" si="530"/>
        <v/>
      </c>
      <c r="BC1455" t="str">
        <f t="shared" si="531"/>
        <v/>
      </c>
      <c r="BD1455" t="str">
        <f t="shared" si="532"/>
        <v/>
      </c>
      <c r="BE1455" t="str">
        <f t="shared" si="533"/>
        <v/>
      </c>
      <c r="BF1455" t="str">
        <f t="shared" si="534"/>
        <v/>
      </c>
      <c r="BG1455" t="str">
        <f t="shared" si="535"/>
        <v/>
      </c>
      <c r="BH1455" t="str">
        <f t="shared" si="536"/>
        <v/>
      </c>
      <c r="BI1455" t="str">
        <f t="shared" si="537"/>
        <v/>
      </c>
      <c r="BJ1455" t="str">
        <f t="shared" si="538"/>
        <v/>
      </c>
      <c r="BK1455" t="str">
        <f t="shared" si="539"/>
        <v/>
      </c>
      <c r="BL1455" t="str">
        <f t="shared" si="540"/>
        <v/>
      </c>
      <c r="BM1455" t="str">
        <f t="shared" si="541"/>
        <v/>
      </c>
      <c r="BN1455" t="str">
        <f t="shared" si="542"/>
        <v/>
      </c>
      <c r="BO1455" t="str">
        <f t="shared" si="543"/>
        <v/>
      </c>
      <c r="BP1455" t="str">
        <f t="shared" si="544"/>
        <v/>
      </c>
      <c r="BQ1455" t="str">
        <f t="shared" si="545"/>
        <v/>
      </c>
      <c r="BR1455" t="str">
        <f t="shared" si="546"/>
        <v/>
      </c>
      <c r="BS1455" t="str">
        <f t="shared" si="547"/>
        <v/>
      </c>
      <c r="BT1455" t="str">
        <f t="shared" si="548"/>
        <v/>
      </c>
      <c r="BU1455" t="str">
        <f t="shared" si="549"/>
        <v/>
      </c>
    </row>
    <row r="1456" spans="1:73">
      <c r="A1456" s="1">
        <v>114391</v>
      </c>
      <c r="B1456" t="str">
        <f>VLOOKUP($A1456,[1]Table!$A$2:$N1600,B$1,FALSE)</f>
        <v>G04BD07</v>
      </c>
      <c r="C1456" t="str">
        <f>VLOOKUP($A1456,[1]Table!$A$2:$N1600,C$1,FALSE)</f>
        <v>UROLOGICA</v>
      </c>
      <c r="D1456" t="str">
        <f>VLOOKUP($A1456,[1]Table!$A$2:$N1600,D$1,FALSE)</f>
        <v>UROLOGISCHE MIDDELEN</v>
      </c>
      <c r="E1456" t="s">
        <v>122</v>
      </c>
      <c r="F1456" t="str">
        <f>VLOOKUP($A1456,[1]Table!$A$2:$N1600,F$1,FALSE)</f>
        <v>DETRUSITOL SR 4 MG CAPSULE MVA (RETARD)</v>
      </c>
      <c r="G1456" t="str">
        <f>VLOOKUP($A1456,[1]Table!$A$2:$N1600,G$1,FALSE)</f>
        <v>TOLTERODINE 4MG CAPSULE MGA</v>
      </c>
      <c r="H1456" t="str">
        <f>VLOOKUP($A1456,[1]Table!$A$2:$N1600,H$1,FALSE)</f>
        <v>capsule met gereguleerde afgifte</v>
      </c>
      <c r="I1456" t="str">
        <f>VLOOKUP($A1456,[1]Table!$A$2:$N1600,I$1,FALSE)</f>
        <v>or</v>
      </c>
      <c r="J1456">
        <f>VLOOKUP($A1456,[1]Table!$A$2:$N1600,J$1,FALSE)</f>
        <v>4</v>
      </c>
      <c r="K1456" t="str">
        <f>VLOOKUP($A1456,[1]Table!$A$2:$N1600,K$1,FALSE)</f>
        <v>mg/stuk</v>
      </c>
      <c r="L1456">
        <f>VLOOKUP($A1456,[1]Table!$A$2:$N1600,L$1,FALSE)</f>
        <v>4</v>
      </c>
      <c r="M1456" t="str">
        <f>VLOOKUP($A1456,[1]Table!$A$2:$N1600,M$1,FALSE)</f>
        <v>mg</v>
      </c>
      <c r="N1456" t="str">
        <f>VLOOKUP($A1456,[1]Table!$A$2:$N1600,N$1,FALSE)</f>
        <v>Urine incontinentie, overactief blaas syndroom, neurogene blaas</v>
      </c>
      <c r="O1456" t="str">
        <f>ConcatenateRange(AZ1456:BU1456,"||")</f>
        <v/>
      </c>
      <c r="AZ1456" t="str">
        <f t="shared" si="528"/>
        <v/>
      </c>
      <c r="BA1456" t="str">
        <f t="shared" si="529"/>
        <v/>
      </c>
      <c r="BB1456" t="str">
        <f t="shared" si="530"/>
        <v/>
      </c>
      <c r="BC1456" t="str">
        <f t="shared" si="531"/>
        <v/>
      </c>
      <c r="BD1456" t="str">
        <f t="shared" si="532"/>
        <v/>
      </c>
      <c r="BE1456" t="str">
        <f t="shared" si="533"/>
        <v/>
      </c>
      <c r="BF1456" t="str">
        <f t="shared" si="534"/>
        <v/>
      </c>
      <c r="BG1456" t="str">
        <f t="shared" si="535"/>
        <v/>
      </c>
      <c r="BH1456" t="str">
        <f t="shared" si="536"/>
        <v/>
      </c>
      <c r="BI1456" t="str">
        <f t="shared" si="537"/>
        <v/>
      </c>
      <c r="BJ1456" t="str">
        <f t="shared" si="538"/>
        <v/>
      </c>
      <c r="BK1456" t="str">
        <f t="shared" si="539"/>
        <v/>
      </c>
      <c r="BL1456" t="str">
        <f t="shared" si="540"/>
        <v/>
      </c>
      <c r="BM1456" t="str">
        <f t="shared" si="541"/>
        <v/>
      </c>
      <c r="BN1456" t="str">
        <f t="shared" si="542"/>
        <v/>
      </c>
      <c r="BO1456" t="str">
        <f t="shared" si="543"/>
        <v/>
      </c>
      <c r="BP1456" t="str">
        <f t="shared" si="544"/>
        <v/>
      </c>
      <c r="BQ1456" t="str">
        <f t="shared" si="545"/>
        <v/>
      </c>
      <c r="BR1456" t="str">
        <f t="shared" si="546"/>
        <v/>
      </c>
      <c r="BS1456" t="str">
        <f t="shared" si="547"/>
        <v/>
      </c>
      <c r="BT1456" t="str">
        <f t="shared" si="548"/>
        <v/>
      </c>
      <c r="BU1456" t="str">
        <f t="shared" si="549"/>
        <v/>
      </c>
    </row>
    <row r="1457" spans="1:73">
      <c r="A1457" s="1">
        <v>104167</v>
      </c>
      <c r="B1457" t="str">
        <f>VLOOKUP($A1457,[1]Table!$A$2:$N1601,B$1,FALSE)</f>
        <v>G04BD07</v>
      </c>
      <c r="C1457" t="str">
        <f>VLOOKUP($A1457,[1]Table!$A$2:$N1601,C$1,FALSE)</f>
        <v>UROLOGICA</v>
      </c>
      <c r="D1457" t="str">
        <f>VLOOKUP($A1457,[1]Table!$A$2:$N1601,D$1,FALSE)</f>
        <v>UROLOGISCHE MIDDELEN</v>
      </c>
      <c r="E1457" t="str">
        <f>VLOOKUP($A1457,[1]Table!$A$2:$N1601,E$1,FALSE)</f>
        <v>TOLTERODINE</v>
      </c>
      <c r="F1457" t="str">
        <f>VLOOKUP($A1457,[1]Table!$A$2:$N1601,F$1,FALSE)</f>
        <v>DETRUSITOL 1 MG TABLET OMHULD</v>
      </c>
      <c r="G1457" t="str">
        <f>VLOOKUP($A1457,[1]Table!$A$2:$N1601,G$1,FALSE)</f>
        <v>TOLTERODINE 1MG TAB OMHULD</v>
      </c>
      <c r="H1457" t="str">
        <f>VLOOKUP($A1457,[1]Table!$A$2:$N1601,H$1,FALSE)</f>
        <v>omhulde tablet</v>
      </c>
      <c r="I1457" t="str">
        <f>VLOOKUP($A1457,[1]Table!$A$2:$N1601,I$1,FALSE)</f>
        <v>or</v>
      </c>
      <c r="J1457">
        <f>VLOOKUP($A1457,[1]Table!$A$2:$N1601,J$1,FALSE)</f>
        <v>1</v>
      </c>
      <c r="K1457" t="str">
        <f>VLOOKUP($A1457,[1]Table!$A$2:$N1601,K$1,FALSE)</f>
        <v>mg/stuk</v>
      </c>
      <c r="L1457">
        <f>VLOOKUP($A1457,[1]Table!$A$2:$N1601,L$1,FALSE)</f>
        <v>1</v>
      </c>
      <c r="M1457" t="str">
        <f>VLOOKUP($A1457,[1]Table!$A$2:$N1601,M$1,FALSE)</f>
        <v>mg</v>
      </c>
      <c r="N1457" t="str">
        <f>VLOOKUP($A1457,[1]Table!$A$2:$N1601,N$1,FALSE)</f>
        <v>Urine incontinentie, overactief blaas syndroom, neurogene blaas</v>
      </c>
      <c r="O1457" t="str">
        <f>ConcatenateRange(AZ1457:BU1457,"||")</f>
        <v/>
      </c>
      <c r="AZ1457" t="str">
        <f t="shared" si="528"/>
        <v/>
      </c>
      <c r="BA1457" t="str">
        <f t="shared" si="529"/>
        <v/>
      </c>
      <c r="BB1457" t="str">
        <f t="shared" si="530"/>
        <v/>
      </c>
      <c r="BC1457" t="str">
        <f t="shared" si="531"/>
        <v/>
      </c>
      <c r="BD1457" t="str">
        <f t="shared" si="532"/>
        <v/>
      </c>
      <c r="BE1457" t="str">
        <f t="shared" si="533"/>
        <v/>
      </c>
      <c r="BF1457" t="str">
        <f t="shared" si="534"/>
        <v/>
      </c>
      <c r="BG1457" t="str">
        <f t="shared" si="535"/>
        <v/>
      </c>
      <c r="BH1457" t="str">
        <f t="shared" si="536"/>
        <v/>
      </c>
      <c r="BI1457" t="str">
        <f t="shared" si="537"/>
        <v/>
      </c>
      <c r="BJ1457" t="str">
        <f t="shared" si="538"/>
        <v/>
      </c>
      <c r="BK1457" t="str">
        <f t="shared" si="539"/>
        <v/>
      </c>
      <c r="BL1457" t="str">
        <f t="shared" si="540"/>
        <v/>
      </c>
      <c r="BM1457" t="str">
        <f t="shared" si="541"/>
        <v/>
      </c>
      <c r="BN1457" t="str">
        <f t="shared" si="542"/>
        <v/>
      </c>
      <c r="BO1457" t="str">
        <f t="shared" si="543"/>
        <v/>
      </c>
      <c r="BP1457" t="str">
        <f t="shared" si="544"/>
        <v/>
      </c>
      <c r="BQ1457" t="str">
        <f t="shared" si="545"/>
        <v/>
      </c>
      <c r="BR1457" t="str">
        <f t="shared" si="546"/>
        <v/>
      </c>
      <c r="BS1457" t="str">
        <f t="shared" si="547"/>
        <v/>
      </c>
      <c r="BT1457" t="str">
        <f t="shared" si="548"/>
        <v/>
      </c>
      <c r="BU1457" t="str">
        <f t="shared" si="549"/>
        <v/>
      </c>
    </row>
    <row r="1458" spans="1:73">
      <c r="A1458" s="1">
        <v>115789</v>
      </c>
      <c r="B1458" t="str">
        <f>VLOOKUP($A1458,[1]Table!$A$2:$N1602,B$1,FALSE)</f>
        <v>N03AX11</v>
      </c>
      <c r="C1458" t="str">
        <f>VLOOKUP($A1458,[1]Table!$A$2:$N1602,C$1,FALSE)</f>
        <v>ANTI-EPILEPTICA</v>
      </c>
      <c r="D1458" t="str">
        <f>VLOOKUP($A1458,[1]Table!$A$2:$N1602,D$1,FALSE)</f>
        <v>ANTI-EPILEPTICA</v>
      </c>
      <c r="E1458" t="str">
        <f>VLOOKUP($A1458,[1]Table!$A$2:$N1602,E$1,FALSE)</f>
        <v>TOPIRAMAAT</v>
      </c>
      <c r="F1458" t="str">
        <f>VLOOKUP($A1458,[1]Table!$A$2:$N1602,F$1,FALSE)</f>
        <v>TOPAMAX 15 MG SPRINKLE CAPSULE</v>
      </c>
      <c r="G1458" t="str">
        <f>VLOOKUP($A1458,[1]Table!$A$2:$N1602,G$1,FALSE)</f>
        <v>TOPIRAMAAT 15MG CAPSULE</v>
      </c>
      <c r="H1458" t="str">
        <f>VLOOKUP($A1458,[1]Table!$A$2:$N1602,H$1,FALSE)</f>
        <v>capsule</v>
      </c>
      <c r="I1458" t="str">
        <f>VLOOKUP($A1458,[1]Table!$A$2:$N1602,I$1,FALSE)</f>
        <v>or</v>
      </c>
      <c r="J1458">
        <f>VLOOKUP($A1458,[1]Table!$A$2:$N1602,J$1,FALSE)</f>
        <v>15</v>
      </c>
      <c r="K1458" t="str">
        <f>VLOOKUP($A1458,[1]Table!$A$2:$N1602,K$1,FALSE)</f>
        <v>mg/stuk</v>
      </c>
      <c r="L1458">
        <f>VLOOKUP($A1458,[1]Table!$A$2:$N1602,L$1,FALSE)</f>
        <v>15</v>
      </c>
      <c r="M1458" t="str">
        <f>VLOOKUP($A1458,[1]Table!$A$2:$N1602,M$1,FALSE)</f>
        <v>mg</v>
      </c>
      <c r="N1458" t="str">
        <f>VLOOKUP($A1458,[1]Table!$A$2:$N1602,N$1,FALSE)</f>
        <v>Epilepsie, adjuvante therapie bij partiele aanvallen en/of gegeneraliseerde aanvallen||Partiele epilepsie: Monotherapie||Migraine profylaxe</v>
      </c>
      <c r="O1458" t="str">
        <f>ConcatenateRange(AZ1458:BU1458,"||")</f>
        <v/>
      </c>
      <c r="AZ1458" t="str">
        <f t="shared" si="528"/>
        <v/>
      </c>
      <c r="BA1458" t="str">
        <f t="shared" si="529"/>
        <v/>
      </c>
      <c r="BB1458" t="str">
        <f t="shared" si="530"/>
        <v/>
      </c>
      <c r="BC1458" t="str">
        <f t="shared" si="531"/>
        <v/>
      </c>
      <c r="BD1458" t="str">
        <f t="shared" si="532"/>
        <v/>
      </c>
      <c r="BE1458" t="str">
        <f t="shared" si="533"/>
        <v/>
      </c>
      <c r="BF1458" t="str">
        <f t="shared" si="534"/>
        <v/>
      </c>
      <c r="BG1458" t="str">
        <f t="shared" si="535"/>
        <v/>
      </c>
      <c r="BH1458" t="str">
        <f t="shared" si="536"/>
        <v/>
      </c>
      <c r="BI1458" t="str">
        <f t="shared" si="537"/>
        <v/>
      </c>
      <c r="BJ1458" t="str">
        <f t="shared" si="538"/>
        <v/>
      </c>
      <c r="BK1458" t="str">
        <f t="shared" si="539"/>
        <v/>
      </c>
      <c r="BL1458" t="str">
        <f t="shared" si="540"/>
        <v/>
      </c>
      <c r="BM1458" t="str">
        <f t="shared" si="541"/>
        <v/>
      </c>
      <c r="BN1458" t="str">
        <f t="shared" si="542"/>
        <v/>
      </c>
      <c r="BO1458" t="str">
        <f t="shared" si="543"/>
        <v/>
      </c>
      <c r="BP1458" t="str">
        <f t="shared" si="544"/>
        <v/>
      </c>
      <c r="BQ1458" t="str">
        <f t="shared" si="545"/>
        <v/>
      </c>
      <c r="BR1458" t="str">
        <f t="shared" si="546"/>
        <v/>
      </c>
      <c r="BS1458" t="str">
        <f t="shared" si="547"/>
        <v/>
      </c>
      <c r="BT1458" t="str">
        <f t="shared" si="548"/>
        <v/>
      </c>
      <c r="BU1458" t="str">
        <f t="shared" si="549"/>
        <v/>
      </c>
    </row>
    <row r="1459" spans="1:73">
      <c r="A1459" s="1">
        <v>115797</v>
      </c>
      <c r="B1459" t="str">
        <f>VLOOKUP($A1459,[1]Table!$A$2:$N1603,B$1,FALSE)</f>
        <v>N03AX11</v>
      </c>
      <c r="C1459" t="str">
        <f>VLOOKUP($A1459,[1]Table!$A$2:$N1603,C$1,FALSE)</f>
        <v>ANTI-EPILEPTICA</v>
      </c>
      <c r="D1459" t="str">
        <f>VLOOKUP($A1459,[1]Table!$A$2:$N1603,D$1,FALSE)</f>
        <v>ANTI-EPILEPTICA</v>
      </c>
      <c r="E1459" t="str">
        <f>VLOOKUP($A1459,[1]Table!$A$2:$N1603,E$1,FALSE)</f>
        <v>TOPIRAMAAT</v>
      </c>
      <c r="F1459" t="str">
        <f>VLOOKUP($A1459,[1]Table!$A$2:$N1603,F$1,FALSE)</f>
        <v>TOPAMAX 50 MG SPRINKLE CAPSULE</v>
      </c>
      <c r="G1459" t="str">
        <f>VLOOKUP($A1459,[1]Table!$A$2:$N1603,G$1,FALSE)</f>
        <v>TOPIRAMAAT 50MG CAPSULE</v>
      </c>
      <c r="H1459" t="str">
        <f>VLOOKUP($A1459,[1]Table!$A$2:$N1603,H$1,FALSE)</f>
        <v>capsule</v>
      </c>
      <c r="I1459" t="str">
        <f>VLOOKUP($A1459,[1]Table!$A$2:$N1603,I$1,FALSE)</f>
        <v>or</v>
      </c>
      <c r="J1459">
        <f>VLOOKUP($A1459,[1]Table!$A$2:$N1603,J$1,FALSE)</f>
        <v>50</v>
      </c>
      <c r="K1459" t="str">
        <f>VLOOKUP($A1459,[1]Table!$A$2:$N1603,K$1,FALSE)</f>
        <v>mg/stuk</v>
      </c>
      <c r="L1459">
        <f>VLOOKUP($A1459,[1]Table!$A$2:$N1603,L$1,FALSE)</f>
        <v>50</v>
      </c>
      <c r="M1459" t="str">
        <f>VLOOKUP($A1459,[1]Table!$A$2:$N1603,M$1,FALSE)</f>
        <v>mg</v>
      </c>
      <c r="N1459" t="str">
        <f>VLOOKUP($A1459,[1]Table!$A$2:$N1603,N$1,FALSE)</f>
        <v>Epilepsie, adjuvante therapie bij partiele aanvallen en/of gegeneraliseerde aanvallen||Partiele epilepsie: Monotherapie||Migraine profylaxe</v>
      </c>
      <c r="O1459" t="str">
        <f>ConcatenateRange(AZ1459:BU1459,"||")</f>
        <v/>
      </c>
      <c r="AZ1459" t="str">
        <f t="shared" si="528"/>
        <v/>
      </c>
      <c r="BA1459" t="str">
        <f t="shared" si="529"/>
        <v/>
      </c>
      <c r="BB1459" t="str">
        <f t="shared" si="530"/>
        <v/>
      </c>
      <c r="BC1459" t="str">
        <f t="shared" si="531"/>
        <v/>
      </c>
      <c r="BD1459" t="str">
        <f t="shared" si="532"/>
        <v/>
      </c>
      <c r="BE1459" t="str">
        <f t="shared" si="533"/>
        <v/>
      </c>
      <c r="BF1459" t="str">
        <f t="shared" si="534"/>
        <v/>
      </c>
      <c r="BG1459" t="str">
        <f t="shared" si="535"/>
        <v/>
      </c>
      <c r="BH1459" t="str">
        <f t="shared" si="536"/>
        <v/>
      </c>
      <c r="BI1459" t="str">
        <f t="shared" si="537"/>
        <v/>
      </c>
      <c r="BJ1459" t="str">
        <f t="shared" si="538"/>
        <v/>
      </c>
      <c r="BK1459" t="str">
        <f t="shared" si="539"/>
        <v/>
      </c>
      <c r="BL1459" t="str">
        <f t="shared" si="540"/>
        <v/>
      </c>
      <c r="BM1459" t="str">
        <f t="shared" si="541"/>
        <v/>
      </c>
      <c r="BN1459" t="str">
        <f t="shared" si="542"/>
        <v/>
      </c>
      <c r="BO1459" t="str">
        <f t="shared" si="543"/>
        <v/>
      </c>
      <c r="BP1459" t="str">
        <f t="shared" si="544"/>
        <v/>
      </c>
      <c r="BQ1459" t="str">
        <f t="shared" si="545"/>
        <v/>
      </c>
      <c r="BR1459" t="str">
        <f t="shared" si="546"/>
        <v/>
      </c>
      <c r="BS1459" t="str">
        <f t="shared" si="547"/>
        <v/>
      </c>
      <c r="BT1459" t="str">
        <f t="shared" si="548"/>
        <v/>
      </c>
      <c r="BU1459" t="str">
        <f t="shared" si="549"/>
        <v/>
      </c>
    </row>
    <row r="1460" spans="1:73">
      <c r="A1460" s="1">
        <v>106194</v>
      </c>
      <c r="B1460" t="str">
        <f>VLOOKUP($A1460,[1]Table!$A$2:$N1604,B$1,FALSE)</f>
        <v>N03AX11</v>
      </c>
      <c r="C1460" t="str">
        <f>VLOOKUP($A1460,[1]Table!$A$2:$N1604,C$1,FALSE)</f>
        <v>ANTI-EPILEPTICA</v>
      </c>
      <c r="D1460" t="str">
        <f>VLOOKUP($A1460,[1]Table!$A$2:$N1604,D$1,FALSE)</f>
        <v>ANTI-EPILEPTICA</v>
      </c>
      <c r="E1460" t="str">
        <f>VLOOKUP($A1460,[1]Table!$A$2:$N1604,E$1,FALSE)</f>
        <v>TOPIRAMAAT</v>
      </c>
      <c r="F1460" t="str">
        <f>VLOOKUP($A1460,[1]Table!$A$2:$N1604,F$1,FALSE)</f>
        <v>TOPIRAMAAT 25 MG TABLET FILMOMHULD</v>
      </c>
      <c r="G1460" t="str">
        <f>VLOOKUP($A1460,[1]Table!$A$2:$N1604,G$1,FALSE)</f>
        <v>TOPIRAMAAT 25MG TAB OMHULD</v>
      </c>
      <c r="H1460" t="str">
        <f>VLOOKUP($A1460,[1]Table!$A$2:$N1604,H$1,FALSE)</f>
        <v>omhulde tablet</v>
      </c>
      <c r="I1460" t="str">
        <f>VLOOKUP($A1460,[1]Table!$A$2:$N1604,I$1,FALSE)</f>
        <v>or</v>
      </c>
      <c r="J1460">
        <f>VLOOKUP($A1460,[1]Table!$A$2:$N1604,J$1,FALSE)</f>
        <v>25</v>
      </c>
      <c r="K1460" t="str">
        <f>VLOOKUP($A1460,[1]Table!$A$2:$N1604,K$1,FALSE)</f>
        <v>mg/stuk</v>
      </c>
      <c r="L1460">
        <f>VLOOKUP($A1460,[1]Table!$A$2:$N1604,L$1,FALSE)</f>
        <v>25</v>
      </c>
      <c r="M1460" t="str">
        <f>VLOOKUP($A1460,[1]Table!$A$2:$N1604,M$1,FALSE)</f>
        <v>mg</v>
      </c>
      <c r="N1460" t="str">
        <f>VLOOKUP($A1460,[1]Table!$A$2:$N1604,N$1,FALSE)</f>
        <v>Epilepsie, adjuvante therapie bij partiele aanvallen en/of gegeneraliseerde aanvallen||Partiele epilepsie: Monotherapie||Migraine profylaxe</v>
      </c>
      <c r="O1460" t="str">
        <f>ConcatenateRange(AZ1460:BU1460,"||")</f>
        <v/>
      </c>
      <c r="AZ1460" t="str">
        <f t="shared" si="528"/>
        <v/>
      </c>
      <c r="BA1460" t="str">
        <f t="shared" si="529"/>
        <v/>
      </c>
      <c r="BB1460" t="str">
        <f t="shared" si="530"/>
        <v/>
      </c>
      <c r="BC1460" t="str">
        <f t="shared" si="531"/>
        <v/>
      </c>
      <c r="BD1460" t="str">
        <f t="shared" si="532"/>
        <v/>
      </c>
      <c r="BE1460" t="str">
        <f t="shared" si="533"/>
        <v/>
      </c>
      <c r="BF1460" t="str">
        <f t="shared" si="534"/>
        <v/>
      </c>
      <c r="BG1460" t="str">
        <f t="shared" si="535"/>
        <v/>
      </c>
      <c r="BH1460" t="str">
        <f t="shared" si="536"/>
        <v/>
      </c>
      <c r="BI1460" t="str">
        <f t="shared" si="537"/>
        <v/>
      </c>
      <c r="BJ1460" t="str">
        <f t="shared" si="538"/>
        <v/>
      </c>
      <c r="BK1460" t="str">
        <f t="shared" si="539"/>
        <v/>
      </c>
      <c r="BL1460" t="str">
        <f t="shared" si="540"/>
        <v/>
      </c>
      <c r="BM1460" t="str">
        <f t="shared" si="541"/>
        <v/>
      </c>
      <c r="BN1460" t="str">
        <f t="shared" si="542"/>
        <v/>
      </c>
      <c r="BO1460" t="str">
        <f t="shared" si="543"/>
        <v/>
      </c>
      <c r="BP1460" t="str">
        <f t="shared" si="544"/>
        <v/>
      </c>
      <c r="BQ1460" t="str">
        <f t="shared" si="545"/>
        <v/>
      </c>
      <c r="BR1460" t="str">
        <f t="shared" si="546"/>
        <v/>
      </c>
      <c r="BS1460" t="str">
        <f t="shared" si="547"/>
        <v/>
      </c>
      <c r="BT1460" t="str">
        <f t="shared" si="548"/>
        <v/>
      </c>
      <c r="BU1460" t="str">
        <f t="shared" si="549"/>
        <v/>
      </c>
    </row>
    <row r="1461" spans="1:73">
      <c r="A1461" s="1">
        <v>106208</v>
      </c>
      <c r="B1461" t="str">
        <f>VLOOKUP($A1461,[1]Table!$A$2:$N1605,B$1,FALSE)</f>
        <v>N03AX11</v>
      </c>
      <c r="C1461" t="str">
        <f>VLOOKUP($A1461,[1]Table!$A$2:$N1605,C$1,FALSE)</f>
        <v>ANTI-EPILEPTICA</v>
      </c>
      <c r="D1461" t="str">
        <f>VLOOKUP($A1461,[1]Table!$A$2:$N1605,D$1,FALSE)</f>
        <v>ANTI-EPILEPTICA</v>
      </c>
      <c r="E1461" t="str">
        <f>VLOOKUP($A1461,[1]Table!$A$2:$N1605,E$1,FALSE)</f>
        <v>TOPIRAMAAT</v>
      </c>
      <c r="F1461" t="str">
        <f>VLOOKUP($A1461,[1]Table!$A$2:$N1605,F$1,FALSE)</f>
        <v>TOPIRAMAAT 100 MG TABLET FILMOMHULD</v>
      </c>
      <c r="G1461" t="str">
        <f>VLOOKUP($A1461,[1]Table!$A$2:$N1605,G$1,FALSE)</f>
        <v>TOPIRAMAAT 100MG TAB OMHULD</v>
      </c>
      <c r="H1461" t="str">
        <f>VLOOKUP($A1461,[1]Table!$A$2:$N1605,H$1,FALSE)</f>
        <v>omhulde tablet</v>
      </c>
      <c r="I1461" t="str">
        <f>VLOOKUP($A1461,[1]Table!$A$2:$N1605,I$1,FALSE)</f>
        <v>or</v>
      </c>
      <c r="J1461">
        <f>VLOOKUP($A1461,[1]Table!$A$2:$N1605,J$1,FALSE)</f>
        <v>100</v>
      </c>
      <c r="K1461" t="str">
        <f>VLOOKUP($A1461,[1]Table!$A$2:$N1605,K$1,FALSE)</f>
        <v>mg/stuk</v>
      </c>
      <c r="L1461">
        <f>VLOOKUP($A1461,[1]Table!$A$2:$N1605,L$1,FALSE)</f>
        <v>100</v>
      </c>
      <c r="M1461" t="str">
        <f>VLOOKUP($A1461,[1]Table!$A$2:$N1605,M$1,FALSE)</f>
        <v>mg</v>
      </c>
      <c r="N1461" t="str">
        <f>VLOOKUP($A1461,[1]Table!$A$2:$N1605,N$1,FALSE)</f>
        <v>Epilepsie, adjuvante therapie bij partiele aanvallen en/of gegeneraliseerde aanvallen||Partiele epilepsie: Monotherapie||Migraine profylaxe</v>
      </c>
      <c r="O1461" t="str">
        <f>ConcatenateRange(AZ1461:BU1461,"||")</f>
        <v/>
      </c>
      <c r="AZ1461" t="str">
        <f t="shared" si="528"/>
        <v/>
      </c>
      <c r="BA1461" t="str">
        <f t="shared" si="529"/>
        <v/>
      </c>
      <c r="BB1461" t="str">
        <f t="shared" si="530"/>
        <v/>
      </c>
      <c r="BC1461" t="str">
        <f t="shared" si="531"/>
        <v/>
      </c>
      <c r="BD1461" t="str">
        <f t="shared" si="532"/>
        <v/>
      </c>
      <c r="BE1461" t="str">
        <f t="shared" si="533"/>
        <v/>
      </c>
      <c r="BF1461" t="str">
        <f t="shared" si="534"/>
        <v/>
      </c>
      <c r="BG1461" t="str">
        <f t="shared" si="535"/>
        <v/>
      </c>
      <c r="BH1461" t="str">
        <f t="shared" si="536"/>
        <v/>
      </c>
      <c r="BI1461" t="str">
        <f t="shared" si="537"/>
        <v/>
      </c>
      <c r="BJ1461" t="str">
        <f t="shared" si="538"/>
        <v/>
      </c>
      <c r="BK1461" t="str">
        <f t="shared" si="539"/>
        <v/>
      </c>
      <c r="BL1461" t="str">
        <f t="shared" si="540"/>
        <v/>
      </c>
      <c r="BM1461" t="str">
        <f t="shared" si="541"/>
        <v/>
      </c>
      <c r="BN1461" t="str">
        <f t="shared" si="542"/>
        <v/>
      </c>
      <c r="BO1461" t="str">
        <f t="shared" si="543"/>
        <v/>
      </c>
      <c r="BP1461" t="str">
        <f t="shared" si="544"/>
        <v/>
      </c>
      <c r="BQ1461" t="str">
        <f t="shared" si="545"/>
        <v/>
      </c>
      <c r="BR1461" t="str">
        <f t="shared" si="546"/>
        <v/>
      </c>
      <c r="BS1461" t="str">
        <f t="shared" si="547"/>
        <v/>
      </c>
      <c r="BT1461" t="str">
        <f t="shared" si="548"/>
        <v/>
      </c>
      <c r="BU1461" t="str">
        <f t="shared" si="549"/>
        <v/>
      </c>
    </row>
    <row r="1462" spans="1:73">
      <c r="A1462" s="1">
        <v>88668</v>
      </c>
      <c r="B1462" t="str">
        <f>VLOOKUP($A1462,[1]Table!$A$2:$N1606,B$1,FALSE)</f>
        <v>N02AX02</v>
      </c>
      <c r="C1462" t="str">
        <f>VLOOKUP($A1462,[1]Table!$A$2:$N1606,C$1,FALSE)</f>
        <v>ANALGETICA</v>
      </c>
      <c r="D1462" t="str">
        <f>VLOOKUP($A1462,[1]Table!$A$2:$N1606,D$1,FALSE)</f>
        <v>OPIOIDEN</v>
      </c>
      <c r="E1462" t="str">
        <f>VLOOKUP($A1462,[1]Table!$A$2:$N1606,E$1,FALSE)</f>
        <v>TRAMADOL</v>
      </c>
      <c r="F1462" t="str">
        <f>VLOOKUP($A1462,[1]Table!$A$2:$N1606,F$1,FALSE)</f>
        <v>TRAMADOL 50 MG CAPSULE</v>
      </c>
      <c r="G1462" t="str">
        <f>VLOOKUP($A1462,[1]Table!$A$2:$N1606,G$1,FALSE)</f>
        <v>TRAMADOL 50MG CAPSULE</v>
      </c>
      <c r="H1462" t="str">
        <f>VLOOKUP($A1462,[1]Table!$A$2:$N1606,H$1,FALSE)</f>
        <v>capsule</v>
      </c>
      <c r="I1462" t="str">
        <f>VLOOKUP($A1462,[1]Table!$A$2:$N1606,I$1,FALSE)</f>
        <v>or</v>
      </c>
      <c r="J1462">
        <f>VLOOKUP($A1462,[1]Table!$A$2:$N1606,J$1,FALSE)</f>
        <v>50</v>
      </c>
      <c r="K1462" t="str">
        <f>VLOOKUP($A1462,[1]Table!$A$2:$N1606,K$1,FALSE)</f>
        <v>mg/stuk</v>
      </c>
      <c r="L1462">
        <f>VLOOKUP($A1462,[1]Table!$A$2:$N1606,L$1,FALSE)</f>
        <v>50</v>
      </c>
      <c r="M1462" t="str">
        <f>VLOOKUP($A1462,[1]Table!$A$2:$N1606,M$1,FALSE)</f>
        <v>mg</v>
      </c>
      <c r="N1462" t="str">
        <f>VLOOKUP($A1462,[1]Table!$A$2:$N1606,N$1,FALSE)</f>
        <v>Pijn</v>
      </c>
      <c r="O1462" t="str">
        <f>ConcatenateRange(AZ1462:BU1462,"||")</f>
        <v/>
      </c>
      <c r="AZ1462" t="str">
        <f t="shared" si="528"/>
        <v/>
      </c>
      <c r="BA1462" t="str">
        <f t="shared" si="529"/>
        <v/>
      </c>
      <c r="BB1462" t="str">
        <f t="shared" si="530"/>
        <v/>
      </c>
      <c r="BC1462" t="str">
        <f t="shared" si="531"/>
        <v/>
      </c>
      <c r="BD1462" t="str">
        <f t="shared" si="532"/>
        <v/>
      </c>
      <c r="BE1462" t="str">
        <f t="shared" si="533"/>
        <v/>
      </c>
      <c r="BF1462" t="str">
        <f t="shared" si="534"/>
        <v/>
      </c>
      <c r="BG1462" t="str">
        <f t="shared" si="535"/>
        <v/>
      </c>
      <c r="BH1462" t="str">
        <f t="shared" si="536"/>
        <v/>
      </c>
      <c r="BI1462" t="str">
        <f t="shared" si="537"/>
        <v/>
      </c>
      <c r="BJ1462" t="str">
        <f t="shared" si="538"/>
        <v/>
      </c>
      <c r="BK1462" t="str">
        <f t="shared" si="539"/>
        <v/>
      </c>
      <c r="BL1462" t="str">
        <f t="shared" si="540"/>
        <v/>
      </c>
      <c r="BM1462" t="str">
        <f t="shared" si="541"/>
        <v/>
      </c>
      <c r="BN1462" t="str">
        <f t="shared" si="542"/>
        <v/>
      </c>
      <c r="BO1462" t="str">
        <f t="shared" si="543"/>
        <v/>
      </c>
      <c r="BP1462" t="str">
        <f t="shared" si="544"/>
        <v/>
      </c>
      <c r="BQ1462" t="str">
        <f t="shared" si="545"/>
        <v/>
      </c>
      <c r="BR1462" t="str">
        <f t="shared" si="546"/>
        <v/>
      </c>
      <c r="BS1462" t="str">
        <f t="shared" si="547"/>
        <v/>
      </c>
      <c r="BT1462" t="str">
        <f t="shared" si="548"/>
        <v/>
      </c>
      <c r="BU1462" t="str">
        <f t="shared" si="549"/>
        <v/>
      </c>
    </row>
    <row r="1463" spans="1:73">
      <c r="A1463" s="1">
        <v>94625</v>
      </c>
      <c r="B1463" t="str">
        <f>VLOOKUP($A1463,[1]Table!$A$2:$N1607,B$1,FALSE)</f>
        <v>N02AX02</v>
      </c>
      <c r="C1463" t="str">
        <f>VLOOKUP($A1463,[1]Table!$A$2:$N1607,C$1,FALSE)</f>
        <v>ANALGETICA</v>
      </c>
      <c r="D1463" t="str">
        <f>VLOOKUP($A1463,[1]Table!$A$2:$N1607,D$1,FALSE)</f>
        <v>OPIOIDEN</v>
      </c>
      <c r="E1463" t="str">
        <f>VLOOKUP($A1463,[1]Table!$A$2:$N1607,E$1,FALSE)</f>
        <v>TRAMADOL</v>
      </c>
      <c r="F1463" t="str">
        <f>VLOOKUP($A1463,[1]Table!$A$2:$N1607,F$1,FALSE)</f>
        <v>TRAMADOL 100 MG/ML (2.5 MG PER DRUPPEL)</v>
      </c>
      <c r="G1463" t="str">
        <f>VLOOKUP($A1463,[1]Table!$A$2:$N1607,G$1,FALSE)</f>
        <v>TRAMADOL 100MG/ML DRUPPELS</v>
      </c>
      <c r="H1463" t="str">
        <f>VLOOKUP($A1463,[1]Table!$A$2:$N1607,H$1,FALSE)</f>
        <v>druppels voor oraal gebruik</v>
      </c>
      <c r="I1463" t="str">
        <f>VLOOKUP($A1463,[1]Table!$A$2:$N1607,I$1,FALSE)</f>
        <v>or</v>
      </c>
      <c r="J1463">
        <f>VLOOKUP($A1463,[1]Table!$A$2:$N1607,J$1,FALSE)</f>
        <v>100</v>
      </c>
      <c r="K1463" t="str">
        <f>VLOOKUP($A1463,[1]Table!$A$2:$N1607,K$1,FALSE)</f>
        <v>mg/ml</v>
      </c>
      <c r="L1463">
        <f>VLOOKUP($A1463,[1]Table!$A$2:$N1607,L$1,FALSE)</f>
        <v>100</v>
      </c>
      <c r="M1463" t="str">
        <f>VLOOKUP($A1463,[1]Table!$A$2:$N1607,M$1,FALSE)</f>
        <v>mg</v>
      </c>
      <c r="N1463" t="str">
        <f>VLOOKUP($A1463,[1]Table!$A$2:$N1607,N$1,FALSE)</f>
        <v>Pijn</v>
      </c>
      <c r="O1463" t="str">
        <f>ConcatenateRange(AZ1463:BU1463,"||")</f>
        <v/>
      </c>
      <c r="AZ1463" t="str">
        <f t="shared" si="528"/>
        <v/>
      </c>
      <c r="BA1463" t="str">
        <f t="shared" si="529"/>
        <v/>
      </c>
      <c r="BB1463" t="str">
        <f t="shared" si="530"/>
        <v/>
      </c>
      <c r="BC1463" t="str">
        <f t="shared" si="531"/>
        <v/>
      </c>
      <c r="BD1463" t="str">
        <f t="shared" si="532"/>
        <v/>
      </c>
      <c r="BE1463" t="str">
        <f t="shared" si="533"/>
        <v/>
      </c>
      <c r="BF1463" t="str">
        <f t="shared" si="534"/>
        <v/>
      </c>
      <c r="BG1463" t="str">
        <f t="shared" si="535"/>
        <v/>
      </c>
      <c r="BH1463" t="str">
        <f t="shared" si="536"/>
        <v/>
      </c>
      <c r="BI1463" t="str">
        <f t="shared" si="537"/>
        <v/>
      </c>
      <c r="BJ1463" t="str">
        <f t="shared" si="538"/>
        <v/>
      </c>
      <c r="BK1463" t="str">
        <f t="shared" si="539"/>
        <v/>
      </c>
      <c r="BL1463" t="str">
        <f t="shared" si="540"/>
        <v/>
      </c>
      <c r="BM1463" t="str">
        <f t="shared" si="541"/>
        <v/>
      </c>
      <c r="BN1463" t="str">
        <f t="shared" si="542"/>
        <v/>
      </c>
      <c r="BO1463" t="str">
        <f t="shared" si="543"/>
        <v/>
      </c>
      <c r="BP1463" t="str">
        <f t="shared" si="544"/>
        <v/>
      </c>
      <c r="BQ1463" t="str">
        <f t="shared" si="545"/>
        <v/>
      </c>
      <c r="BR1463" t="str">
        <f t="shared" si="546"/>
        <v/>
      </c>
      <c r="BS1463" t="str">
        <f t="shared" si="547"/>
        <v/>
      </c>
      <c r="BT1463" t="str">
        <f t="shared" si="548"/>
        <v/>
      </c>
      <c r="BU1463" t="str">
        <f t="shared" si="549"/>
        <v/>
      </c>
    </row>
    <row r="1464" spans="1:73">
      <c r="A1464" s="1">
        <v>88692</v>
      </c>
      <c r="B1464" t="str">
        <f>VLOOKUP($A1464,[1]Table!$A$2:$N1608,B$1,FALSE)</f>
        <v>N02AX02</v>
      </c>
      <c r="C1464" t="str">
        <f>VLOOKUP($A1464,[1]Table!$A$2:$N1608,C$1,FALSE)</f>
        <v>ANALGETICA</v>
      </c>
      <c r="D1464" t="str">
        <f>VLOOKUP($A1464,[1]Table!$A$2:$N1608,D$1,FALSE)</f>
        <v>OPIOIDEN</v>
      </c>
      <c r="E1464" t="str">
        <f>VLOOKUP($A1464,[1]Table!$A$2:$N1608,E$1,FALSE)</f>
        <v>TRAMADOL</v>
      </c>
      <c r="F1464" t="str">
        <f>VLOOKUP($A1464,[1]Table!$A$2:$N1608,F$1,FALSE)</f>
        <v>TRAMAL 50 MG/ML AMPUL 2ML</v>
      </c>
      <c r="G1464" t="str">
        <f>VLOOKUP($A1464,[1]Table!$A$2:$N1608,G$1,FALSE)</f>
        <v>TRAMADOL 50MG/ML INJVLST</v>
      </c>
      <c r="H1464" t="str">
        <f>VLOOKUP($A1464,[1]Table!$A$2:$N1608,H$1,FALSE)</f>
        <v>injectievloeistof</v>
      </c>
      <c r="I1464" t="str">
        <f>VLOOKUP($A1464,[1]Table!$A$2:$N1608,I$1,FALSE)</f>
        <v>im||iv</v>
      </c>
      <c r="J1464">
        <f>VLOOKUP($A1464,[1]Table!$A$2:$N1608,J$1,FALSE)</f>
        <v>50</v>
      </c>
      <c r="K1464" t="str">
        <f>VLOOKUP($A1464,[1]Table!$A$2:$N1608,K$1,FALSE)</f>
        <v>mg/ml</v>
      </c>
      <c r="L1464">
        <f>VLOOKUP($A1464,[1]Table!$A$2:$N1608,L$1,FALSE)</f>
        <v>50</v>
      </c>
      <c r="M1464" t="str">
        <f>VLOOKUP($A1464,[1]Table!$A$2:$N1608,M$1,FALSE)</f>
        <v>mg</v>
      </c>
      <c r="N1464" t="str">
        <f>VLOOKUP($A1464,[1]Table!$A$2:$N1608,N$1,FALSE)</f>
        <v>Pijn</v>
      </c>
      <c r="O1464" t="str">
        <f>ConcatenateRange(AZ1464:BU1464,"||")</f>
        <v/>
      </c>
      <c r="AZ1464" t="str">
        <f t="shared" si="528"/>
        <v/>
      </c>
      <c r="BA1464" t="str">
        <f t="shared" si="529"/>
        <v/>
      </c>
      <c r="BB1464" t="str">
        <f t="shared" si="530"/>
        <v/>
      </c>
      <c r="BC1464" t="str">
        <f t="shared" si="531"/>
        <v/>
      </c>
      <c r="BD1464" t="str">
        <f t="shared" si="532"/>
        <v/>
      </c>
      <c r="BE1464" t="str">
        <f t="shared" si="533"/>
        <v/>
      </c>
      <c r="BF1464" t="str">
        <f t="shared" si="534"/>
        <v/>
      </c>
      <c r="BG1464" t="str">
        <f t="shared" si="535"/>
        <v/>
      </c>
      <c r="BH1464" t="str">
        <f t="shared" si="536"/>
        <v/>
      </c>
      <c r="BI1464" t="str">
        <f t="shared" si="537"/>
        <v/>
      </c>
      <c r="BJ1464" t="str">
        <f t="shared" si="538"/>
        <v/>
      </c>
      <c r="BK1464" t="str">
        <f t="shared" si="539"/>
        <v/>
      </c>
      <c r="BL1464" t="str">
        <f t="shared" si="540"/>
        <v/>
      </c>
      <c r="BM1464" t="str">
        <f t="shared" si="541"/>
        <v/>
      </c>
      <c r="BN1464" t="str">
        <f t="shared" si="542"/>
        <v/>
      </c>
      <c r="BO1464" t="str">
        <f t="shared" si="543"/>
        <v/>
      </c>
      <c r="BP1464" t="str">
        <f t="shared" si="544"/>
        <v/>
      </c>
      <c r="BQ1464" t="str">
        <f t="shared" si="545"/>
        <v/>
      </c>
      <c r="BR1464" t="str">
        <f t="shared" si="546"/>
        <v/>
      </c>
      <c r="BS1464" t="str">
        <f t="shared" si="547"/>
        <v/>
      </c>
      <c r="BT1464" t="str">
        <f t="shared" si="548"/>
        <v/>
      </c>
      <c r="BU1464" t="str">
        <f t="shared" si="549"/>
        <v/>
      </c>
    </row>
    <row r="1465" spans="1:73">
      <c r="A1465" s="1">
        <v>104213</v>
      </c>
      <c r="B1465" t="str">
        <f>VLOOKUP($A1465,[1]Table!$A$2:$N1609,B$1,FALSE)</f>
        <v>N02AX02</v>
      </c>
      <c r="C1465" t="str">
        <f>VLOOKUP($A1465,[1]Table!$A$2:$N1609,C$1,FALSE)</f>
        <v>ANALGETICA</v>
      </c>
      <c r="D1465" t="str">
        <f>VLOOKUP($A1465,[1]Table!$A$2:$N1609,D$1,FALSE)</f>
        <v>OPIOIDEN</v>
      </c>
      <c r="E1465" t="s">
        <v>123</v>
      </c>
      <c r="F1465" t="str">
        <f>VLOOKUP($A1465,[1]Table!$A$2:$N1609,F$1,FALSE)</f>
        <v>TRAMADOL 100 MG TABLET MGA (RETARD)</v>
      </c>
      <c r="G1465" t="str">
        <f>VLOOKUP($A1465,[1]Table!$A$2:$N1609,G$1,FALSE)</f>
        <v>TRAMADOL 100MG TABLET MGA</v>
      </c>
      <c r="H1465" t="str">
        <f>VLOOKUP($A1465,[1]Table!$A$2:$N1609,H$1,FALSE)</f>
        <v>tablet met gereguleerde afgifte</v>
      </c>
      <c r="I1465" t="str">
        <f>VLOOKUP($A1465,[1]Table!$A$2:$N1609,I$1,FALSE)</f>
        <v>or</v>
      </c>
      <c r="J1465">
        <f>VLOOKUP($A1465,[1]Table!$A$2:$N1609,J$1,FALSE)</f>
        <v>100</v>
      </c>
      <c r="K1465" t="str">
        <f>VLOOKUP($A1465,[1]Table!$A$2:$N1609,K$1,FALSE)</f>
        <v>mg/stuk</v>
      </c>
      <c r="L1465">
        <f>VLOOKUP($A1465,[1]Table!$A$2:$N1609,L$1,FALSE)</f>
        <v>100</v>
      </c>
      <c r="M1465" t="str">
        <f>VLOOKUP($A1465,[1]Table!$A$2:$N1609,M$1,FALSE)</f>
        <v>mg</v>
      </c>
      <c r="N1465" t="str">
        <f>VLOOKUP($A1465,[1]Table!$A$2:$N1609,N$1,FALSE)</f>
        <v>Pijn</v>
      </c>
      <c r="O1465" t="str">
        <f>ConcatenateRange(AZ1465:BU1465,"||")</f>
        <v/>
      </c>
      <c r="AZ1465" t="str">
        <f t="shared" si="528"/>
        <v/>
      </c>
      <c r="BA1465" t="str">
        <f t="shared" si="529"/>
        <v/>
      </c>
      <c r="BB1465" t="str">
        <f t="shared" si="530"/>
        <v/>
      </c>
      <c r="BC1465" t="str">
        <f t="shared" si="531"/>
        <v/>
      </c>
      <c r="BD1465" t="str">
        <f t="shared" si="532"/>
        <v/>
      </c>
      <c r="BE1465" t="str">
        <f t="shared" si="533"/>
        <v/>
      </c>
      <c r="BF1465" t="str">
        <f t="shared" si="534"/>
        <v/>
      </c>
      <c r="BG1465" t="str">
        <f t="shared" si="535"/>
        <v/>
      </c>
      <c r="BH1465" t="str">
        <f t="shared" si="536"/>
        <v/>
      </c>
      <c r="BI1465" t="str">
        <f t="shared" si="537"/>
        <v/>
      </c>
      <c r="BJ1465" t="str">
        <f t="shared" si="538"/>
        <v/>
      </c>
      <c r="BK1465" t="str">
        <f t="shared" si="539"/>
        <v/>
      </c>
      <c r="BL1465" t="str">
        <f t="shared" si="540"/>
        <v/>
      </c>
      <c r="BM1465" t="str">
        <f t="shared" si="541"/>
        <v/>
      </c>
      <c r="BN1465" t="str">
        <f t="shared" si="542"/>
        <v/>
      </c>
      <c r="BO1465" t="str">
        <f t="shared" si="543"/>
        <v/>
      </c>
      <c r="BP1465" t="str">
        <f t="shared" si="544"/>
        <v/>
      </c>
      <c r="BQ1465" t="str">
        <f t="shared" si="545"/>
        <v/>
      </c>
      <c r="BR1465" t="str">
        <f t="shared" si="546"/>
        <v/>
      </c>
      <c r="BS1465" t="str">
        <f t="shared" si="547"/>
        <v/>
      </c>
      <c r="BT1465" t="str">
        <f t="shared" si="548"/>
        <v/>
      </c>
      <c r="BU1465" t="str">
        <f t="shared" si="549"/>
        <v/>
      </c>
    </row>
    <row r="1466" spans="1:73">
      <c r="A1466" s="1">
        <v>104248</v>
      </c>
      <c r="B1466" t="str">
        <f>VLOOKUP($A1466,[1]Table!$A$2:$N1610,B$1,FALSE)</f>
        <v>N02AX02</v>
      </c>
      <c r="C1466" t="str">
        <f>VLOOKUP($A1466,[1]Table!$A$2:$N1610,C$1,FALSE)</f>
        <v>ANALGETICA</v>
      </c>
      <c r="D1466" t="str">
        <f>VLOOKUP($A1466,[1]Table!$A$2:$N1610,D$1,FALSE)</f>
        <v>OPIOIDEN</v>
      </c>
      <c r="E1466" t="s">
        <v>123</v>
      </c>
      <c r="F1466" t="str">
        <f>VLOOKUP($A1466,[1]Table!$A$2:$N1610,F$1,FALSE)</f>
        <v>TRAMADOL 200 MG TABLET MGA (RETARD)</v>
      </c>
      <c r="G1466" t="str">
        <f>VLOOKUP($A1466,[1]Table!$A$2:$N1610,G$1,FALSE)</f>
        <v>TRAMADOL 200MG TABLET MGA</v>
      </c>
      <c r="H1466" t="str">
        <f>VLOOKUP($A1466,[1]Table!$A$2:$N1610,H$1,FALSE)</f>
        <v>tablet met gereguleerde afgifte</v>
      </c>
      <c r="I1466" t="str">
        <f>VLOOKUP($A1466,[1]Table!$A$2:$N1610,I$1,FALSE)</f>
        <v>or</v>
      </c>
      <c r="J1466">
        <f>VLOOKUP($A1466,[1]Table!$A$2:$N1610,J$1,FALSE)</f>
        <v>200</v>
      </c>
      <c r="K1466" t="str">
        <f>VLOOKUP($A1466,[1]Table!$A$2:$N1610,K$1,FALSE)</f>
        <v>mg/stuk</v>
      </c>
      <c r="L1466">
        <f>VLOOKUP($A1466,[1]Table!$A$2:$N1610,L$1,FALSE)</f>
        <v>200</v>
      </c>
      <c r="M1466" t="str">
        <f>VLOOKUP($A1466,[1]Table!$A$2:$N1610,M$1,FALSE)</f>
        <v>mg</v>
      </c>
      <c r="N1466" t="str">
        <f>VLOOKUP($A1466,[1]Table!$A$2:$N1610,N$1,FALSE)</f>
        <v>Pijn</v>
      </c>
      <c r="O1466" t="str">
        <f>ConcatenateRange(AZ1466:BU1466,"||")</f>
        <v/>
      </c>
      <c r="AZ1466" t="str">
        <f t="shared" si="528"/>
        <v/>
      </c>
      <c r="BA1466" t="str">
        <f t="shared" si="529"/>
        <v/>
      </c>
      <c r="BB1466" t="str">
        <f t="shared" si="530"/>
        <v/>
      </c>
      <c r="BC1466" t="str">
        <f t="shared" si="531"/>
        <v/>
      </c>
      <c r="BD1466" t="str">
        <f t="shared" si="532"/>
        <v/>
      </c>
      <c r="BE1466" t="str">
        <f t="shared" si="533"/>
        <v/>
      </c>
      <c r="BF1466" t="str">
        <f t="shared" si="534"/>
        <v/>
      </c>
      <c r="BG1466" t="str">
        <f t="shared" si="535"/>
        <v/>
      </c>
      <c r="BH1466" t="str">
        <f t="shared" si="536"/>
        <v/>
      </c>
      <c r="BI1466" t="str">
        <f t="shared" si="537"/>
        <v/>
      </c>
      <c r="BJ1466" t="str">
        <f t="shared" si="538"/>
        <v/>
      </c>
      <c r="BK1466" t="str">
        <f t="shared" si="539"/>
        <v/>
      </c>
      <c r="BL1466" t="str">
        <f t="shared" si="540"/>
        <v/>
      </c>
      <c r="BM1466" t="str">
        <f t="shared" si="541"/>
        <v/>
      </c>
      <c r="BN1466" t="str">
        <f t="shared" si="542"/>
        <v/>
      </c>
      <c r="BO1466" t="str">
        <f t="shared" si="543"/>
        <v/>
      </c>
      <c r="BP1466" t="str">
        <f t="shared" si="544"/>
        <v/>
      </c>
      <c r="BQ1466" t="str">
        <f t="shared" si="545"/>
        <v/>
      </c>
      <c r="BR1466" t="str">
        <f t="shared" si="546"/>
        <v/>
      </c>
      <c r="BS1466" t="str">
        <f t="shared" si="547"/>
        <v/>
      </c>
      <c r="BT1466" t="str">
        <f t="shared" si="548"/>
        <v/>
      </c>
      <c r="BU1466" t="str">
        <f t="shared" si="549"/>
        <v/>
      </c>
    </row>
    <row r="1467" spans="1:73">
      <c r="A1467" s="1">
        <v>88641</v>
      </c>
      <c r="B1467" t="str">
        <f>VLOOKUP($A1467,[1]Table!$A$2:$N1611,B$1,FALSE)</f>
        <v>N02AX02</v>
      </c>
      <c r="C1467" t="str">
        <f>VLOOKUP($A1467,[1]Table!$A$2:$N1611,C$1,FALSE)</f>
        <v>ANALGETICA</v>
      </c>
      <c r="D1467" t="str">
        <f>VLOOKUP($A1467,[1]Table!$A$2:$N1611,D$1,FALSE)</f>
        <v>OPIOIDEN</v>
      </c>
      <c r="E1467" t="str">
        <f>VLOOKUP($A1467,[1]Table!$A$2:$N1611,E$1,FALSE)</f>
        <v>TRAMADOL</v>
      </c>
      <c r="F1467" t="str">
        <f>VLOOKUP($A1467,[1]Table!$A$2:$N1611,F$1,FALSE)</f>
        <v>TRAMADOL100 MG ZETPIL</v>
      </c>
      <c r="G1467" t="str">
        <f>VLOOKUP($A1467,[1]Table!$A$2:$N1611,G$1,FALSE)</f>
        <v>TRAMADOL 100MG ZETPIL</v>
      </c>
      <c r="H1467" t="str">
        <f>VLOOKUP($A1467,[1]Table!$A$2:$N1611,H$1,FALSE)</f>
        <v>zetpil</v>
      </c>
      <c r="I1467" t="str">
        <f>VLOOKUP($A1467,[1]Table!$A$2:$N1611,I$1,FALSE)</f>
        <v>rect</v>
      </c>
      <c r="J1467">
        <f>VLOOKUP($A1467,[1]Table!$A$2:$N1611,J$1,FALSE)</f>
        <v>100</v>
      </c>
      <c r="K1467" t="str">
        <f>VLOOKUP($A1467,[1]Table!$A$2:$N1611,K$1,FALSE)</f>
        <v>mg/stuk</v>
      </c>
      <c r="L1467">
        <f>VLOOKUP($A1467,[1]Table!$A$2:$N1611,L$1,FALSE)</f>
        <v>100</v>
      </c>
      <c r="M1467" t="str">
        <f>VLOOKUP($A1467,[1]Table!$A$2:$N1611,M$1,FALSE)</f>
        <v>mg</v>
      </c>
      <c r="N1467" t="str">
        <f>VLOOKUP($A1467,[1]Table!$A$2:$N1611,N$1,FALSE)</f>
        <v>Pijn</v>
      </c>
      <c r="O1467" t="str">
        <f>ConcatenateRange(AZ1467:BU1467,"||")</f>
        <v/>
      </c>
      <c r="AZ1467" t="str">
        <f t="shared" si="528"/>
        <v/>
      </c>
      <c r="BA1467" t="str">
        <f t="shared" si="529"/>
        <v/>
      </c>
      <c r="BB1467" t="str">
        <f t="shared" si="530"/>
        <v/>
      </c>
      <c r="BC1467" t="str">
        <f t="shared" si="531"/>
        <v/>
      </c>
      <c r="BD1467" t="str">
        <f t="shared" si="532"/>
        <v/>
      </c>
      <c r="BE1467" t="str">
        <f t="shared" si="533"/>
        <v/>
      </c>
      <c r="BF1467" t="str">
        <f t="shared" si="534"/>
        <v/>
      </c>
      <c r="BG1467" t="str">
        <f t="shared" si="535"/>
        <v/>
      </c>
      <c r="BH1467" t="str">
        <f t="shared" si="536"/>
        <v/>
      </c>
      <c r="BI1467" t="str">
        <f t="shared" si="537"/>
        <v/>
      </c>
      <c r="BJ1467" t="str">
        <f t="shared" si="538"/>
        <v/>
      </c>
      <c r="BK1467" t="str">
        <f t="shared" si="539"/>
        <v/>
      </c>
      <c r="BL1467" t="str">
        <f t="shared" si="540"/>
        <v/>
      </c>
      <c r="BM1467" t="str">
        <f t="shared" si="541"/>
        <v/>
      </c>
      <c r="BN1467" t="str">
        <f t="shared" si="542"/>
        <v/>
      </c>
      <c r="BO1467" t="str">
        <f t="shared" si="543"/>
        <v/>
      </c>
      <c r="BP1467" t="str">
        <f t="shared" si="544"/>
        <v/>
      </c>
      <c r="BQ1467" t="str">
        <f t="shared" si="545"/>
        <v/>
      </c>
      <c r="BR1467" t="str">
        <f t="shared" si="546"/>
        <v/>
      </c>
      <c r="BS1467" t="str">
        <f t="shared" si="547"/>
        <v/>
      </c>
      <c r="BT1467" t="str">
        <f t="shared" si="548"/>
        <v/>
      </c>
      <c r="BU1467" t="str">
        <f t="shared" si="549"/>
        <v/>
      </c>
    </row>
    <row r="1468" spans="1:73">
      <c r="A1468" s="1">
        <v>131504</v>
      </c>
      <c r="B1468" t="str">
        <f>VLOOKUP($A1468,[1]Table!$A$2:$N1334,B$1,FALSE)</f>
        <v>N02AX52</v>
      </c>
      <c r="C1468" t="str">
        <f>VLOOKUP($A1468,[1]Table!$A$2:$N1334,C$1,FALSE)</f>
        <v>ANALGETICA</v>
      </c>
      <c r="D1468" t="str">
        <f>VLOOKUP($A1468,[1]Table!$A$2:$N1334,D$1,FALSE)</f>
        <v>OPIOIDEN</v>
      </c>
      <c r="E1468" t="str">
        <f>VLOOKUP($A1468,[1]Table!$A$2:$N1334,E$1,FALSE)</f>
        <v>TRAMADOL/PARACETAMOL</v>
      </c>
      <c r="F1468" t="str">
        <f>VLOOKUP($A1468,[1]Table!$A$2:$N1334,F$1,FALSE)</f>
        <v>ZALDIAR bruistablet 37,5/325mg</v>
      </c>
      <c r="G1468" t="str">
        <f>VLOOKUP($A1468,[1]Table!$A$2:$N1334,G$1,FALSE)</f>
        <v>TRAMADOL/PARAC 37,5/325MG B</v>
      </c>
      <c r="H1468" t="str">
        <f>VLOOKUP($A1468,[1]Table!$A$2:$N1334,H$1,FALSE)</f>
        <v>bruistablet</v>
      </c>
      <c r="I1468" t="str">
        <f>VLOOKUP($A1468,[1]Table!$A$2:$N1334,I$1,FALSE)</f>
        <v>or</v>
      </c>
      <c r="J1468">
        <f>VLOOKUP($A1468,[1]Table!$A$2:$N1334,J$1,FALSE)</f>
        <v>325</v>
      </c>
      <c r="K1468" t="str">
        <f>VLOOKUP($A1468,[1]Table!$A$2:$N1334,K$1,FALSE)</f>
        <v>mg/stuk</v>
      </c>
      <c r="L1468">
        <f>VLOOKUP($A1468,[1]Table!$A$2:$N1334,L$1,FALSE)</f>
        <v>325</v>
      </c>
      <c r="M1468" t="str">
        <f>VLOOKUP($A1468,[1]Table!$A$2:$N1334,M$1,FALSE)</f>
        <v>mg</v>
      </c>
      <c r="N1468" t="str">
        <f>VLOOKUP($A1468,[1]Table!$A$2:$N1334,N$1,FALSE)</f>
        <v>Matige tot ernstige pijn</v>
      </c>
      <c r="O1468" t="str">
        <f>ConcatenateRange(AZ1468:BU1468,"||")</f>
        <v/>
      </c>
      <c r="AZ1468" t="str">
        <f t="shared" si="528"/>
        <v/>
      </c>
      <c r="BA1468" t="str">
        <f t="shared" si="529"/>
        <v/>
      </c>
      <c r="BB1468" t="str">
        <f t="shared" si="530"/>
        <v/>
      </c>
      <c r="BC1468" t="str">
        <f t="shared" si="531"/>
        <v/>
      </c>
      <c r="BD1468" t="str">
        <f t="shared" si="532"/>
        <v/>
      </c>
      <c r="BE1468" t="str">
        <f t="shared" si="533"/>
        <v/>
      </c>
      <c r="BF1468" t="str">
        <f t="shared" si="534"/>
        <v/>
      </c>
      <c r="BG1468" t="str">
        <f t="shared" si="535"/>
        <v/>
      </c>
      <c r="BH1468" t="str">
        <f t="shared" si="536"/>
        <v/>
      </c>
      <c r="BI1468" t="str">
        <f t="shared" si="537"/>
        <v/>
      </c>
      <c r="BJ1468" t="str">
        <f t="shared" si="538"/>
        <v/>
      </c>
      <c r="BK1468" t="str">
        <f t="shared" si="539"/>
        <v/>
      </c>
      <c r="BL1468" t="str">
        <f t="shared" si="540"/>
        <v/>
      </c>
      <c r="BM1468" t="str">
        <f t="shared" si="541"/>
        <v/>
      </c>
      <c r="BN1468" t="str">
        <f t="shared" si="542"/>
        <v/>
      </c>
      <c r="BO1468" t="str">
        <f t="shared" si="543"/>
        <v/>
      </c>
      <c r="BP1468" t="str">
        <f t="shared" si="544"/>
        <v/>
      </c>
      <c r="BQ1468" t="str">
        <f t="shared" si="545"/>
        <v/>
      </c>
      <c r="BR1468" t="str">
        <f t="shared" si="546"/>
        <v/>
      </c>
      <c r="BS1468" t="str">
        <f t="shared" si="547"/>
        <v/>
      </c>
      <c r="BT1468" t="str">
        <f t="shared" si="548"/>
        <v/>
      </c>
      <c r="BU1468" t="str">
        <f t="shared" si="549"/>
        <v/>
      </c>
    </row>
    <row r="1469" spans="1:73">
      <c r="A1469" s="1">
        <v>117498</v>
      </c>
      <c r="B1469" t="str">
        <f>VLOOKUP($A1469,[1]Table!$A$2:$N1335,B$1,FALSE)</f>
        <v>N02AX52</v>
      </c>
      <c r="C1469" t="str">
        <f>VLOOKUP($A1469,[1]Table!$A$2:$N1335,C$1,FALSE)</f>
        <v>ANALGETICA</v>
      </c>
      <c r="D1469" t="str">
        <f>VLOOKUP($A1469,[1]Table!$A$2:$N1335,D$1,FALSE)</f>
        <v>OPIOIDEN</v>
      </c>
      <c r="E1469" t="str">
        <f>VLOOKUP($A1469,[1]Table!$A$2:$N1335,E$1,FALSE)</f>
        <v>TRAMADOL/PARACETAMOL</v>
      </c>
      <c r="F1469" t="str">
        <f>VLOOKUP($A1469,[1]Table!$A$2:$N1335,F$1,FALSE)</f>
        <v>ZALDIAR 37,5/325 MG TABLET FILMOMHULD</v>
      </c>
      <c r="G1469" t="str">
        <f>VLOOKUP($A1469,[1]Table!$A$2:$N1335,G$1,FALSE)</f>
        <v>TRAMADOL/PARAC 37,5/325MG T</v>
      </c>
      <c r="H1469" t="str">
        <f>VLOOKUP($A1469,[1]Table!$A$2:$N1335,H$1,FALSE)</f>
        <v>filmomhulde tablet</v>
      </c>
      <c r="I1469" t="str">
        <f>VLOOKUP($A1469,[1]Table!$A$2:$N1335,I$1,FALSE)</f>
        <v>or</v>
      </c>
      <c r="J1469">
        <f>VLOOKUP($A1469,[1]Table!$A$2:$N1335,J$1,FALSE)</f>
        <v>325</v>
      </c>
      <c r="K1469" t="str">
        <f>VLOOKUP($A1469,[1]Table!$A$2:$N1335,K$1,FALSE)</f>
        <v>mg/stuk</v>
      </c>
      <c r="L1469">
        <f>VLOOKUP($A1469,[1]Table!$A$2:$N1335,L$1,FALSE)</f>
        <v>325</v>
      </c>
      <c r="M1469" t="str">
        <f>VLOOKUP($A1469,[1]Table!$A$2:$N1335,M$1,FALSE)</f>
        <v>mg</v>
      </c>
      <c r="N1469" t="str">
        <f>VLOOKUP($A1469,[1]Table!$A$2:$N1335,N$1,FALSE)</f>
        <v>Matige tot ernstige pijn</v>
      </c>
      <c r="O1469" t="str">
        <f>ConcatenateRange(AZ1469:BU1469,"||")</f>
        <v/>
      </c>
      <c r="AZ1469" t="str">
        <f t="shared" si="528"/>
        <v/>
      </c>
      <c r="BA1469" t="str">
        <f t="shared" si="529"/>
        <v/>
      </c>
      <c r="BB1469" t="str">
        <f t="shared" si="530"/>
        <v/>
      </c>
      <c r="BC1469" t="str">
        <f t="shared" si="531"/>
        <v/>
      </c>
      <c r="BD1469" t="str">
        <f t="shared" si="532"/>
        <v/>
      </c>
      <c r="BE1469" t="str">
        <f t="shared" si="533"/>
        <v/>
      </c>
      <c r="BF1469" t="str">
        <f t="shared" si="534"/>
        <v/>
      </c>
      <c r="BG1469" t="str">
        <f t="shared" si="535"/>
        <v/>
      </c>
      <c r="BH1469" t="str">
        <f t="shared" si="536"/>
        <v/>
      </c>
      <c r="BI1469" t="str">
        <f t="shared" si="537"/>
        <v/>
      </c>
      <c r="BJ1469" t="str">
        <f t="shared" si="538"/>
        <v/>
      </c>
      <c r="BK1469" t="str">
        <f t="shared" si="539"/>
        <v/>
      </c>
      <c r="BL1469" t="str">
        <f t="shared" si="540"/>
        <v/>
      </c>
      <c r="BM1469" t="str">
        <f t="shared" si="541"/>
        <v/>
      </c>
      <c r="BN1469" t="str">
        <f t="shared" si="542"/>
        <v/>
      </c>
      <c r="BO1469" t="str">
        <f t="shared" si="543"/>
        <v/>
      </c>
      <c r="BP1469" t="str">
        <f t="shared" si="544"/>
        <v/>
      </c>
      <c r="BQ1469" t="str">
        <f t="shared" si="545"/>
        <v/>
      </c>
      <c r="BR1469" t="str">
        <f t="shared" si="546"/>
        <v/>
      </c>
      <c r="BS1469" t="str">
        <f t="shared" si="547"/>
        <v/>
      </c>
      <c r="BT1469" t="str">
        <f t="shared" si="548"/>
        <v/>
      </c>
      <c r="BU1469" t="str">
        <f t="shared" si="549"/>
        <v/>
      </c>
    </row>
    <row r="1470" spans="1:73">
      <c r="A1470" s="1">
        <v>115231</v>
      </c>
      <c r="B1470" t="str">
        <f>VLOOKUP($A1470,[1]Table!$A$2:$N1612,B$1,FALSE)</f>
        <v>B02AA02</v>
      </c>
      <c r="C1470" t="str">
        <f>VLOOKUP($A1470,[1]Table!$A$2:$N1612,C$1,FALSE)</f>
        <v>ANTIHAEMORRHAGICA</v>
      </c>
      <c r="D1470" t="str">
        <f>VLOOKUP($A1470,[1]Table!$A$2:$N1612,D$1,FALSE)</f>
        <v>ANTIFIBRINOLYTICA</v>
      </c>
      <c r="E1470" t="str">
        <f>VLOOKUP($A1470,[1]Table!$A$2:$N1612,E$1,FALSE)</f>
        <v>TRANEXAMINEZUUR</v>
      </c>
      <c r="F1470" t="str">
        <f>VLOOKUP($A1470,[1]Table!$A$2:$N1612,F$1,FALSE)</f>
        <v>CYKLOKAPRON 500 MG TABLET FILMOMHULD</v>
      </c>
      <c r="G1470" t="str">
        <f>VLOOKUP($A1470,[1]Table!$A$2:$N1612,G$1,FALSE)</f>
        <v>TRANEXAMINEZUUR 500MG TABFO</v>
      </c>
      <c r="H1470" t="str">
        <f>VLOOKUP($A1470,[1]Table!$A$2:$N1612,H$1,FALSE)</f>
        <v>filmomhulde tablet</v>
      </c>
      <c r="I1470" t="str">
        <f>VLOOKUP($A1470,[1]Table!$A$2:$N1612,I$1,FALSE)</f>
        <v>or</v>
      </c>
      <c r="J1470">
        <f>VLOOKUP($A1470,[1]Table!$A$2:$N1612,J$1,FALSE)</f>
        <v>500</v>
      </c>
      <c r="K1470" t="str">
        <f>VLOOKUP($A1470,[1]Table!$A$2:$N1612,K$1,FALSE)</f>
        <v>mg/stuk</v>
      </c>
      <c r="L1470">
        <f>VLOOKUP($A1470,[1]Table!$A$2:$N1612,L$1,FALSE)</f>
        <v>500</v>
      </c>
      <c r="M1470" t="str">
        <f>VLOOKUP($A1470,[1]Table!$A$2:$N1612,M$1,FALSE)</f>
        <v>mg</v>
      </c>
      <c r="N1470" t="str">
        <f>VLOOKUP($A1470,[1]Table!$A$2:$N1612,N$1,FALSE)</f>
        <v>Slijmvliesbloedingen bij een stollingsstoornis</v>
      </c>
      <c r="O1470" t="str">
        <f>ConcatenateRange(AZ1470:BU1470,"||")</f>
        <v/>
      </c>
      <c r="AZ1470" t="str">
        <f t="shared" si="528"/>
        <v/>
      </c>
      <c r="BA1470" t="str">
        <f t="shared" si="529"/>
        <v/>
      </c>
      <c r="BB1470" t="str">
        <f t="shared" si="530"/>
        <v/>
      </c>
      <c r="BC1470" t="str">
        <f t="shared" si="531"/>
        <v/>
      </c>
      <c r="BD1470" t="str">
        <f t="shared" si="532"/>
        <v/>
      </c>
      <c r="BE1470" t="str">
        <f t="shared" si="533"/>
        <v/>
      </c>
      <c r="BF1470" t="str">
        <f t="shared" si="534"/>
        <v/>
      </c>
      <c r="BG1470" t="str">
        <f t="shared" si="535"/>
        <v/>
      </c>
      <c r="BH1470" t="str">
        <f t="shared" si="536"/>
        <v/>
      </c>
      <c r="BI1470" t="str">
        <f t="shared" si="537"/>
        <v/>
      </c>
      <c r="BJ1470" t="str">
        <f t="shared" si="538"/>
        <v/>
      </c>
      <c r="BK1470" t="str">
        <f t="shared" si="539"/>
        <v/>
      </c>
      <c r="BL1470" t="str">
        <f t="shared" si="540"/>
        <v/>
      </c>
      <c r="BM1470" t="str">
        <f t="shared" si="541"/>
        <v/>
      </c>
      <c r="BN1470" t="str">
        <f t="shared" si="542"/>
        <v/>
      </c>
      <c r="BO1470" t="str">
        <f t="shared" si="543"/>
        <v/>
      </c>
      <c r="BP1470" t="str">
        <f t="shared" si="544"/>
        <v/>
      </c>
      <c r="BQ1470" t="str">
        <f t="shared" si="545"/>
        <v/>
      </c>
      <c r="BR1470" t="str">
        <f t="shared" si="546"/>
        <v/>
      </c>
      <c r="BS1470" t="str">
        <f t="shared" si="547"/>
        <v/>
      </c>
      <c r="BT1470" t="str">
        <f t="shared" si="548"/>
        <v/>
      </c>
      <c r="BU1470" t="str">
        <f t="shared" si="549"/>
        <v/>
      </c>
    </row>
    <row r="1471" spans="1:73">
      <c r="A1471" s="1">
        <v>5983</v>
      </c>
      <c r="B1471" t="str">
        <f>VLOOKUP($A1471,[1]Table!$A$2:$N1613,B$1,FALSE)</f>
        <v>B02AA02</v>
      </c>
      <c r="C1471" t="str">
        <f>VLOOKUP($A1471,[1]Table!$A$2:$N1613,C$1,FALSE)</f>
        <v>ANTIHAEMORRHAGICA</v>
      </c>
      <c r="D1471" t="str">
        <f>VLOOKUP($A1471,[1]Table!$A$2:$N1613,D$1,FALSE)</f>
        <v>ANTIFIBRINOLYTICA</v>
      </c>
      <c r="E1471" t="str">
        <f>VLOOKUP($A1471,[1]Table!$A$2:$N1613,E$1,FALSE)</f>
        <v>TRANEXAMINEZUUR</v>
      </c>
      <c r="F1471" t="str">
        <f>VLOOKUP($A1471,[1]Table!$A$2:$N1613,F$1,FALSE)</f>
        <v>CYKLOKAPRON 100 MG/ML AMPUL 5 ML</v>
      </c>
      <c r="G1471" t="str">
        <f>VLOOKUP($A1471,[1]Table!$A$2:$N1613,G$1,FALSE)</f>
        <v>TRANEXAMINEZ 100MG/ML INJVL</v>
      </c>
      <c r="H1471" t="str">
        <f>VLOOKUP($A1471,[1]Table!$A$2:$N1613,H$1,FALSE)</f>
        <v>injectievloeistof</v>
      </c>
      <c r="I1471" t="str">
        <f>VLOOKUP($A1471,[1]Table!$A$2:$N1613,I$1,FALSE)</f>
        <v>iv</v>
      </c>
      <c r="J1471">
        <f>VLOOKUP($A1471,[1]Table!$A$2:$N1613,J$1,FALSE)</f>
        <v>100</v>
      </c>
      <c r="K1471" t="str">
        <f>VLOOKUP($A1471,[1]Table!$A$2:$N1613,K$1,FALSE)</f>
        <v>mg/ml</v>
      </c>
      <c r="L1471">
        <f>VLOOKUP($A1471,[1]Table!$A$2:$N1613,L$1,FALSE)</f>
        <v>100</v>
      </c>
      <c r="M1471" t="str">
        <f>VLOOKUP($A1471,[1]Table!$A$2:$N1613,M$1,FALSE)</f>
        <v>mg</v>
      </c>
      <c r="N1471" t="str">
        <f>VLOOKUP($A1471,[1]Table!$A$2:$N1613,N$1,FALSE)</f>
        <v>Slijmvliesbloedingen bij een stollingsstoornis</v>
      </c>
      <c r="O1471" t="str">
        <f>ConcatenateRange(AZ1471:BU1471,"||")</f>
        <v/>
      </c>
      <c r="AZ1471" t="str">
        <f t="shared" si="528"/>
        <v/>
      </c>
      <c r="BA1471" t="str">
        <f t="shared" si="529"/>
        <v/>
      </c>
      <c r="BB1471" t="str">
        <f t="shared" si="530"/>
        <v/>
      </c>
      <c r="BC1471" t="str">
        <f t="shared" si="531"/>
        <v/>
      </c>
      <c r="BD1471" t="str">
        <f t="shared" si="532"/>
        <v/>
      </c>
      <c r="BE1471" t="str">
        <f t="shared" si="533"/>
        <v/>
      </c>
      <c r="BF1471" t="str">
        <f t="shared" si="534"/>
        <v/>
      </c>
      <c r="BG1471" t="str">
        <f t="shared" si="535"/>
        <v/>
      </c>
      <c r="BH1471" t="str">
        <f t="shared" si="536"/>
        <v/>
      </c>
      <c r="BI1471" t="str">
        <f t="shared" si="537"/>
        <v/>
      </c>
      <c r="BJ1471" t="str">
        <f t="shared" si="538"/>
        <v/>
      </c>
      <c r="BK1471" t="str">
        <f t="shared" si="539"/>
        <v/>
      </c>
      <c r="BL1471" t="str">
        <f t="shared" si="540"/>
        <v/>
      </c>
      <c r="BM1471" t="str">
        <f t="shared" si="541"/>
        <v/>
      </c>
      <c r="BN1471" t="str">
        <f t="shared" si="542"/>
        <v/>
      </c>
      <c r="BO1471" t="str">
        <f t="shared" si="543"/>
        <v/>
      </c>
      <c r="BP1471" t="str">
        <f t="shared" si="544"/>
        <v/>
      </c>
      <c r="BQ1471" t="str">
        <f t="shared" si="545"/>
        <v/>
      </c>
      <c r="BR1471" t="str">
        <f t="shared" si="546"/>
        <v/>
      </c>
      <c r="BS1471" t="str">
        <f t="shared" si="547"/>
        <v/>
      </c>
      <c r="BT1471" t="str">
        <f t="shared" si="548"/>
        <v/>
      </c>
      <c r="BU1471" t="str">
        <f t="shared" si="549"/>
        <v/>
      </c>
    </row>
    <row r="1472" spans="1:73">
      <c r="A1472" s="1">
        <v>114782</v>
      </c>
      <c r="B1472" t="str">
        <f>VLOOKUP($A1472,[1]Table!$A$2:$N1614,B$1,FALSE)</f>
        <v>S01EE04</v>
      </c>
      <c r="C1472" t="str">
        <f>VLOOKUP($A1472,[1]Table!$A$2:$N1614,C$1,FALSE)</f>
        <v>MIDDELEN VOOR OOGHEELKUNDIG GEBRUIK</v>
      </c>
      <c r="D1472" t="str">
        <f>VLOOKUP($A1472,[1]Table!$A$2:$N1614,D$1,FALSE)</f>
        <v>GLAUCOOMMIDDELEN EN MIOTICA</v>
      </c>
      <c r="E1472" t="str">
        <f>VLOOKUP($A1472,[1]Table!$A$2:$N1614,E$1,FALSE)</f>
        <v>TRAVOPROST</v>
      </c>
      <c r="F1472" t="str">
        <f>VLOOKUP($A1472,[1]Table!$A$2:$N1614,F$1,FALSE)</f>
        <v>TRAVATAN 40 MICROG/ML OOGDRUPPELS 2,5 ML</v>
      </c>
      <c r="G1472" t="str">
        <f>VLOOKUP($A1472,[1]Table!$A$2:$N1614,G$1,FALSE)</f>
        <v>TRAVOPROST 40UG/ML OOGDRUPP</v>
      </c>
      <c r="H1472" t="str">
        <f>VLOOKUP($A1472,[1]Table!$A$2:$N1614,H$1,FALSE)</f>
        <v>oogdruppels</v>
      </c>
      <c r="I1472" t="str">
        <f>VLOOKUP($A1472,[1]Table!$A$2:$N1614,I$1,FALSE)</f>
        <v>oog</v>
      </c>
      <c r="J1472">
        <f>VLOOKUP($A1472,[1]Table!$A$2:$N1614,J$1,FALSE)</f>
        <v>40</v>
      </c>
      <c r="K1472" t="str">
        <f>VLOOKUP($A1472,[1]Table!$A$2:$N1614,K$1,FALSE)</f>
        <v>mcg/ml</v>
      </c>
      <c r="L1472">
        <f>VLOOKUP($A1472,[1]Table!$A$2:$N1614,L$1,FALSE)</f>
        <v>40</v>
      </c>
      <c r="M1472" t="str">
        <f>VLOOKUP($A1472,[1]Table!$A$2:$N1614,M$1,FALSE)</f>
        <v>mcg</v>
      </c>
      <c r="N1472" t="str">
        <f>VLOOKUP($A1472,[1]Table!$A$2:$N1614,N$1,FALSE)</f>
        <v>Glaucoom</v>
      </c>
      <c r="O1472" t="str">
        <f>ConcatenateRange(AZ1472:BU1472,"||")</f>
        <v/>
      </c>
      <c r="AZ1472" t="str">
        <f t="shared" si="528"/>
        <v/>
      </c>
      <c r="BA1472" t="str">
        <f t="shared" si="529"/>
        <v/>
      </c>
      <c r="BB1472" t="str">
        <f t="shared" si="530"/>
        <v/>
      </c>
      <c r="BC1472" t="str">
        <f t="shared" si="531"/>
        <v/>
      </c>
      <c r="BD1472" t="str">
        <f t="shared" si="532"/>
        <v/>
      </c>
      <c r="BE1472" t="str">
        <f t="shared" si="533"/>
        <v/>
      </c>
      <c r="BF1472" t="str">
        <f t="shared" si="534"/>
        <v/>
      </c>
      <c r="BG1472" t="str">
        <f t="shared" si="535"/>
        <v/>
      </c>
      <c r="BH1472" t="str">
        <f t="shared" si="536"/>
        <v/>
      </c>
      <c r="BI1472" t="str">
        <f t="shared" si="537"/>
        <v/>
      </c>
      <c r="BJ1472" t="str">
        <f t="shared" si="538"/>
        <v/>
      </c>
      <c r="BK1472" t="str">
        <f t="shared" si="539"/>
        <v/>
      </c>
      <c r="BL1472" t="str">
        <f t="shared" si="540"/>
        <v/>
      </c>
      <c r="BM1472" t="str">
        <f t="shared" si="541"/>
        <v/>
      </c>
      <c r="BN1472" t="str">
        <f t="shared" si="542"/>
        <v/>
      </c>
      <c r="BO1472" t="str">
        <f t="shared" si="543"/>
        <v/>
      </c>
      <c r="BP1472" t="str">
        <f t="shared" si="544"/>
        <v/>
      </c>
      <c r="BQ1472" t="str">
        <f t="shared" si="545"/>
        <v/>
      </c>
      <c r="BR1472" t="str">
        <f t="shared" si="546"/>
        <v/>
      </c>
      <c r="BS1472" t="str">
        <f t="shared" si="547"/>
        <v/>
      </c>
      <c r="BT1472" t="str">
        <f t="shared" si="548"/>
        <v/>
      </c>
      <c r="BU1472" t="str">
        <f t="shared" si="549"/>
        <v/>
      </c>
    </row>
    <row r="1473" spans="1:73">
      <c r="A1473" s="1">
        <v>98779</v>
      </c>
      <c r="B1473" t="str">
        <f>VLOOKUP($A1473,[1]Table!$A$2:$N1615,B$1,FALSE)</f>
        <v>D10AD01</v>
      </c>
      <c r="C1473" t="str">
        <f>VLOOKUP($A1473,[1]Table!$A$2:$N1615,C$1,FALSE)</f>
        <v>ACNEPREPARATEN</v>
      </c>
      <c r="D1473" t="str">
        <f>VLOOKUP($A1473,[1]Table!$A$2:$N1615,D$1,FALSE)</f>
        <v>ACNEPREPARATEN, LOKALE</v>
      </c>
      <c r="E1473" t="str">
        <f>VLOOKUP($A1473,[1]Table!$A$2:$N1615,E$1,FALSE)</f>
        <v>TRETINOINE</v>
      </c>
      <c r="F1473" t="str">
        <f>VLOOKUP($A1473,[1]Table!$A$2:$N1615,F$1,FALSE)</f>
        <v>TRETINOINE 0,02 % CREME 30 G</v>
      </c>
      <c r="G1473" t="str">
        <f>VLOOKUP($A1473,[1]Table!$A$2:$N1615,G$1,FALSE)</f>
        <v>TRETINOINE 0,2MG/G CREME</v>
      </c>
      <c r="H1473" t="str">
        <f>VLOOKUP($A1473,[1]Table!$A$2:$N1615,H$1,FALSE)</f>
        <v>creme</v>
      </c>
      <c r="I1473" t="str">
        <f>VLOOKUP($A1473,[1]Table!$A$2:$N1615,I$1,FALSE)</f>
        <v>cutaan</v>
      </c>
      <c r="J1473">
        <f>VLOOKUP($A1473,[1]Table!$A$2:$N1615,J$1,FALSE)</f>
        <v>0.2</v>
      </c>
      <c r="K1473" t="str">
        <f>VLOOKUP($A1473,[1]Table!$A$2:$N1615,K$1,FALSE)</f>
        <v>mg/gr</v>
      </c>
      <c r="L1473">
        <f>VLOOKUP($A1473,[1]Table!$A$2:$N1615,L$1,FALSE)</f>
        <v>0.2</v>
      </c>
      <c r="M1473" t="str">
        <f>VLOOKUP($A1473,[1]Table!$A$2:$N1615,M$1,FALSE)</f>
        <v>mg</v>
      </c>
      <c r="N1473" t="str">
        <f>VLOOKUP($A1473,[1]Table!$A$2:$N1615,N$1,FALSE)</f>
        <v>Milde tot ernstige acne infantum en acne vulgaris||Verrucae planae</v>
      </c>
      <c r="O1473" t="str">
        <f>ConcatenateRange(AZ1473:BU1473,"||")</f>
        <v/>
      </c>
      <c r="AZ1473" t="str">
        <f t="shared" si="528"/>
        <v/>
      </c>
      <c r="BA1473" t="str">
        <f t="shared" si="529"/>
        <v/>
      </c>
      <c r="BB1473" t="str">
        <f t="shared" si="530"/>
        <v/>
      </c>
      <c r="BC1473" t="str">
        <f t="shared" si="531"/>
        <v/>
      </c>
      <c r="BD1473" t="str">
        <f t="shared" si="532"/>
        <v/>
      </c>
      <c r="BE1473" t="str">
        <f t="shared" si="533"/>
        <v/>
      </c>
      <c r="BF1473" t="str">
        <f t="shared" si="534"/>
        <v/>
      </c>
      <c r="BG1473" t="str">
        <f t="shared" si="535"/>
        <v/>
      </c>
      <c r="BH1473" t="str">
        <f t="shared" si="536"/>
        <v/>
      </c>
      <c r="BI1473" t="str">
        <f t="shared" si="537"/>
        <v/>
      </c>
      <c r="BJ1473" t="str">
        <f t="shared" si="538"/>
        <v/>
      </c>
      <c r="BK1473" t="str">
        <f t="shared" si="539"/>
        <v/>
      </c>
      <c r="BL1473" t="str">
        <f t="shared" si="540"/>
        <v/>
      </c>
      <c r="BM1473" t="str">
        <f t="shared" si="541"/>
        <v/>
      </c>
      <c r="BN1473" t="str">
        <f t="shared" si="542"/>
        <v/>
      </c>
      <c r="BO1473" t="str">
        <f t="shared" si="543"/>
        <v/>
      </c>
      <c r="BP1473" t="str">
        <f t="shared" si="544"/>
        <v/>
      </c>
      <c r="BQ1473" t="str">
        <f t="shared" si="545"/>
        <v/>
      </c>
      <c r="BR1473" t="str">
        <f t="shared" si="546"/>
        <v/>
      </c>
      <c r="BS1473" t="str">
        <f t="shared" si="547"/>
        <v/>
      </c>
      <c r="BT1473" t="str">
        <f t="shared" si="548"/>
        <v/>
      </c>
      <c r="BU1473" t="str">
        <f t="shared" si="549"/>
        <v/>
      </c>
    </row>
    <row r="1474" spans="1:73">
      <c r="A1474" s="1">
        <v>10545</v>
      </c>
      <c r="B1474" t="str">
        <f>VLOOKUP($A1474,[1]Table!$A$2:$N1616,B$1,FALSE)</f>
        <v>D10AD01</v>
      </c>
      <c r="C1474" t="str">
        <f>VLOOKUP($A1474,[1]Table!$A$2:$N1616,C$1,FALSE)</f>
        <v>ACNEPREPARATEN</v>
      </c>
      <c r="D1474" t="str">
        <f>VLOOKUP($A1474,[1]Table!$A$2:$N1616,D$1,FALSE)</f>
        <v>ACNEPREPARATEN, LOKALE</v>
      </c>
      <c r="E1474" t="str">
        <f>VLOOKUP($A1474,[1]Table!$A$2:$N1616,E$1,FALSE)</f>
        <v>TRETINOINE</v>
      </c>
      <c r="F1474" t="str">
        <f>VLOOKUP($A1474,[1]Table!$A$2:$N1616,F$1,FALSE)</f>
        <v>ACID A VIT 0.5 MG/G CREME 20G</v>
      </c>
      <c r="G1474" t="str">
        <f>VLOOKUP($A1474,[1]Table!$A$2:$N1616,G$1,FALSE)</f>
        <v>TRETINOINE 0,5MG/G CREME</v>
      </c>
      <c r="H1474" t="str">
        <f>VLOOKUP($A1474,[1]Table!$A$2:$N1616,H$1,FALSE)</f>
        <v>creme</v>
      </c>
      <c r="I1474" t="str">
        <f>VLOOKUP($A1474,[1]Table!$A$2:$N1616,I$1,FALSE)</f>
        <v>cutaan</v>
      </c>
      <c r="J1474">
        <f>VLOOKUP($A1474,[1]Table!$A$2:$N1616,J$1,FALSE)</f>
        <v>0.5</v>
      </c>
      <c r="K1474" t="str">
        <f>VLOOKUP($A1474,[1]Table!$A$2:$N1616,K$1,FALSE)</f>
        <v>mg/gr</v>
      </c>
      <c r="L1474">
        <f>VLOOKUP($A1474,[1]Table!$A$2:$N1616,L$1,FALSE)</f>
        <v>0.5</v>
      </c>
      <c r="M1474" t="str">
        <f>VLOOKUP($A1474,[1]Table!$A$2:$N1616,M$1,FALSE)</f>
        <v>mg</v>
      </c>
      <c r="N1474" t="str">
        <f>VLOOKUP($A1474,[1]Table!$A$2:$N1616,N$1,FALSE)</f>
        <v>Milde tot ernstige acne infantum en acne vulgaris||Verrucae planae</v>
      </c>
      <c r="O1474" t="str">
        <f>ConcatenateRange(AZ1474:BU1474,"||")</f>
        <v/>
      </c>
      <c r="AZ1474" t="str">
        <f t="shared" si="528"/>
        <v/>
      </c>
      <c r="BA1474" t="str">
        <f t="shared" si="529"/>
        <v/>
      </c>
      <c r="BB1474" t="str">
        <f t="shared" si="530"/>
        <v/>
      </c>
      <c r="BC1474" t="str">
        <f t="shared" si="531"/>
        <v/>
      </c>
      <c r="BD1474" t="str">
        <f t="shared" si="532"/>
        <v/>
      </c>
      <c r="BE1474" t="str">
        <f t="shared" si="533"/>
        <v/>
      </c>
      <c r="BF1474" t="str">
        <f t="shared" si="534"/>
        <v/>
      </c>
      <c r="BG1474" t="str">
        <f t="shared" si="535"/>
        <v/>
      </c>
      <c r="BH1474" t="str">
        <f t="shared" si="536"/>
        <v/>
      </c>
      <c r="BI1474" t="str">
        <f t="shared" si="537"/>
        <v/>
      </c>
      <c r="BJ1474" t="str">
        <f t="shared" si="538"/>
        <v/>
      </c>
      <c r="BK1474" t="str">
        <f t="shared" si="539"/>
        <v/>
      </c>
      <c r="BL1474" t="str">
        <f t="shared" si="540"/>
        <v/>
      </c>
      <c r="BM1474" t="str">
        <f t="shared" si="541"/>
        <v/>
      </c>
      <c r="BN1474" t="str">
        <f t="shared" si="542"/>
        <v/>
      </c>
      <c r="BO1474" t="str">
        <f t="shared" si="543"/>
        <v/>
      </c>
      <c r="BP1474" t="str">
        <f t="shared" si="544"/>
        <v/>
      </c>
      <c r="BQ1474" t="str">
        <f t="shared" si="545"/>
        <v/>
      </c>
      <c r="BR1474" t="str">
        <f t="shared" si="546"/>
        <v/>
      </c>
      <c r="BS1474" t="str">
        <f t="shared" si="547"/>
        <v/>
      </c>
      <c r="BT1474" t="str">
        <f t="shared" si="548"/>
        <v/>
      </c>
      <c r="BU1474" t="str">
        <f t="shared" si="549"/>
        <v/>
      </c>
    </row>
    <row r="1475" spans="1:73">
      <c r="A1475" s="1">
        <v>120987</v>
      </c>
      <c r="B1475" t="str">
        <f>VLOOKUP($A1475,[1]Table!$A$2:$N1617,B$1,FALSE)</f>
        <v>D07AB09</v>
      </c>
      <c r="C1475" t="str">
        <f>VLOOKUP($A1475,[1]Table!$A$2:$N1617,C$1,FALSE)</f>
        <v>DERMATOLOGISCHE CORTICOSTEROIDEN</v>
      </c>
      <c r="D1475" t="str">
        <f>VLOOKUP($A1475,[1]Table!$A$2:$N1617,D$1,FALSE)</f>
        <v>ENKELVOUDIGE CORTICOSTEROIDEN</v>
      </c>
      <c r="E1475" t="str">
        <f>VLOOKUP($A1475,[1]Table!$A$2:$N1617,E$1,FALSE)</f>
        <v>TRIAMCINOLONACETONIDE</v>
      </c>
      <c r="F1475" t="str">
        <f>VLOOKUP($A1475,[1]Table!$A$2:$N1617,F$1,FALSE)</f>
        <v>TRIAMCINOLON 1 MG/G FNA CREME 30G</v>
      </c>
      <c r="G1475" t="str">
        <f>VLOOKUP($A1475,[1]Table!$A$2:$N1617,G$1,FALSE)</f>
        <v>TRIAMCINOLONACETON 1MG/G CR</v>
      </c>
      <c r="H1475" t="str">
        <f>VLOOKUP($A1475,[1]Table!$A$2:$N1617,H$1,FALSE)</f>
        <v>creme</v>
      </c>
      <c r="I1475" t="str">
        <f>VLOOKUP($A1475,[1]Table!$A$2:$N1617,I$1,FALSE)</f>
        <v>cutaan</v>
      </c>
      <c r="J1475">
        <f>VLOOKUP($A1475,[1]Table!$A$2:$N1617,J$1,FALSE)</f>
        <v>1</v>
      </c>
      <c r="K1475" t="str">
        <f>VLOOKUP($A1475,[1]Table!$A$2:$N1617,K$1,FALSE)</f>
        <v>mg/gr</v>
      </c>
      <c r="L1475">
        <f>VLOOKUP($A1475,[1]Table!$A$2:$N1617,L$1,FALSE)</f>
        <v>1</v>
      </c>
      <c r="M1475" t="str">
        <f>VLOOKUP($A1475,[1]Table!$A$2:$N1617,M$1,FALSE)</f>
        <v>mg</v>
      </c>
      <c r="N1475" t="str">
        <f>VLOOKUP($A1475,[1]Table!$A$2:$N1617,N$1,FALSE)</f>
        <v>Constitutioneel eczeem</v>
      </c>
      <c r="O1475" t="str">
        <f>ConcatenateRange(AZ1475:BU1475,"||")</f>
        <v/>
      </c>
      <c r="AZ1475" t="str">
        <f t="shared" si="528"/>
        <v/>
      </c>
      <c r="BA1475" t="str">
        <f t="shared" si="529"/>
        <v/>
      </c>
      <c r="BB1475" t="str">
        <f t="shared" si="530"/>
        <v/>
      </c>
      <c r="BC1475" t="str">
        <f t="shared" si="531"/>
        <v/>
      </c>
      <c r="BD1475" t="str">
        <f t="shared" si="532"/>
        <v/>
      </c>
      <c r="BE1475" t="str">
        <f t="shared" si="533"/>
        <v/>
      </c>
      <c r="BF1475" t="str">
        <f t="shared" si="534"/>
        <v/>
      </c>
      <c r="BG1475" t="str">
        <f t="shared" si="535"/>
        <v/>
      </c>
      <c r="BH1475" t="str">
        <f t="shared" si="536"/>
        <v/>
      </c>
      <c r="BI1475" t="str">
        <f t="shared" si="537"/>
        <v/>
      </c>
      <c r="BJ1475" t="str">
        <f t="shared" si="538"/>
        <v/>
      </c>
      <c r="BK1475" t="str">
        <f t="shared" si="539"/>
        <v/>
      </c>
      <c r="BL1475" t="str">
        <f t="shared" si="540"/>
        <v/>
      </c>
      <c r="BM1475" t="str">
        <f t="shared" si="541"/>
        <v/>
      </c>
      <c r="BN1475" t="str">
        <f t="shared" si="542"/>
        <v/>
      </c>
      <c r="BO1475" t="str">
        <f t="shared" si="543"/>
        <v/>
      </c>
      <c r="BP1475" t="str">
        <f t="shared" si="544"/>
        <v/>
      </c>
      <c r="BQ1475" t="str">
        <f t="shared" si="545"/>
        <v/>
      </c>
      <c r="BR1475" t="str">
        <f t="shared" si="546"/>
        <v/>
      </c>
      <c r="BS1475" t="str">
        <f t="shared" si="547"/>
        <v/>
      </c>
      <c r="BT1475" t="str">
        <f t="shared" si="548"/>
        <v/>
      </c>
      <c r="BU1475" t="str">
        <f t="shared" si="549"/>
        <v/>
      </c>
    </row>
    <row r="1476" spans="1:73">
      <c r="A1476" s="1">
        <v>120227</v>
      </c>
      <c r="B1476" t="str">
        <f>VLOOKUP($A1476,[1]Table!$A$2:$N1619,B$1,FALSE)</f>
        <v>H02AB08</v>
      </c>
      <c r="C1476" t="str">
        <f>VLOOKUP($A1476,[1]Table!$A$2:$N1619,C$1,FALSE)</f>
        <v>CORTICOSTEROIDEN VOOR SYSTEMISCH GEBRUIK</v>
      </c>
      <c r="D1476" t="str">
        <f>VLOOKUP($A1476,[1]Table!$A$2:$N1619,D$1,FALSE)</f>
        <v>CORTICOSTEROIDEN VOOR SYSTEMISCH GEBRUIK</v>
      </c>
      <c r="E1476" t="str">
        <f>VLOOKUP($A1476,[1]Table!$A$2:$N1619,E$1,FALSE)</f>
        <v>TRIAMCINOLONACETONIDE</v>
      </c>
      <c r="F1476" t="str">
        <f>VLOOKUP($A1476,[1]Table!$A$2:$N1619,F$1,FALSE)</f>
        <v>KENACORT A 10 SUSPENSIE AMPUL 1ML</v>
      </c>
      <c r="G1476" t="str">
        <f>VLOOKUP($A1476,[1]Table!$A$2:$N1619,G$1,FALSE)</f>
        <v>TRIAMCINOLACET 10MG/ML INJS</v>
      </c>
      <c r="H1476" t="str">
        <f>VLOOKUP($A1476,[1]Table!$A$2:$N1619,H$1,FALSE)</f>
        <v>suspensie voor injectie</v>
      </c>
      <c r="I1476" t="str">
        <f>VLOOKUP($A1476,[1]Table!$A$2:$N1619,I$1,FALSE)</f>
        <v>intraartic||lesion</v>
      </c>
      <c r="J1476">
        <f>VLOOKUP($A1476,[1]Table!$A$2:$N1619,J$1,FALSE)</f>
        <v>10</v>
      </c>
      <c r="K1476" t="str">
        <f>VLOOKUP($A1476,[1]Table!$A$2:$N1619,K$1,FALSE)</f>
        <v>mg/ml</v>
      </c>
      <c r="L1476">
        <f>VLOOKUP($A1476,[1]Table!$A$2:$N1619,L$1,FALSE)</f>
        <v>10</v>
      </c>
      <c r="M1476" t="str">
        <f>VLOOKUP($A1476,[1]Table!$A$2:$N1619,M$1,FALSE)</f>
        <v>mg</v>
      </c>
      <c r="N1476" t="str">
        <f>VLOOKUP($A1476,[1]Table!$A$2:$N1619,N$1,FALSE)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6" t="str">
        <f>ConcatenateRange(AZ1476:BU1476,"||")</f>
        <v/>
      </c>
      <c r="AZ1476" t="str">
        <f t="shared" si="528"/>
        <v/>
      </c>
      <c r="BA1476" t="str">
        <f t="shared" si="529"/>
        <v/>
      </c>
      <c r="BB1476" t="str">
        <f t="shared" si="530"/>
        <v/>
      </c>
      <c r="BC1476" t="str">
        <f t="shared" si="531"/>
        <v/>
      </c>
      <c r="BD1476" t="str">
        <f t="shared" si="532"/>
        <v/>
      </c>
      <c r="BE1476" t="str">
        <f t="shared" si="533"/>
        <v/>
      </c>
      <c r="BF1476" t="str">
        <f t="shared" si="534"/>
        <v/>
      </c>
      <c r="BG1476" t="str">
        <f t="shared" si="535"/>
        <v/>
      </c>
      <c r="BH1476" t="str">
        <f t="shared" si="536"/>
        <v/>
      </c>
      <c r="BI1476" t="str">
        <f t="shared" si="537"/>
        <v/>
      </c>
      <c r="BJ1476" t="str">
        <f t="shared" si="538"/>
        <v/>
      </c>
      <c r="BK1476" t="str">
        <f t="shared" si="539"/>
        <v/>
      </c>
      <c r="BL1476" t="str">
        <f t="shared" si="540"/>
        <v/>
      </c>
      <c r="BM1476" t="str">
        <f t="shared" si="541"/>
        <v/>
      </c>
      <c r="BN1476" t="str">
        <f t="shared" si="542"/>
        <v/>
      </c>
      <c r="BO1476" t="str">
        <f t="shared" si="543"/>
        <v/>
      </c>
      <c r="BP1476" t="str">
        <f t="shared" si="544"/>
        <v/>
      </c>
      <c r="BQ1476" t="str">
        <f t="shared" si="545"/>
        <v/>
      </c>
      <c r="BR1476" t="str">
        <f t="shared" si="546"/>
        <v/>
      </c>
      <c r="BS1476" t="str">
        <f t="shared" si="547"/>
        <v/>
      </c>
      <c r="BT1476" t="str">
        <f t="shared" si="548"/>
        <v/>
      </c>
      <c r="BU1476" t="str">
        <f t="shared" si="549"/>
        <v/>
      </c>
    </row>
    <row r="1477" spans="1:73">
      <c r="A1477" s="1">
        <v>120219</v>
      </c>
      <c r="B1477" t="str">
        <f>VLOOKUP($A1477,[1]Table!$A$2:$N1618,B$1,FALSE)</f>
        <v>H02AB08</v>
      </c>
      <c r="C1477" t="str">
        <f>VLOOKUP($A1477,[1]Table!$A$2:$N1618,C$1,FALSE)</f>
        <v>CORTICOSTEROIDEN VOOR SYSTEMISCH GEBRUIK</v>
      </c>
      <c r="D1477" t="str">
        <f>VLOOKUP($A1477,[1]Table!$A$2:$N1618,D$1,FALSE)</f>
        <v>CORTICOSTEROIDEN VOOR SYSTEMISCH GEBRUIK</v>
      </c>
      <c r="E1477" t="str">
        <f>VLOOKUP($A1477,[1]Table!$A$2:$N1618,E$1,FALSE)</f>
        <v>TRIAMCINOLONACETONIDE</v>
      </c>
      <c r="F1477" t="str">
        <f>VLOOKUP($A1477,[1]Table!$A$2:$N1618,F$1,FALSE)</f>
        <v>KENACORT A 40 SUSPENSIE FLACON 1 ML</v>
      </c>
      <c r="G1477" t="str">
        <f>VLOOKUP($A1477,[1]Table!$A$2:$N1618,G$1,FALSE)</f>
        <v>TRIAMCINOLACET 40MG/ML INJS</v>
      </c>
      <c r="H1477" t="str">
        <f>VLOOKUP($A1477,[1]Table!$A$2:$N1618,H$1,FALSE)</f>
        <v>suspensie voor injectie</v>
      </c>
      <c r="I1477" t="str">
        <f>VLOOKUP($A1477,[1]Table!$A$2:$N1618,I$1,FALSE)</f>
        <v>im||intraartic||intraburs</v>
      </c>
      <c r="J1477">
        <f>VLOOKUP($A1477,[1]Table!$A$2:$N1618,J$1,FALSE)</f>
        <v>40</v>
      </c>
      <c r="K1477" t="str">
        <f>VLOOKUP($A1477,[1]Table!$A$2:$N1618,K$1,FALSE)</f>
        <v>mg/ml</v>
      </c>
      <c r="L1477">
        <f>VLOOKUP($A1477,[1]Table!$A$2:$N1618,L$1,FALSE)</f>
        <v>40</v>
      </c>
      <c r="M1477" t="str">
        <f>VLOOKUP($A1477,[1]Table!$A$2:$N1618,M$1,FALSE)</f>
        <v>mg</v>
      </c>
      <c r="N1477" t="str">
        <f>VLOOKUP($A1477,[1]Table!$A$2:$N1618,N$1,FALSE)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7" t="str">
        <f>ConcatenateRange(AZ1477:BU1477,"||")</f>
        <v/>
      </c>
      <c r="AZ1477" t="str">
        <f t="shared" si="528"/>
        <v/>
      </c>
      <c r="BA1477" t="str">
        <f t="shared" si="529"/>
        <v/>
      </c>
      <c r="BB1477" t="str">
        <f t="shared" si="530"/>
        <v/>
      </c>
      <c r="BC1477" t="str">
        <f t="shared" si="531"/>
        <v/>
      </c>
      <c r="BD1477" t="str">
        <f t="shared" si="532"/>
        <v/>
      </c>
      <c r="BE1477" t="str">
        <f t="shared" si="533"/>
        <v/>
      </c>
      <c r="BF1477" t="str">
        <f t="shared" si="534"/>
        <v/>
      </c>
      <c r="BG1477" t="str">
        <f t="shared" si="535"/>
        <v/>
      </c>
      <c r="BH1477" t="str">
        <f t="shared" si="536"/>
        <v/>
      </c>
      <c r="BI1477" t="str">
        <f t="shared" si="537"/>
        <v/>
      </c>
      <c r="BJ1477" t="str">
        <f t="shared" si="538"/>
        <v/>
      </c>
      <c r="BK1477" t="str">
        <f t="shared" si="539"/>
        <v/>
      </c>
      <c r="BL1477" t="str">
        <f t="shared" si="540"/>
        <v/>
      </c>
      <c r="BM1477" t="str">
        <f t="shared" si="541"/>
        <v/>
      </c>
      <c r="BN1477" t="str">
        <f t="shared" si="542"/>
        <v/>
      </c>
      <c r="BO1477" t="str">
        <f t="shared" si="543"/>
        <v/>
      </c>
      <c r="BP1477" t="str">
        <f t="shared" si="544"/>
        <v/>
      </c>
      <c r="BQ1477" t="str">
        <f t="shared" si="545"/>
        <v/>
      </c>
      <c r="BR1477" t="str">
        <f t="shared" si="546"/>
        <v/>
      </c>
      <c r="BS1477" t="str">
        <f t="shared" si="547"/>
        <v/>
      </c>
      <c r="BT1477" t="str">
        <f t="shared" si="548"/>
        <v/>
      </c>
      <c r="BU1477" t="str">
        <f t="shared" si="549"/>
        <v/>
      </c>
    </row>
    <row r="1478" spans="1:73">
      <c r="A1478" s="1">
        <v>35874</v>
      </c>
      <c r="B1478" t="str">
        <f>VLOOKUP($A1478,[1]Table!$A$2:$N1620,B$1,FALSE)</f>
        <v>D07AB09</v>
      </c>
      <c r="C1478" t="str">
        <f>VLOOKUP($A1478,[1]Table!$A$2:$N1620,C$1,FALSE)</f>
        <v>DERMATOLOGISCHE CORTICOSTEROIDEN</v>
      </c>
      <c r="D1478" t="str">
        <f>VLOOKUP($A1478,[1]Table!$A$2:$N1620,D$1,FALSE)</f>
        <v>ENKELVOUDIGE CORTICOSTEROIDEN</v>
      </c>
      <c r="E1478" t="str">
        <f>VLOOKUP($A1478,[1]Table!$A$2:$N1620,E$1,FALSE)</f>
        <v>TRIAMCINOLONACETONIDE</v>
      </c>
      <c r="F1478" t="str">
        <f>VLOOKUP($A1478,[1]Table!$A$2:$N1620,F$1,FALSE)</f>
        <v>TRIAMCINOLONACET 0,1% VASELINE/PARAFFINE ZALF  DMB</v>
      </c>
      <c r="G1478" t="str">
        <f>VLOOKUP($A1478,[1]Table!$A$2:$N1620,G$1,FALSE)</f>
        <v>TRIAMCINOLONACETO 1MG/GZALF</v>
      </c>
      <c r="H1478" t="str">
        <f>VLOOKUP($A1478,[1]Table!$A$2:$N1620,H$1,FALSE)</f>
        <v>zalf</v>
      </c>
      <c r="I1478" t="str">
        <f>VLOOKUP($A1478,[1]Table!$A$2:$N1620,I$1,FALSE)</f>
        <v>cutaan</v>
      </c>
      <c r="J1478">
        <f>VLOOKUP($A1478,[1]Table!$A$2:$N1620,J$1,FALSE)</f>
        <v>1</v>
      </c>
      <c r="K1478" t="str">
        <f>VLOOKUP($A1478,[1]Table!$A$2:$N1620,K$1,FALSE)</f>
        <v>mg/gr</v>
      </c>
      <c r="L1478">
        <f>VLOOKUP($A1478,[1]Table!$A$2:$N1620,L$1,FALSE)</f>
        <v>1</v>
      </c>
      <c r="M1478" t="str">
        <f>VLOOKUP($A1478,[1]Table!$A$2:$N1620,M$1,FALSE)</f>
        <v>mg</v>
      </c>
      <c r="N1478" t="str">
        <f>VLOOKUP($A1478,[1]Table!$A$2:$N1620,N$1,FALSE)</f>
        <v>Constitutioneel eczeem</v>
      </c>
      <c r="O1478" t="str">
        <f>ConcatenateRange(AZ1478:BU1478,"||")</f>
        <v/>
      </c>
      <c r="AZ1478" t="str">
        <f t="shared" si="528"/>
        <v/>
      </c>
      <c r="BA1478" t="str">
        <f t="shared" si="529"/>
        <v/>
      </c>
      <c r="BB1478" t="str">
        <f t="shared" si="530"/>
        <v/>
      </c>
      <c r="BC1478" t="str">
        <f t="shared" si="531"/>
        <v/>
      </c>
      <c r="BD1478" t="str">
        <f t="shared" si="532"/>
        <v/>
      </c>
      <c r="BE1478" t="str">
        <f t="shared" si="533"/>
        <v/>
      </c>
      <c r="BF1478" t="str">
        <f t="shared" si="534"/>
        <v/>
      </c>
      <c r="BG1478" t="str">
        <f t="shared" si="535"/>
        <v/>
      </c>
      <c r="BH1478" t="str">
        <f t="shared" si="536"/>
        <v/>
      </c>
      <c r="BI1478" t="str">
        <f t="shared" si="537"/>
        <v/>
      </c>
      <c r="BJ1478" t="str">
        <f t="shared" si="538"/>
        <v/>
      </c>
      <c r="BK1478" t="str">
        <f t="shared" si="539"/>
        <v/>
      </c>
      <c r="BL1478" t="str">
        <f t="shared" si="540"/>
        <v/>
      </c>
      <c r="BM1478" t="str">
        <f t="shared" si="541"/>
        <v/>
      </c>
      <c r="BN1478" t="str">
        <f t="shared" si="542"/>
        <v/>
      </c>
      <c r="BO1478" t="str">
        <f t="shared" si="543"/>
        <v/>
      </c>
      <c r="BP1478" t="str">
        <f t="shared" si="544"/>
        <v/>
      </c>
      <c r="BQ1478" t="str">
        <f t="shared" si="545"/>
        <v/>
      </c>
      <c r="BR1478" t="str">
        <f t="shared" si="546"/>
        <v/>
      </c>
      <c r="BS1478" t="str">
        <f t="shared" si="547"/>
        <v/>
      </c>
      <c r="BT1478" t="str">
        <f t="shared" si="548"/>
        <v/>
      </c>
      <c r="BU1478" t="str">
        <f t="shared" si="549"/>
        <v/>
      </c>
    </row>
    <row r="1479" spans="1:73">
      <c r="A1479" s="1">
        <v>151246</v>
      </c>
      <c r="B1479" t="str">
        <f>VLOOKUP($A1479,[1]Table!$A$2:$N1621,B$1,FALSE)</f>
        <v>D10AF51</v>
      </c>
      <c r="C1479" t="str">
        <f>VLOOKUP($A1479,[1]Table!$A$2:$N1621,C$1,FALSE)</f>
        <v>ACNEPREPARATEN</v>
      </c>
      <c r="D1479" t="str">
        <f>VLOOKUP($A1479,[1]Table!$A$2:$N1621,D$1,FALSE)</f>
        <v>ACNEPREPARATEN, LOKALE</v>
      </c>
      <c r="E1479" t="str">
        <f>VLOOKUP($A1479,[1]Table!$A$2:$N1621,E$1,FALSE)</f>
        <v>TRIAMCINOLONACETONIDE/CLINDAMYCINE</v>
      </c>
      <c r="F1479" t="str">
        <f>VLOOKUP($A1479,[1]Table!$A$2:$N1621,F$1,FALSE)</f>
        <v>TRIAMCINOLONACETONIDE 0,1% CLINDAMYCINE 1% LOTION 50 ML</v>
      </c>
      <c r="G1479" t="str">
        <f>VLOOKUP($A1479,[1]Table!$A$2:$N1621,G$1,FALSE)</f>
        <v>TRIAM/CLINDAM 1/10MG/ML OPL</v>
      </c>
      <c r="H1479" t="str">
        <f>VLOOKUP($A1479,[1]Table!$A$2:$N1621,H$1,FALSE)</f>
        <v>oplossing voor cutaan gebruik</v>
      </c>
      <c r="I1479" t="str">
        <f>VLOOKUP($A1479,[1]Table!$A$2:$N1621,I$1,FALSE)</f>
        <v>cutaan</v>
      </c>
      <c r="J1479">
        <f>VLOOKUP($A1479,[1]Table!$A$2:$N1621,J$1,FALSE)</f>
        <v>1</v>
      </c>
      <c r="K1479" t="str">
        <f>VLOOKUP($A1479,[1]Table!$A$2:$N1621,K$1,FALSE)</f>
        <v>mg/ml</v>
      </c>
      <c r="L1479">
        <f>VLOOKUP($A1479,[1]Table!$A$2:$N1621,L$1,FALSE)</f>
        <v>1</v>
      </c>
      <c r="M1479" t="str">
        <f>VLOOKUP($A1479,[1]Table!$A$2:$N1621,M$1,FALSE)</f>
        <v>mg</v>
      </c>
      <c r="N1479" t="str">
        <f>VLOOKUP($A1479,[1]Table!$A$2:$N1621,N$1,FALSE)</f>
        <v>Acne vulgaris||Acne vulgaris met comedonen</v>
      </c>
      <c r="O1479" t="str">
        <f>ConcatenateRange(AZ1479:BU1479,"||")</f>
        <v/>
      </c>
      <c r="AZ1479" t="str">
        <f t="shared" ref="AZ1479:AZ1482" si="550">IF(AA1479&lt;&gt;0,AA$2,"")</f>
        <v/>
      </c>
      <c r="BA1479" t="str">
        <f t="shared" ref="BA1479:BA1482" si="551">IF(AB1479&lt;&gt;0,AB$2,"")</f>
        <v/>
      </c>
      <c r="BB1479" t="str">
        <f t="shared" ref="BB1479:BB1482" si="552">IF(AC1479&lt;&gt;0,AC$2,"")</f>
        <v/>
      </c>
      <c r="BC1479" t="str">
        <f t="shared" ref="BC1479:BC1482" si="553">IF(AD1479&lt;&gt;0,AD$2,"")</f>
        <v/>
      </c>
      <c r="BD1479" t="str">
        <f t="shared" ref="BD1479:BD1482" si="554">IF(AE1479&lt;&gt;0,AE$2,"")</f>
        <v/>
      </c>
      <c r="BE1479" t="str">
        <f t="shared" ref="BE1479:BE1482" si="555">IF(AF1479&lt;&gt;0,AF$2,"")</f>
        <v/>
      </c>
      <c r="BF1479" t="str">
        <f t="shared" ref="BF1479:BF1482" si="556">IF(AG1479&lt;&gt;0,AG$2,"")</f>
        <v/>
      </c>
      <c r="BG1479" t="str">
        <f t="shared" ref="BG1479:BG1482" si="557">IF(AH1479&lt;&gt;0,AH$2,"")</f>
        <v/>
      </c>
      <c r="BH1479" t="str">
        <f t="shared" ref="BH1479:BH1482" si="558">IF(AI1479&lt;&gt;0,AI$2,"")</f>
        <v/>
      </c>
      <c r="BI1479" t="str">
        <f t="shared" ref="BI1479:BI1482" si="559">IF(AJ1479&lt;&gt;0,AJ$2,"")</f>
        <v/>
      </c>
      <c r="BJ1479" t="str">
        <f t="shared" ref="BJ1479:BJ1482" si="560">IF(AK1479&lt;&gt;0,AK$2,"")</f>
        <v/>
      </c>
      <c r="BK1479" t="str">
        <f t="shared" ref="BK1479:BK1482" si="561">IF(AL1479&lt;&gt;0,AL$2,"")</f>
        <v/>
      </c>
      <c r="BL1479" t="str">
        <f t="shared" ref="BL1479:BL1482" si="562">IF(AM1479&lt;&gt;0,AM$2,"")</f>
        <v/>
      </c>
      <c r="BM1479" t="str">
        <f t="shared" ref="BM1479:BM1482" si="563">IF(AN1479&lt;&gt;0,AN$2,"")</f>
        <v/>
      </c>
      <c r="BN1479" t="str">
        <f t="shared" ref="BN1479:BN1482" si="564">IF(AO1479&lt;&gt;0,AO$2,"")</f>
        <v/>
      </c>
      <c r="BO1479" t="str">
        <f t="shared" ref="BO1479:BO1482" si="565">IF(AP1479&lt;&gt;0,AP$2,"")</f>
        <v/>
      </c>
      <c r="BP1479" t="str">
        <f t="shared" ref="BP1479:BP1482" si="566">IF(AQ1479&lt;&gt;0,AQ$2,"")</f>
        <v/>
      </c>
      <c r="BQ1479" t="str">
        <f t="shared" ref="BQ1479:BQ1482" si="567">IF(AR1479&lt;&gt;0,AR$2,"")</f>
        <v/>
      </c>
      <c r="BR1479" t="str">
        <f t="shared" ref="BR1479:BR1482" si="568">IF(AS1479&lt;&gt;0,AS$2,"")</f>
        <v/>
      </c>
      <c r="BS1479" t="str">
        <f t="shared" ref="BS1479:BS1482" si="569">IF(AT1479&lt;&gt;0,AT$2,"")</f>
        <v/>
      </c>
      <c r="BT1479" t="str">
        <f t="shared" ref="BT1479:BT1482" si="570">IF(AU1479&lt;&gt;0,AU$2,"")</f>
        <v/>
      </c>
      <c r="BU1479" t="str">
        <f t="shared" ref="BU1479:BU1482" si="571">IF(AV1479&lt;&gt;0,AV$2,"")</f>
        <v/>
      </c>
    </row>
    <row r="1480" spans="1:73">
      <c r="A1480" s="1">
        <v>31747</v>
      </c>
      <c r="B1480" t="str">
        <f>VLOOKUP($A1480,[1]Table!$A$2:$N1623,B$1,FALSE)</f>
        <v>S02CA04</v>
      </c>
      <c r="C1480" t="str">
        <f>VLOOKUP($A1480,[1]Table!$A$2:$N1623,C$1,FALSE)</f>
        <v>MIDDELEN VOOR OORHEELKUNDIG GEBRUIK</v>
      </c>
      <c r="D1480" t="str">
        <f>VLOOKUP($A1480,[1]Table!$A$2:$N1623,D$1,FALSE)</f>
        <v>CORTICOSTEROIDEN MET ANTIMICROBIELE MIDDELEN</v>
      </c>
      <c r="E1480" t="str">
        <f>VLOOKUP($A1480,[1]Table!$A$2:$N1623,E$1,FALSE)</f>
        <v>TRIAMCINOLONACETONIDE/SALICYLZUUR</v>
      </c>
      <c r="F1480" t="str">
        <f>VLOOKUP($A1480,[1]Table!$A$2:$N1623,F$1,FALSE)</f>
        <v>TRIAMCINOLONSALICYLZUUR OORDRUPPELS  1/20MG/ML 10 ML</v>
      </c>
      <c r="G1480" t="str">
        <f>VLOOKUP($A1480,[1]Table!$A$2:$N1623,G$1,FALSE)</f>
        <v>TRIAMCINOLONE/SALIC OORDRUP</v>
      </c>
      <c r="H1480" t="str">
        <f>VLOOKUP($A1480,[1]Table!$A$2:$N1623,H$1,FALSE)</f>
        <v>oordruppels</v>
      </c>
      <c r="I1480" t="str">
        <f>VLOOKUP($A1480,[1]Table!$A$2:$N1623,I$1,FALSE)</f>
        <v>oor</v>
      </c>
      <c r="J1480">
        <f>VLOOKUP($A1480,[1]Table!$A$2:$N1623,J$1,FALSE)</f>
        <v>1</v>
      </c>
      <c r="K1480" t="str">
        <f>VLOOKUP($A1480,[1]Table!$A$2:$N1623,K$1,FALSE)</f>
        <v>mg/ml</v>
      </c>
      <c r="L1480">
        <f>VLOOKUP($A1480,[1]Table!$A$2:$N1623,L$1,FALSE)</f>
        <v>1</v>
      </c>
      <c r="M1480" t="str">
        <f>VLOOKUP($A1480,[1]Table!$A$2:$N1623,M$1,FALSE)</f>
        <v>mg</v>
      </c>
      <c r="N1480" t="str">
        <f>VLOOKUP($A1480,[1]Table!$A$2:$N1623,N$1,FALSE)</f>
        <v>Natte acute otitis externa met hevige jeuk.</v>
      </c>
      <c r="O1480" t="str">
        <f>ConcatenateRange(AZ1480:BU1480,"||")</f>
        <v/>
      </c>
      <c r="AZ1480" t="str">
        <f t="shared" si="550"/>
        <v/>
      </c>
      <c r="BA1480" t="str">
        <f t="shared" si="551"/>
        <v/>
      </c>
      <c r="BB1480" t="str">
        <f t="shared" si="552"/>
        <v/>
      </c>
      <c r="BC1480" t="str">
        <f t="shared" si="553"/>
        <v/>
      </c>
      <c r="BD1480" t="str">
        <f t="shared" si="554"/>
        <v/>
      </c>
      <c r="BE1480" t="str">
        <f t="shared" si="555"/>
        <v/>
      </c>
      <c r="BF1480" t="str">
        <f t="shared" si="556"/>
        <v/>
      </c>
      <c r="BG1480" t="str">
        <f t="shared" si="557"/>
        <v/>
      </c>
      <c r="BH1480" t="str">
        <f t="shared" si="558"/>
        <v/>
      </c>
      <c r="BI1480" t="str">
        <f t="shared" si="559"/>
        <v/>
      </c>
      <c r="BJ1480" t="str">
        <f t="shared" si="560"/>
        <v/>
      </c>
      <c r="BK1480" t="str">
        <f t="shared" si="561"/>
        <v/>
      </c>
      <c r="BL1480" t="str">
        <f t="shared" si="562"/>
        <v/>
      </c>
      <c r="BM1480" t="str">
        <f t="shared" si="563"/>
        <v/>
      </c>
      <c r="BN1480" t="str">
        <f t="shared" si="564"/>
        <v/>
      </c>
      <c r="BO1480" t="str">
        <f t="shared" si="565"/>
        <v/>
      </c>
      <c r="BP1480" t="str">
        <f t="shared" si="566"/>
        <v/>
      </c>
      <c r="BQ1480" t="str">
        <f t="shared" si="567"/>
        <v/>
      </c>
      <c r="BR1480" t="str">
        <f t="shared" si="568"/>
        <v/>
      </c>
      <c r="BS1480" t="str">
        <f t="shared" si="569"/>
        <v/>
      </c>
      <c r="BT1480" t="str">
        <f t="shared" si="570"/>
        <v/>
      </c>
      <c r="BU1480" t="str">
        <f t="shared" si="571"/>
        <v/>
      </c>
    </row>
    <row r="1481" spans="1:73">
      <c r="A1481" s="1">
        <v>3069</v>
      </c>
      <c r="B1481" t="str">
        <f>VLOOKUP($A1481,[1]Table!$A$2:$N1624,B$1,FALSE)</f>
        <v>C03DB02</v>
      </c>
      <c r="C1481" t="str">
        <f>VLOOKUP($A1481,[1]Table!$A$2:$N1624,C$1,FALSE)</f>
        <v>DIURETICA</v>
      </c>
      <c r="D1481" t="str">
        <f>VLOOKUP($A1481,[1]Table!$A$2:$N1624,D$1,FALSE)</f>
        <v>KALIUMSPARENDE MIDDELEN</v>
      </c>
      <c r="E1481" t="str">
        <f>VLOOKUP($A1481,[1]Table!$A$2:$N1624,E$1,FALSE)</f>
        <v>TRIAMTEREEN</v>
      </c>
      <c r="F1481" t="str">
        <f>VLOOKUP($A1481,[1]Table!$A$2:$N1624,F$1,FALSE)</f>
        <v>TRIAMTEREEN 50 MG TABLET</v>
      </c>
      <c r="G1481" t="str">
        <f>VLOOKUP($A1481,[1]Table!$A$2:$N1624,G$1,FALSE)</f>
        <v>TRIAMTEREEN 50MG TABLET</v>
      </c>
      <c r="H1481" t="str">
        <f>VLOOKUP($A1481,[1]Table!$A$2:$N1624,H$1,FALSE)</f>
        <v>tablet</v>
      </c>
      <c r="I1481" t="str">
        <f>VLOOKUP($A1481,[1]Table!$A$2:$N1624,I$1,FALSE)</f>
        <v>or</v>
      </c>
      <c r="J1481">
        <f>VLOOKUP($A1481,[1]Table!$A$2:$N1624,J$1,FALSE)</f>
        <v>50</v>
      </c>
      <c r="K1481" t="str">
        <f>VLOOKUP($A1481,[1]Table!$A$2:$N1624,K$1,FALSE)</f>
        <v>mg/stuk</v>
      </c>
      <c r="L1481">
        <f>VLOOKUP($A1481,[1]Table!$A$2:$N1624,L$1,FALSE)</f>
        <v>25</v>
      </c>
      <c r="M1481" t="str">
        <f>VLOOKUP($A1481,[1]Table!$A$2:$N1624,M$1,FALSE)</f>
        <v>mg</v>
      </c>
      <c r="N1481" t="str">
        <f>VLOOKUP($A1481,[1]Table!$A$2:$N1624,N$1,FALSE)</f>
        <v>Hypertensie</v>
      </c>
      <c r="O1481" t="str">
        <f>ConcatenateRange(AZ1481:BU1481,"||")</f>
        <v/>
      </c>
      <c r="AZ1481" t="str">
        <f t="shared" si="550"/>
        <v/>
      </c>
      <c r="BA1481" t="str">
        <f t="shared" si="551"/>
        <v/>
      </c>
      <c r="BB1481" t="str">
        <f t="shared" si="552"/>
        <v/>
      </c>
      <c r="BC1481" t="str">
        <f t="shared" si="553"/>
        <v/>
      </c>
      <c r="BD1481" t="str">
        <f t="shared" si="554"/>
        <v/>
      </c>
      <c r="BE1481" t="str">
        <f t="shared" si="555"/>
        <v/>
      </c>
      <c r="BF1481" t="str">
        <f t="shared" si="556"/>
        <v/>
      </c>
      <c r="BG1481" t="str">
        <f t="shared" si="557"/>
        <v/>
      </c>
      <c r="BH1481" t="str">
        <f t="shared" si="558"/>
        <v/>
      </c>
      <c r="BI1481" t="str">
        <f t="shared" si="559"/>
        <v/>
      </c>
      <c r="BJ1481" t="str">
        <f t="shared" si="560"/>
        <v/>
      </c>
      <c r="BK1481" t="str">
        <f t="shared" si="561"/>
        <v/>
      </c>
      <c r="BL1481" t="str">
        <f t="shared" si="562"/>
        <v/>
      </c>
      <c r="BM1481" t="str">
        <f t="shared" si="563"/>
        <v/>
      </c>
      <c r="BN1481" t="str">
        <f t="shared" si="564"/>
        <v/>
      </c>
      <c r="BO1481" t="str">
        <f t="shared" si="565"/>
        <v/>
      </c>
      <c r="BP1481" t="str">
        <f t="shared" si="566"/>
        <v/>
      </c>
      <c r="BQ1481" t="str">
        <f t="shared" si="567"/>
        <v/>
      </c>
      <c r="BR1481" t="str">
        <f t="shared" si="568"/>
        <v/>
      </c>
      <c r="BS1481" t="str">
        <f t="shared" si="569"/>
        <v/>
      </c>
      <c r="BT1481" t="str">
        <f t="shared" si="570"/>
        <v/>
      </c>
      <c r="BU1481" t="str">
        <f t="shared" si="571"/>
        <v/>
      </c>
    </row>
    <row r="1482" spans="1:73">
      <c r="A1482" s="1">
        <v>39586</v>
      </c>
      <c r="B1482" t="str">
        <f>VLOOKUP($A1482,[1]Table!$A$2:$N1625,B$1,FALSE)</f>
        <v>J01EA01</v>
      </c>
      <c r="C1482" t="str">
        <f>VLOOKUP($A1482,[1]Table!$A$2:$N1625,C$1,FALSE)</f>
        <v>ANTIBACTERIELE MIDDELEN VOOR SYSTEMISCH GEBRUIK</v>
      </c>
      <c r="D1482" t="str">
        <f>VLOOKUP($A1482,[1]Table!$A$2:$N1625,D$1,FALSE)</f>
        <v>SULFONAMIDEN EN TRIMETHOPRIM</v>
      </c>
      <c r="E1482" t="str">
        <f>VLOOKUP($A1482,[1]Table!$A$2:$N1625,E$1,FALSE)</f>
        <v>TRIMETHOPRIM</v>
      </c>
      <c r="F1482" t="str">
        <f>VLOOKUP($A1482,[1]Table!$A$2:$N1625,F$1,FALSE)</f>
        <v>TRIMETHOPRIM 10 MG/ML SUSPENSIE 100 ML</v>
      </c>
      <c r="G1482" t="str">
        <f>VLOOKUP($A1482,[1]Table!$A$2:$N1625,G$1,FALSE)</f>
        <v>TRIMETHOPRIM 10MG/ML SUSP</v>
      </c>
      <c r="H1482" t="str">
        <f>VLOOKUP($A1482,[1]Table!$A$2:$N1625,H$1,FALSE)</f>
        <v>suspensie voor oraal gebruik</v>
      </c>
      <c r="I1482" t="str">
        <f>VLOOKUP($A1482,[1]Table!$A$2:$N1625,I$1,FALSE)</f>
        <v>or</v>
      </c>
      <c r="J1482">
        <f>VLOOKUP($A1482,[1]Table!$A$2:$N1625,J$1,FALSE)</f>
        <v>10</v>
      </c>
      <c r="K1482" t="str">
        <f>VLOOKUP($A1482,[1]Table!$A$2:$N1625,K$1,FALSE)</f>
        <v>mg/ml</v>
      </c>
      <c r="L1482">
        <f>VLOOKUP($A1482,[1]Table!$A$2:$N1625,L$1,FALSE)</f>
        <v>10</v>
      </c>
      <c r="M1482" t="str">
        <f>VLOOKUP($A1482,[1]Table!$A$2:$N1625,M$1,FALSE)</f>
        <v>mg</v>
      </c>
      <c r="N1482" t="str">
        <f>VLOOKUP($A1482,[1]Table!$A$2:$N1625,N$1,FALSE)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2" t="str">
        <f>ConcatenateRange(AZ1482:BU1482,"||")</f>
        <v/>
      </c>
      <c r="AZ1482" t="str">
        <f t="shared" si="550"/>
        <v/>
      </c>
      <c r="BA1482" t="str">
        <f t="shared" si="551"/>
        <v/>
      </c>
      <c r="BB1482" t="str">
        <f t="shared" si="552"/>
        <v/>
      </c>
      <c r="BC1482" t="str">
        <f t="shared" si="553"/>
        <v/>
      </c>
      <c r="BD1482" t="str">
        <f t="shared" si="554"/>
        <v/>
      </c>
      <c r="BE1482" t="str">
        <f t="shared" si="555"/>
        <v/>
      </c>
      <c r="BF1482" t="str">
        <f t="shared" si="556"/>
        <v/>
      </c>
      <c r="BG1482" t="str">
        <f t="shared" si="557"/>
        <v/>
      </c>
      <c r="BH1482" t="str">
        <f t="shared" si="558"/>
        <v/>
      </c>
      <c r="BI1482" t="str">
        <f t="shared" si="559"/>
        <v/>
      </c>
      <c r="BJ1482" t="str">
        <f t="shared" si="560"/>
        <v/>
      </c>
      <c r="BK1482" t="str">
        <f t="shared" si="561"/>
        <v/>
      </c>
      <c r="BL1482" t="str">
        <f t="shared" si="562"/>
        <v/>
      </c>
      <c r="BM1482" t="str">
        <f t="shared" si="563"/>
        <v/>
      </c>
      <c r="BN1482" t="str">
        <f t="shared" si="564"/>
        <v/>
      </c>
      <c r="BO1482" t="str">
        <f t="shared" si="565"/>
        <v/>
      </c>
      <c r="BP1482" t="str">
        <f t="shared" si="566"/>
        <v/>
      </c>
      <c r="BQ1482" t="str">
        <f t="shared" si="567"/>
        <v/>
      </c>
      <c r="BR1482" t="str">
        <f t="shared" si="568"/>
        <v/>
      </c>
      <c r="BS1482" t="str">
        <f t="shared" si="569"/>
        <v/>
      </c>
      <c r="BT1482" t="str">
        <f t="shared" si="570"/>
        <v/>
      </c>
      <c r="BU1482" t="str">
        <f t="shared" si="571"/>
        <v/>
      </c>
    </row>
    <row r="1483" spans="1:73">
      <c r="A1483" s="1">
        <v>38504</v>
      </c>
      <c r="B1483" t="str">
        <f>VLOOKUP($A1483,[1]Table!$A$2:$N1626,B$1,FALSE)</f>
        <v>J01EA01</v>
      </c>
      <c r="C1483" t="str">
        <f>VLOOKUP($A1483,[1]Table!$A$2:$N1626,C$1,FALSE)</f>
        <v>ANTIBACTERIELE MIDDELEN VOOR SYSTEMISCH GEBRUIK</v>
      </c>
      <c r="D1483" t="str">
        <f>VLOOKUP($A1483,[1]Table!$A$2:$N1626,D$1,FALSE)</f>
        <v>SULFONAMIDEN EN TRIMETHOPRIM</v>
      </c>
      <c r="E1483" t="str">
        <f>VLOOKUP($A1483,[1]Table!$A$2:$N1626,E$1,FALSE)</f>
        <v>TRIMETHOPRIM</v>
      </c>
      <c r="F1483" t="str">
        <f>VLOOKUP($A1483,[1]Table!$A$2:$N1626,F$1,FALSE)</f>
        <v>TRIMETHOPRIM 100 MG TABLET</v>
      </c>
      <c r="G1483" t="str">
        <f>VLOOKUP($A1483,[1]Table!$A$2:$N1626,G$1,FALSE)</f>
        <v>TRIMETHOPRIM 100MG TABLET</v>
      </c>
      <c r="H1483" t="str">
        <f>VLOOKUP($A1483,[1]Table!$A$2:$N1626,H$1,FALSE)</f>
        <v>tablet</v>
      </c>
      <c r="I1483" t="str">
        <f>VLOOKUP($A1483,[1]Table!$A$2:$N1626,I$1,FALSE)</f>
        <v>or</v>
      </c>
      <c r="J1483">
        <f>VLOOKUP($A1483,[1]Table!$A$2:$N1626,J$1,FALSE)</f>
        <v>100</v>
      </c>
      <c r="K1483" t="str">
        <f>VLOOKUP($A1483,[1]Table!$A$2:$N1626,K$1,FALSE)</f>
        <v>mg/stuk</v>
      </c>
      <c r="L1483">
        <f>VLOOKUP($A1483,[1]Table!$A$2:$N1626,L$1,FALSE)</f>
        <v>50</v>
      </c>
      <c r="M1483" t="str">
        <f>VLOOKUP($A1483,[1]Table!$A$2:$N1626,M$1,FALSE)</f>
        <v>mg</v>
      </c>
      <c r="N1483" t="str">
        <f>VLOOKUP($A1483,[1]Table!$A$2:$N1626,N$1,FALSE)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3" t="str">
        <f>ConcatenateRange(AZ1483:BU1483,"||")</f>
        <v/>
      </c>
    </row>
    <row r="1484" spans="1:73">
      <c r="A1484" s="1">
        <v>39136</v>
      </c>
      <c r="B1484" t="str">
        <f>VLOOKUP($A1484,[1]Table!$A$2:$N1627,B$1,FALSE)</f>
        <v>J01EA01</v>
      </c>
      <c r="C1484" t="str">
        <f>VLOOKUP($A1484,[1]Table!$A$2:$N1627,C$1,FALSE)</f>
        <v>ANTIBACTERIELE MIDDELEN VOOR SYSTEMISCH GEBRUIK</v>
      </c>
      <c r="D1484" t="str">
        <f>VLOOKUP($A1484,[1]Table!$A$2:$N1627,D$1,FALSE)</f>
        <v>SULFONAMIDEN EN TRIMETHOPRIM</v>
      </c>
      <c r="E1484" t="str">
        <f>VLOOKUP($A1484,[1]Table!$A$2:$N1627,E$1,FALSE)</f>
        <v>TRIMETHOPRIM</v>
      </c>
      <c r="F1484" t="str">
        <f>VLOOKUP($A1484,[1]Table!$A$2:$N1627,F$1,FALSE)</f>
        <v>TRIMETHOPRIM 300 MG TABLET</v>
      </c>
      <c r="G1484" t="str">
        <f>VLOOKUP($A1484,[1]Table!$A$2:$N1627,G$1,FALSE)</f>
        <v>TRIMETHOPRIM 300MG TABLET</v>
      </c>
      <c r="H1484" t="str">
        <f>VLOOKUP($A1484,[1]Table!$A$2:$N1627,H$1,FALSE)</f>
        <v>tablet</v>
      </c>
      <c r="I1484" t="str">
        <f>VLOOKUP($A1484,[1]Table!$A$2:$N1627,I$1,FALSE)</f>
        <v>or</v>
      </c>
      <c r="J1484">
        <f>VLOOKUP($A1484,[1]Table!$A$2:$N1627,J$1,FALSE)</f>
        <v>300</v>
      </c>
      <c r="K1484" t="str">
        <f>VLOOKUP($A1484,[1]Table!$A$2:$N1627,K$1,FALSE)</f>
        <v>mg/stuk</v>
      </c>
      <c r="L1484">
        <f>VLOOKUP($A1484,[1]Table!$A$2:$N1627,L$1,FALSE)</f>
        <v>300</v>
      </c>
      <c r="M1484" t="str">
        <f>VLOOKUP($A1484,[1]Table!$A$2:$N1627,M$1,FALSE)</f>
        <v>mg</v>
      </c>
      <c r="N1484" t="str">
        <f>VLOOKUP($A1484,[1]Table!$A$2:$N1627,N$1,FALSE)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4" t="str">
        <f>ConcatenateRange(AZ1484:BU1484,"||")</f>
        <v/>
      </c>
    </row>
    <row r="1485" spans="1:73">
      <c r="A1485" s="8">
        <v>93475</v>
      </c>
      <c r="B1485" t="str">
        <f>VLOOKUP($A1485,[1]Table!$A$2:$N1633,B$1,FALSE)</f>
        <v>L02AE04</v>
      </c>
      <c r="C1485" t="str">
        <f>VLOOKUP($A1485,[1]Table!$A$2:$N1633,C$1,FALSE)</f>
        <v>HORMONEN</v>
      </c>
      <c r="D1485" t="str">
        <f>VLOOKUP($A1485,[1]Table!$A$2:$N1633,D$1,FALSE)</f>
        <v>HORMONEN</v>
      </c>
      <c r="E1485" t="str">
        <f>VLOOKUP($A1485,[1]Table!$A$2:$N1633,E$1,FALSE)</f>
        <v>TRIPTORELINE</v>
      </c>
      <c r="F1485" t="str">
        <f>VLOOKUP($A1485,[1]Table!$A$2:$N1633,F$1,FALSE)</f>
        <v>DECAPEPTYL 0,5 MG/ML INJVLST WWSP 0,2 ML</v>
      </c>
      <c r="G1485" t="str">
        <f>VLOOKUP($A1485,[1]Table!$A$2:$N1633,G$1,FALSE)</f>
        <v>TRIPTORELINE 0,5MG/ML INJVL</v>
      </c>
      <c r="H1485" t="str">
        <f>VLOOKUP($A1485,[1]Table!$A$2:$N1633,H$1,FALSE)</f>
        <v>injectievloeistof</v>
      </c>
      <c r="I1485" t="str">
        <f>VLOOKUP($A1485,[1]Table!$A$2:$N1633,I$1,FALSE)</f>
        <v>sc</v>
      </c>
      <c r="J1485">
        <f>VLOOKUP($A1485,[1]Table!$A$2:$N1633,J$1,FALSE)</f>
        <v>0.5</v>
      </c>
      <c r="K1485" t="str">
        <f>VLOOKUP($A1485,[1]Table!$A$2:$N1633,K$1,FALSE)</f>
        <v>mg/ml</v>
      </c>
      <c r="L1485">
        <f>VLOOKUP($A1485,[1]Table!$A$2:$N1633,L$1,FALSE)</f>
        <v>0.5</v>
      </c>
      <c r="M1485" t="str">
        <f>VLOOKUP($A1485,[1]Table!$A$2:$N1633,M$1,FALSE)</f>
        <v>mg</v>
      </c>
      <c r="N1485" t="str">
        <f>VLOOKUP($A1485,[1]Table!$A$2:$N1633,N$1,FALSE)</f>
        <v>Centrale pubertas praecox</v>
      </c>
      <c r="O1485" t="str">
        <f>ConcatenateRange(AZ1485:BU1485,"||")</f>
        <v/>
      </c>
    </row>
    <row r="1486" spans="1:73">
      <c r="A1486" s="9">
        <v>118168</v>
      </c>
      <c r="B1486" t="str">
        <f>VLOOKUP($A1486,[1]Table!$A$2:$N1634,B$1,FALSE)</f>
        <v>L02AE04</v>
      </c>
      <c r="C1486" t="str">
        <f>VLOOKUP($A1486,[1]Table!$A$2:$N1634,C$1,FALSE)</f>
        <v>HORMONEN</v>
      </c>
      <c r="D1486" t="str">
        <f>VLOOKUP($A1486,[1]Table!$A$2:$N1634,D$1,FALSE)</f>
        <v>HORMONEN</v>
      </c>
      <c r="E1486" t="str">
        <f>VLOOKUP($A1486,[1]Table!$A$2:$N1634,E$1,FALSE)</f>
        <v>TRIPTORELINE</v>
      </c>
      <c r="F1486" t="str">
        <f>VLOOKUP($A1486,[1]Table!$A$2:$N1634,F$1,FALSE)</f>
        <v>DECAPEPTYL CR INJPDR 3,75MG IN WWSP +SOL 3,75mg</v>
      </c>
      <c r="G1486" t="str">
        <f>VLOOKUP($A1486,[1]Table!$A$2:$N1634,G$1,FALSE)</f>
        <v>TRIPTORELINE 3,75MG INJPDR</v>
      </c>
      <c r="H1486" t="str">
        <f>VLOOKUP($A1486,[1]Table!$A$2:$N1634,H$1,FALSE)</f>
        <v>poeder voor injectievloeistof</v>
      </c>
      <c r="I1486" t="str">
        <f>VLOOKUP($A1486,[1]Table!$A$2:$N1634,I$1,FALSE)</f>
        <v>im||sc</v>
      </c>
      <c r="J1486">
        <f>VLOOKUP($A1486,[1]Table!$A$2:$N1634,J$1,FALSE)</f>
        <v>3.75</v>
      </c>
      <c r="K1486" t="str">
        <f>VLOOKUP($A1486,[1]Table!$A$2:$N1634,K$1,FALSE)</f>
        <v>mg/stuk</v>
      </c>
      <c r="L1486">
        <f>VLOOKUP($A1486,[1]Table!$A$2:$N1634,L$1,FALSE)</f>
        <v>3.75</v>
      </c>
      <c r="M1486" t="str">
        <f>VLOOKUP($A1486,[1]Table!$A$2:$N1634,M$1,FALSE)</f>
        <v>mg</v>
      </c>
      <c r="N1486" t="str">
        <f>VLOOKUP($A1486,[1]Table!$A$2:$N1634,N$1,FALSE)</f>
        <v>Centrale pubertas praecox</v>
      </c>
      <c r="O1486" t="str">
        <f>ConcatenateRange(AZ1486:BU1486,"||")</f>
        <v/>
      </c>
    </row>
    <row r="1487" spans="1:73">
      <c r="A1487" s="8">
        <v>123587</v>
      </c>
      <c r="B1487" t="str">
        <f>VLOOKUP($A1487,[1]Table!$A$2:$N1635,B$1,FALSE)</f>
        <v>L02AE04</v>
      </c>
      <c r="C1487" t="str">
        <f>VLOOKUP($A1487,[1]Table!$A$2:$N1635,C$1,FALSE)</f>
        <v>HORMONEN</v>
      </c>
      <c r="D1487" t="str">
        <f>VLOOKUP($A1487,[1]Table!$A$2:$N1635,D$1,FALSE)</f>
        <v>HORMONEN</v>
      </c>
      <c r="E1487" t="str">
        <f>VLOOKUP($A1487,[1]Table!$A$2:$N1635,E$1,FALSE)</f>
        <v>TRIPTORELINE</v>
      </c>
      <c r="F1487" t="str">
        <f>VLOOKUP($A1487,[1]Table!$A$2:$N1635,F$1,FALSE)</f>
        <v>PAMORELIN  11,25MG + SOLV.INJPDR FLACON</v>
      </c>
      <c r="G1487" t="str">
        <f>VLOOKUP($A1487,[1]Table!$A$2:$N1635,G$1,FALSE)</f>
        <v>TRIPTORELINE 11,25MG P INJS</v>
      </c>
      <c r="H1487" t="str">
        <f>VLOOKUP($A1487,[1]Table!$A$2:$N1635,H$1,FALSE)</f>
        <v>poeder voor suspensie voor injectie</v>
      </c>
      <c r="I1487" t="str">
        <f>VLOOKUP($A1487,[1]Table!$A$2:$N1635,I$1,FALSE)</f>
        <v>im</v>
      </c>
      <c r="J1487">
        <f>VLOOKUP($A1487,[1]Table!$A$2:$N1635,J$1,FALSE)</f>
        <v>11.25</v>
      </c>
      <c r="K1487" t="str">
        <f>VLOOKUP($A1487,[1]Table!$A$2:$N1635,K$1,FALSE)</f>
        <v>mg/stuk</v>
      </c>
      <c r="L1487">
        <f>VLOOKUP($A1487,[1]Table!$A$2:$N1635,L$1,FALSE)</f>
        <v>11.25</v>
      </c>
      <c r="M1487" t="str">
        <f>VLOOKUP($A1487,[1]Table!$A$2:$N1635,M$1,FALSE)</f>
        <v>mg</v>
      </c>
      <c r="N1487" t="str">
        <f>VLOOKUP($A1487,[1]Table!$A$2:$N1635,N$1,FALSE)</f>
        <v>Centrale pubertas praecox</v>
      </c>
      <c r="O1487" t="str">
        <f>ConcatenateRange(AZ1487:BU1487,"||")</f>
        <v/>
      </c>
    </row>
    <row r="1488" spans="1:73">
      <c r="A1488" s="8">
        <v>6947</v>
      </c>
      <c r="B1488" t="str">
        <f>VLOOKUP($A1488,[1]Table!$A$2:$N1636,B$1,FALSE)</f>
        <v>S01FA06</v>
      </c>
      <c r="C1488" t="str">
        <f>VLOOKUP($A1488,[1]Table!$A$2:$N1636,C$1,FALSE)</f>
        <v>MIDDELEN VOOR OOGHEELKUNDIG GEBRUIK</v>
      </c>
      <c r="D1488" t="str">
        <f>VLOOKUP($A1488,[1]Table!$A$2:$N1636,D$1,FALSE)</f>
        <v>MYDRIATICA EN CYCLOPLEGICA</v>
      </c>
      <c r="E1488" t="str">
        <f>VLOOKUP($A1488,[1]Table!$A$2:$N1636,E$1,FALSE)</f>
        <v>TROPICAMIDE</v>
      </c>
      <c r="F1488" t="str">
        <f>VLOOKUP($A1488,[1]Table!$A$2:$N1636,F$1,FALSE)</f>
        <v>TROPICAMIDE 0,5 % MONOFREE MINIMS</v>
      </c>
      <c r="G1488" t="str">
        <f>VLOOKUP($A1488,[1]Table!$A$2:$N1636,G$1,FALSE)</f>
        <v>TROPICAMIDE 5MG/ML OOGDRUPP</v>
      </c>
      <c r="H1488" t="str">
        <f>VLOOKUP($A1488,[1]Table!$A$2:$N1636,H$1,FALSE)</f>
        <v>oogdruppels</v>
      </c>
      <c r="I1488" t="str">
        <f>VLOOKUP($A1488,[1]Table!$A$2:$N1636,I$1,FALSE)</f>
        <v>oog</v>
      </c>
      <c r="J1488">
        <f>VLOOKUP($A1488,[1]Table!$A$2:$N1636,J$1,FALSE)</f>
        <v>5</v>
      </c>
      <c r="K1488" t="str">
        <f>VLOOKUP($A1488,[1]Table!$A$2:$N1636,K$1,FALSE)</f>
        <v>mg/ml</v>
      </c>
      <c r="L1488">
        <f>VLOOKUP($A1488,[1]Table!$A$2:$N1636,L$1,FALSE)</f>
        <v>5</v>
      </c>
      <c r="M1488" t="str">
        <f>VLOOKUP($A1488,[1]Table!$A$2:$N1636,M$1,FALSE)</f>
        <v>mg</v>
      </c>
      <c r="N1488" t="str">
        <f>VLOOKUP($A1488,[1]Table!$A$2:$N1636,N$1,FALSE)</f>
        <v>Diagnosticum||Uveitis</v>
      </c>
      <c r="O1488" t="str">
        <f>ConcatenateRange(AZ1488:BU1488,"||")</f>
        <v/>
      </c>
    </row>
    <row r="1489" spans="1:15">
      <c r="A1489" s="8">
        <v>147214</v>
      </c>
      <c r="B1489" t="str">
        <f>VLOOKUP($A1489,[1]Table!$A$2:$N1637,B$1,FALSE)</f>
        <v>B02BD02</v>
      </c>
      <c r="C1489" t="str">
        <f>VLOOKUP($A1489,[1]Table!$A$2:$N1637,C$1,FALSE)</f>
        <v>ANTIHAEMORRHAGICA</v>
      </c>
      <c r="D1489" t="str">
        <f>VLOOKUP($A1489,[1]Table!$A$2:$N1637,D$1,FALSE)</f>
        <v>VITAMINE K EN OVERIGE HAEMOSTATICA</v>
      </c>
      <c r="E1489" t="str">
        <f>VLOOKUP($A1489,[1]Table!$A$2:$N1637,E$1,FALSE)</f>
        <v>TUROCTOCOG ALFA</v>
      </c>
      <c r="F1489" t="str">
        <f>VLOOKUP($A1489,[1]Table!$A$2:$N1637,F$1,FALSE)</f>
        <v>NOVOEIGHT 250 IE INJECTIEPOEDER + SOLVENS 4ML</v>
      </c>
      <c r="G1489" t="str">
        <f>VLOOKUP($A1489,[1]Table!$A$2:$N1637,G$1,FALSE)</f>
        <v>TUROCTOCOG ALFA 250IE INJPD</v>
      </c>
      <c r="H1489" t="str">
        <f>VLOOKUP($A1489,[1]Table!$A$2:$N1637,H$1,FALSE)</f>
        <v>poeder voor injectievloeistof</v>
      </c>
      <c r="I1489" t="str">
        <f>VLOOKUP($A1489,[1]Table!$A$2:$N1637,I$1,FALSE)</f>
        <v>iv</v>
      </c>
      <c r="J1489">
        <f>VLOOKUP($A1489,[1]Table!$A$2:$N1637,J$1,FALSE)</f>
        <v>250</v>
      </c>
      <c r="K1489" t="str">
        <f>VLOOKUP($A1489,[1]Table!$A$2:$N1637,K$1,FALSE)</f>
        <v>IE/stuk</v>
      </c>
      <c r="L1489">
        <f>VLOOKUP($A1489,[1]Table!$A$2:$N1637,L$1,FALSE)</f>
        <v>250</v>
      </c>
      <c r="M1489" t="str">
        <f>VLOOKUP($A1489,[1]Table!$A$2:$N1637,M$1,FALSE)</f>
        <v>IE</v>
      </c>
      <c r="N1489" t="str">
        <f>VLOOKUP($A1489,[1]Table!$A$2:$N1637,N$1,FALSE)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9" t="str">
        <f>ConcatenateRange(AZ1489:BU1489,"||")</f>
        <v/>
      </c>
    </row>
    <row r="1490" spans="1:15">
      <c r="A1490" s="9">
        <v>147222</v>
      </c>
      <c r="B1490" t="str">
        <f>VLOOKUP($A1490,[1]Table!$A$2:$N1638,B$1,FALSE)</f>
        <v>B02BD02</v>
      </c>
      <c r="C1490" t="str">
        <f>VLOOKUP($A1490,[1]Table!$A$2:$N1638,C$1,FALSE)</f>
        <v>ANTIHAEMORRHAGICA</v>
      </c>
      <c r="D1490" t="str">
        <f>VLOOKUP($A1490,[1]Table!$A$2:$N1638,D$1,FALSE)</f>
        <v>VITAMINE K EN OVERIGE HAEMOSTATICA</v>
      </c>
      <c r="E1490" t="str">
        <f>VLOOKUP($A1490,[1]Table!$A$2:$N1638,E$1,FALSE)</f>
        <v>TUROCTOCOG ALFA</v>
      </c>
      <c r="F1490" t="str">
        <f>VLOOKUP($A1490,[1]Table!$A$2:$N1638,F$1,FALSE)</f>
        <v>NOVOEIGHT 500 IE INJECTIEPOEDER + SOLVENS 4 ML</v>
      </c>
      <c r="G1490" t="str">
        <f>VLOOKUP($A1490,[1]Table!$A$2:$N1638,G$1,FALSE)</f>
        <v>TUROCTOCOG ALFA 500IE INJPD</v>
      </c>
      <c r="H1490" t="str">
        <f>VLOOKUP($A1490,[1]Table!$A$2:$N1638,H$1,FALSE)</f>
        <v>poeder voor injectievloeistof</v>
      </c>
      <c r="I1490" t="str">
        <f>VLOOKUP($A1490,[1]Table!$A$2:$N1638,I$1,FALSE)</f>
        <v>iv</v>
      </c>
      <c r="J1490">
        <f>VLOOKUP($A1490,[1]Table!$A$2:$N1638,J$1,FALSE)</f>
        <v>500</v>
      </c>
      <c r="K1490" t="str">
        <f>VLOOKUP($A1490,[1]Table!$A$2:$N1638,K$1,FALSE)</f>
        <v>IE/stuk</v>
      </c>
      <c r="L1490">
        <f>VLOOKUP($A1490,[1]Table!$A$2:$N1638,L$1,FALSE)</f>
        <v>500</v>
      </c>
      <c r="M1490" t="str">
        <f>VLOOKUP($A1490,[1]Table!$A$2:$N1638,M$1,FALSE)</f>
        <v>IE</v>
      </c>
      <c r="N1490" t="str">
        <f>VLOOKUP($A1490,[1]Table!$A$2:$N1638,N$1,FALSE)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0" t="str">
        <f>ConcatenateRange(AZ1490:BU1490,"||")</f>
        <v/>
      </c>
    </row>
    <row r="1491" spans="1:15">
      <c r="A1491" s="9">
        <v>147230</v>
      </c>
      <c r="B1491" t="str">
        <f>VLOOKUP($A1491,[1]Table!$A$2:$N1639,B$1,FALSE)</f>
        <v>B02BD02</v>
      </c>
      <c r="C1491" t="str">
        <f>VLOOKUP($A1491,[1]Table!$A$2:$N1639,C$1,FALSE)</f>
        <v>ANTIHAEMORRHAGICA</v>
      </c>
      <c r="D1491" t="str">
        <f>VLOOKUP($A1491,[1]Table!$A$2:$N1639,D$1,FALSE)</f>
        <v>VITAMINE K EN OVERIGE HAEMOSTATICA</v>
      </c>
      <c r="E1491" t="str">
        <f>VLOOKUP($A1491,[1]Table!$A$2:$N1639,E$1,FALSE)</f>
        <v>TUROCTOCOG ALFA</v>
      </c>
      <c r="F1491" t="str">
        <f>VLOOKUP($A1491,[1]Table!$A$2:$N1639,F$1,FALSE)</f>
        <v>NOVOEIGHT 1000 IE INJECTIEPOEDER + SOLVENS 4 ML</v>
      </c>
      <c r="G1491" t="str">
        <f>VLOOKUP($A1491,[1]Table!$A$2:$N1639,G$1,FALSE)</f>
        <v>TUROCTOCOG ALFA 1000IE INJP</v>
      </c>
      <c r="H1491" t="str">
        <f>VLOOKUP($A1491,[1]Table!$A$2:$N1639,H$1,FALSE)</f>
        <v>poeder voor injectievloeistof</v>
      </c>
      <c r="I1491" t="str">
        <f>VLOOKUP($A1491,[1]Table!$A$2:$N1639,I$1,FALSE)</f>
        <v>iv</v>
      </c>
      <c r="J1491">
        <f>VLOOKUP($A1491,[1]Table!$A$2:$N1639,J$1,FALSE)</f>
        <v>1000</v>
      </c>
      <c r="K1491" t="str">
        <f>VLOOKUP($A1491,[1]Table!$A$2:$N1639,K$1,FALSE)</f>
        <v>IE/stuk</v>
      </c>
      <c r="L1491">
        <f>VLOOKUP($A1491,[1]Table!$A$2:$N1639,L$1,FALSE)</f>
        <v>1000</v>
      </c>
      <c r="M1491" t="str">
        <f>VLOOKUP($A1491,[1]Table!$A$2:$N1639,M$1,FALSE)</f>
        <v>IE</v>
      </c>
      <c r="N1491" t="str">
        <f>VLOOKUP($A1491,[1]Table!$A$2:$N1639,N$1,FALSE)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1" t="str">
        <f>ConcatenateRange(AZ1491:BU1491,"||")</f>
        <v/>
      </c>
    </row>
    <row r="1492" spans="1:15">
      <c r="A1492" s="9">
        <v>147257</v>
      </c>
      <c r="B1492" t="str">
        <f>VLOOKUP($A1492,[1]Table!$A$2:$N1640,B$1,FALSE)</f>
        <v>B02BD02</v>
      </c>
      <c r="C1492" t="str">
        <f>VLOOKUP($A1492,[1]Table!$A$2:$N1640,C$1,FALSE)</f>
        <v>ANTIHAEMORRHAGICA</v>
      </c>
      <c r="D1492" t="str">
        <f>VLOOKUP($A1492,[1]Table!$A$2:$N1640,D$1,FALSE)</f>
        <v>VITAMINE K EN OVERIGE HAEMOSTATICA</v>
      </c>
      <c r="E1492" t="str">
        <f>VLOOKUP($A1492,[1]Table!$A$2:$N1640,E$1,FALSE)</f>
        <v>TUROCTOCOG ALFA</v>
      </c>
      <c r="F1492" t="str">
        <f>VLOOKUP($A1492,[1]Table!$A$2:$N1640,F$1,FALSE)</f>
        <v>NOVOEIGHT 2000 IE INJECTIEPOEDER + SOLVENS 4ML</v>
      </c>
      <c r="G1492" t="str">
        <f>VLOOKUP($A1492,[1]Table!$A$2:$N1640,G$1,FALSE)</f>
        <v>TUROCTOCOG ALFA 2000IE INJP</v>
      </c>
      <c r="H1492" t="str">
        <f>VLOOKUP($A1492,[1]Table!$A$2:$N1640,H$1,FALSE)</f>
        <v>poeder voor injectievloeistof</v>
      </c>
      <c r="I1492" t="str">
        <f>VLOOKUP($A1492,[1]Table!$A$2:$N1640,I$1,FALSE)</f>
        <v>iv</v>
      </c>
      <c r="J1492">
        <f>VLOOKUP($A1492,[1]Table!$A$2:$N1640,J$1,FALSE)</f>
        <v>2000</v>
      </c>
      <c r="K1492" t="str">
        <f>VLOOKUP($A1492,[1]Table!$A$2:$N1640,K$1,FALSE)</f>
        <v>IE/stuk</v>
      </c>
      <c r="L1492">
        <f>VLOOKUP($A1492,[1]Table!$A$2:$N1640,L$1,FALSE)</f>
        <v>2000</v>
      </c>
      <c r="M1492" t="str">
        <f>VLOOKUP($A1492,[1]Table!$A$2:$N1640,M$1,FALSE)</f>
        <v>IE</v>
      </c>
      <c r="N1492" t="str">
        <f>VLOOKUP($A1492,[1]Table!$A$2:$N1640,N$1,FALSE)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2" t="str">
        <f>ConcatenateRange(AZ1492:BU1492,"||")</f>
        <v/>
      </c>
    </row>
    <row r="1493" spans="1:15">
      <c r="A1493" s="22">
        <v>98121758</v>
      </c>
      <c r="B1493" t="str">
        <f>VLOOKUP($A1493,[1]Table!$A$2:$N1721,B$1,FALSE)</f>
        <v>B01AD04</v>
      </c>
      <c r="C1493" t="str">
        <f>VLOOKUP($A1493,[1]Table!$A$2:$N1721,C$1,FALSE)</f>
        <v>ANTITHROMBOTICA</v>
      </c>
      <c r="D1493" t="str">
        <f>VLOOKUP($A1493,[1]Table!$A$2:$N1721,D$1,FALSE)</f>
        <v>ANTITHROMBOTICA</v>
      </c>
      <c r="E1493" t="str">
        <f>VLOOKUP($A1493,[1]Table!$A$2:$N1721,E$1,FALSE)</f>
        <v>UROKINASE</v>
      </c>
      <c r="F1493" t="str">
        <f>VLOOKUP($A1493,[1]Table!$A$2:$N1721,F$1,FALSE)</f>
        <v>SYNER-KINASE (UROKINASE)  10.000 IE</v>
      </c>
      <c r="G1493" t="str">
        <f>VLOOKUP($A1493,[1]Table!$A$2:$N1721,G$1,FALSE)</f>
        <v>SYNER-KINASE (UROKINASE)  1</v>
      </c>
      <c r="H1493" t="str">
        <f>VLOOKUP($A1493,[1]Table!$A$2:$N1721,H$1,FALSE)</f>
        <v>poeder voor oplossing voor infusie</v>
      </c>
      <c r="I1493" t="str">
        <f>VLOOKUP($A1493,[1]Table!$A$2:$N1721,I$1,FALSE)</f>
        <v>iv</v>
      </c>
      <c r="J1493">
        <f>VLOOKUP($A1493,[1]Table!$A$2:$N1721,J$1,FALSE)</f>
        <v>10000</v>
      </c>
      <c r="K1493" t="str">
        <f>VLOOKUP($A1493,[1]Table!$A$2:$N1721,K$1,FALSE)</f>
        <v>IE/stuk</v>
      </c>
      <c r="L1493">
        <f>VLOOKUP($A1493,[1]Table!$A$2:$N1721,L$1,FALSE)</f>
        <v>10000</v>
      </c>
      <c r="M1493" t="str">
        <f>VLOOKUP($A1493,[1]Table!$A$2:$N1721,M$1,FALSE)</f>
        <v>IE</v>
      </c>
      <c r="N1493" t="str">
        <f>VLOOKUP($A1493,[1]Table!$A$2:$N1721,N$1,FALSE)</f>
        <v>Instillatie in centraal veneuze catheter||Trombolyse</v>
      </c>
    </row>
    <row r="1494" spans="1:15">
      <c r="A1494" s="9">
        <v>75477</v>
      </c>
      <c r="B1494" t="str">
        <f>VLOOKUP($A1494,[1]Table!$A$2:$N1642,B$1,FALSE)</f>
        <v>B01AD04</v>
      </c>
      <c r="C1494" t="str">
        <f>VLOOKUP($A1494,[1]Table!$A$2:$N1642,C$1,FALSE)</f>
        <v>ANTITHROMBOTICA</v>
      </c>
      <c r="D1494" t="str">
        <f>VLOOKUP($A1494,[1]Table!$A$2:$N1642,D$1,FALSE)</f>
        <v>ANTITHROMBOTICA</v>
      </c>
      <c r="E1494" t="str">
        <f>VLOOKUP($A1494,[1]Table!$A$2:$N1642,E$1,FALSE)</f>
        <v>UROKINASE</v>
      </c>
      <c r="F1494" t="str">
        <f>VLOOKUP($A1494,[1]Table!$A$2:$N1642,F$1,FALSE)</f>
        <v>MEDACINASE  50.000IE PINF</v>
      </c>
      <c r="G1494" t="str">
        <f>VLOOKUP($A1494,[1]Table!$A$2:$N1642,G$1,FALSE)</f>
        <v>UROKINASE 50.000IE INFPDR</v>
      </c>
      <c r="H1494" t="str">
        <f>VLOOKUP($A1494,[1]Table!$A$2:$N1642,H$1,FALSE)</f>
        <v>poeder voor oplossing voor infusie</v>
      </c>
      <c r="I1494" t="str">
        <f>VLOOKUP($A1494,[1]Table!$A$2:$N1642,I$1,FALSE)</f>
        <v>iv</v>
      </c>
      <c r="J1494">
        <f>VLOOKUP($A1494,[1]Table!$A$2:$N1642,J$1,FALSE)</f>
        <v>50000</v>
      </c>
      <c r="K1494" t="str">
        <f>VLOOKUP($A1494,[1]Table!$A$2:$N1642,K$1,FALSE)</f>
        <v>IE/stuk</v>
      </c>
      <c r="L1494">
        <f>VLOOKUP($A1494,[1]Table!$A$2:$N1642,L$1,FALSE)</f>
        <v>50000</v>
      </c>
      <c r="M1494" t="str">
        <f>VLOOKUP($A1494,[1]Table!$A$2:$N1642,M$1,FALSE)</f>
        <v>IE</v>
      </c>
      <c r="N1494" t="str">
        <f>VLOOKUP($A1494,[1]Table!$A$2:$N1642,N$1,FALSE)</f>
        <v>Instillatie in centraal veneuze catheter||Trombolyse</v>
      </c>
      <c r="O1494" t="str">
        <f>ConcatenateRange(AZ1494:BU1494,"||")</f>
        <v/>
      </c>
    </row>
    <row r="1495" spans="1:15">
      <c r="A1495" s="19">
        <v>98121790</v>
      </c>
      <c r="B1495" t="str">
        <f>VLOOKUP($A1495,[1]Table!$A$2:$N1732,B$1,FALSE)</f>
        <v>B01AD04</v>
      </c>
      <c r="C1495" t="str">
        <f>VLOOKUP($A1495,[1]Table!$A$2:$N1732,C$1,FALSE)</f>
        <v>ANTITHROMBOTICA</v>
      </c>
      <c r="D1495" t="str">
        <f>VLOOKUP($A1495,[1]Table!$A$2:$N1732,D$1,FALSE)</f>
        <v>ANTITHROMBOTICA</v>
      </c>
      <c r="E1495" t="s">
        <v>94</v>
      </c>
      <c r="F1495" t="str">
        <f>VLOOKUP($A1495,[1]Table!$A$2:$N1732,F$1,FALSE)</f>
        <v>SYNER-KINASE (UROKINASE) 100.000 IE</v>
      </c>
      <c r="G1495" t="str">
        <f>VLOOKUP($A1495,[1]Table!$A$2:$N1732,G$1,FALSE)</f>
        <v>SYNER-KINASE (UROKINASE) 10</v>
      </c>
      <c r="H1495" t="str">
        <f>VLOOKUP($A1495,[1]Table!$A$2:$N1732,H$1,FALSE)</f>
        <v>poeder voor oplossing voor infusie</v>
      </c>
      <c r="I1495" t="str">
        <f>VLOOKUP($A1495,[1]Table!$A$2:$N1732,I$1,FALSE)</f>
        <v>iv</v>
      </c>
      <c r="J1495">
        <f>VLOOKUP($A1495,[1]Table!$A$2:$N1732,J$1,FALSE)</f>
        <v>100000</v>
      </c>
      <c r="K1495" t="str">
        <f>VLOOKUP($A1495,[1]Table!$A$2:$N1732,K$1,FALSE)</f>
        <v>IE/stuk</v>
      </c>
      <c r="L1495">
        <f>VLOOKUP($A1495,[1]Table!$A$2:$N1732,L$1,FALSE)</f>
        <v>100000</v>
      </c>
      <c r="M1495" t="str">
        <f>VLOOKUP($A1495,[1]Table!$A$2:$N1732,M$1,FALSE)</f>
        <v>IE</v>
      </c>
      <c r="N1495" t="str">
        <f>VLOOKUP($A1495,[1]Table!$A$2:$N1732,N$1,FALSE)</f>
        <v>Instillatie in centraal veneuze catheter||Trombolyse</v>
      </c>
    </row>
    <row r="1496" spans="1:15">
      <c r="A1496" s="9">
        <v>39128</v>
      </c>
      <c r="B1496" t="str">
        <f>VLOOKUP($A1496,[1]Table!$A$2:$N1643,B$1,FALSE)</f>
        <v>B01AD04</v>
      </c>
      <c r="C1496" t="str">
        <f>VLOOKUP($A1496,[1]Table!$A$2:$N1643,C$1,FALSE)</f>
        <v>ANTITHROMBOTICA</v>
      </c>
      <c r="D1496" t="str">
        <f>VLOOKUP($A1496,[1]Table!$A$2:$N1643,D$1,FALSE)</f>
        <v>ANTITHROMBOTICA</v>
      </c>
      <c r="E1496" t="str">
        <f>VLOOKUP($A1496,[1]Table!$A$2:$N1643,E$1,FALSE)</f>
        <v>UROKINASE</v>
      </c>
      <c r="F1496" t="str">
        <f>VLOOKUP($A1496,[1]Table!$A$2:$N1643,F$1,FALSE)</f>
        <v>MEDACINASE 250.000IE PINF</v>
      </c>
      <c r="G1496" t="str">
        <f>VLOOKUP($A1496,[1]Table!$A$2:$N1643,G$1,FALSE)</f>
        <v>UROKINASE 250.000IE INFPDR</v>
      </c>
      <c r="H1496" t="str">
        <f>VLOOKUP($A1496,[1]Table!$A$2:$N1643,H$1,FALSE)</f>
        <v>poeder voor oplossing voor infusie</v>
      </c>
      <c r="I1496" t="str">
        <f>VLOOKUP($A1496,[1]Table!$A$2:$N1643,I$1,FALSE)</f>
        <v>iv</v>
      </c>
      <c r="J1496">
        <f>VLOOKUP($A1496,[1]Table!$A$2:$N1643,J$1,FALSE)</f>
        <v>250000</v>
      </c>
      <c r="K1496" t="str">
        <f>VLOOKUP($A1496,[1]Table!$A$2:$N1643,K$1,FALSE)</f>
        <v>IE/stuk</v>
      </c>
      <c r="L1496">
        <f>VLOOKUP($A1496,[1]Table!$A$2:$N1643,L$1,FALSE)</f>
        <v>250000</v>
      </c>
      <c r="M1496" t="str">
        <f>VLOOKUP($A1496,[1]Table!$A$2:$N1643,M$1,FALSE)</f>
        <v>IE</v>
      </c>
      <c r="N1496" t="str">
        <f>VLOOKUP($A1496,[1]Table!$A$2:$N1643,N$1,FALSE)</f>
        <v>Instillatie in centraal veneuze catheter||Trombolyse</v>
      </c>
      <c r="O1496" t="str">
        <f>ConcatenateRange(AZ1496:BU1496,"||")</f>
        <v/>
      </c>
    </row>
    <row r="1497" spans="1:15">
      <c r="A1497" s="9">
        <v>73423</v>
      </c>
      <c r="B1497" t="str">
        <f>VLOOKUP($A1497,[1]Table!$A$2:$N1644,B$1,FALSE)</f>
        <v>B01AD04</v>
      </c>
      <c r="C1497" t="str">
        <f>VLOOKUP($A1497,[1]Table!$A$2:$N1644,C$1,FALSE)</f>
        <v>ANTITHROMBOTICA</v>
      </c>
      <c r="D1497" t="str">
        <f>VLOOKUP($A1497,[1]Table!$A$2:$N1644,D$1,FALSE)</f>
        <v>ANTITHROMBOTICA</v>
      </c>
      <c r="E1497" t="str">
        <f>VLOOKUP($A1497,[1]Table!$A$2:$N1644,E$1,FALSE)</f>
        <v>UROKINASE</v>
      </c>
      <c r="F1497" t="str">
        <f>VLOOKUP($A1497,[1]Table!$A$2:$N1644,F$1,FALSE)</f>
        <v>MEDACINASE 500.000IE PINF</v>
      </c>
      <c r="G1497" t="str">
        <f>VLOOKUP($A1497,[1]Table!$A$2:$N1644,G$1,FALSE)</f>
        <v>UROKINASE 500.000IE INFPDR</v>
      </c>
      <c r="H1497" t="str">
        <f>VLOOKUP($A1497,[1]Table!$A$2:$N1644,H$1,FALSE)</f>
        <v>poeder voor oplossing voor infusie</v>
      </c>
      <c r="I1497" t="str">
        <f>VLOOKUP($A1497,[1]Table!$A$2:$N1644,I$1,FALSE)</f>
        <v>iv||art</v>
      </c>
      <c r="J1497">
        <f>VLOOKUP($A1497,[1]Table!$A$2:$N1644,J$1,FALSE)</f>
        <v>500000</v>
      </c>
      <c r="K1497" t="str">
        <f>VLOOKUP($A1497,[1]Table!$A$2:$N1644,K$1,FALSE)</f>
        <v>IE/stuk</v>
      </c>
      <c r="L1497">
        <f>VLOOKUP($A1497,[1]Table!$A$2:$N1644,L$1,FALSE)</f>
        <v>500000</v>
      </c>
      <c r="M1497" t="str">
        <f>VLOOKUP($A1497,[1]Table!$A$2:$N1644,M$1,FALSE)</f>
        <v>IE</v>
      </c>
      <c r="N1497" t="str">
        <f>VLOOKUP($A1497,[1]Table!$A$2:$N1644,N$1,FALSE)</f>
        <v>Instillatie in centraal veneuze catheter||Trombolyse</v>
      </c>
      <c r="O1497" t="str">
        <f>ConcatenateRange(AZ1497:BU1497,"||")</f>
        <v/>
      </c>
    </row>
    <row r="1498" spans="1:15">
      <c r="A1498" s="9">
        <v>38679</v>
      </c>
      <c r="B1498" t="str">
        <f>VLOOKUP($A1498,[1]Table!$A$2:$N1645,B$1,FALSE)</f>
        <v>A05AA02</v>
      </c>
      <c r="C1498" t="str">
        <f>VLOOKUP($A1498,[1]Table!$A$2:$N1645,C$1,FALSE)</f>
        <v>GAL- EN LEVERTHERAPEUTICA</v>
      </c>
      <c r="D1498" t="str">
        <f>VLOOKUP($A1498,[1]Table!$A$2:$N1645,D$1,FALSE)</f>
        <v>GALTHERAPEUTICA</v>
      </c>
      <c r="E1498" t="str">
        <f>VLOOKUP($A1498,[1]Table!$A$2:$N1645,E$1,FALSE)</f>
        <v>URSODEOXYCHOLZUUR</v>
      </c>
      <c r="F1498" t="str">
        <f>VLOOKUP($A1498,[1]Table!$A$2:$N1645,F$1,FALSE)</f>
        <v>URSOFALK 250 MG CAPSULE</v>
      </c>
      <c r="G1498" t="str">
        <f>VLOOKUP($A1498,[1]Table!$A$2:$N1645,G$1,FALSE)</f>
        <v>URSODEOXYCHOLZUUR 250MG CAP</v>
      </c>
      <c r="H1498" t="str">
        <f>VLOOKUP($A1498,[1]Table!$A$2:$N1645,H$1,FALSE)</f>
        <v>capsule</v>
      </c>
      <c r="I1498" t="str">
        <f>VLOOKUP($A1498,[1]Table!$A$2:$N1645,I$1,FALSE)</f>
        <v>or</v>
      </c>
      <c r="J1498">
        <f>VLOOKUP($A1498,[1]Table!$A$2:$N1645,J$1,FALSE)</f>
        <v>250</v>
      </c>
      <c r="K1498" t="str">
        <f>VLOOKUP($A1498,[1]Table!$A$2:$N1645,K$1,FALSE)</f>
        <v>mg/stuk</v>
      </c>
      <c r="L1498">
        <f>VLOOKUP($A1498,[1]Table!$A$2:$N1645,L$1,FALSE)</f>
        <v>250</v>
      </c>
      <c r="M1498" t="str">
        <f>VLOOKUP($A1498,[1]Table!$A$2:$N1645,M$1,FALSE)</f>
        <v>mg</v>
      </c>
      <c r="N1498" t="str">
        <f>VLOOKUP($A1498,[1]Table!$A$2:$N1645,N$1,FALSE)</f>
        <v>Cholestase||Galstenen||Hepatobiliaire aandoeningen bij cystic fibrosis</v>
      </c>
      <c r="O1498" t="str">
        <f>ConcatenateRange(AZ1498:BU1498,"||")</f>
        <v/>
      </c>
    </row>
    <row r="1499" spans="1:15">
      <c r="A1499" s="9">
        <v>142255</v>
      </c>
      <c r="B1499" t="str">
        <f>VLOOKUP($A1499,[1]Table!$A$2:$N1646,B$1,FALSE)</f>
        <v>A05AA02</v>
      </c>
      <c r="C1499" t="str">
        <f>VLOOKUP($A1499,[1]Table!$A$2:$N1646,C$1,FALSE)</f>
        <v>GAL- EN LEVERTHERAPEUTICA</v>
      </c>
      <c r="D1499" t="str">
        <f>VLOOKUP($A1499,[1]Table!$A$2:$N1646,D$1,FALSE)</f>
        <v>GALTHERAPEUTICA</v>
      </c>
      <c r="E1499" t="str">
        <f>VLOOKUP($A1499,[1]Table!$A$2:$N1646,E$1,FALSE)</f>
        <v>URSODEOXYCHOLZUUR</v>
      </c>
      <c r="F1499" t="str">
        <f>VLOOKUP($A1499,[1]Table!$A$2:$N1646,F$1,FALSE)</f>
        <v>URSOFALK 50 MG/ML SUSPENSIE</v>
      </c>
      <c r="G1499" t="str">
        <f>VLOOKUP($A1499,[1]Table!$A$2:$N1646,G$1,FALSE)</f>
        <v>URSODEOXYCHOLZ 50MG/ML SUSP</v>
      </c>
      <c r="H1499" t="str">
        <f>VLOOKUP($A1499,[1]Table!$A$2:$N1646,H$1,FALSE)</f>
        <v>suspensie voor oraal gebruik</v>
      </c>
      <c r="I1499" t="str">
        <f>VLOOKUP($A1499,[1]Table!$A$2:$N1646,I$1,FALSE)</f>
        <v>or</v>
      </c>
      <c r="J1499">
        <f>VLOOKUP($A1499,[1]Table!$A$2:$N1646,J$1,FALSE)</f>
        <v>50</v>
      </c>
      <c r="K1499" t="str">
        <f>VLOOKUP($A1499,[1]Table!$A$2:$N1646,K$1,FALSE)</f>
        <v>mg/ml</v>
      </c>
      <c r="L1499">
        <f>VLOOKUP($A1499,[1]Table!$A$2:$N1646,L$1,FALSE)</f>
        <v>50</v>
      </c>
      <c r="M1499" t="str">
        <f>VLOOKUP($A1499,[1]Table!$A$2:$N1646,M$1,FALSE)</f>
        <v>mg</v>
      </c>
      <c r="N1499" t="str">
        <f>VLOOKUP($A1499,[1]Table!$A$2:$N1646,N$1,FALSE)</f>
        <v>Cholestase||Galstenen||Hepatobiliaire aandoeningen bij cystic fibrosis</v>
      </c>
      <c r="O1499" t="str">
        <f>ConcatenateRange(AZ1499:BU1499,"||")</f>
        <v/>
      </c>
    </row>
    <row r="1500" spans="1:15">
      <c r="A1500" s="9">
        <v>44237</v>
      </c>
      <c r="B1500" t="str">
        <f>VLOOKUP($A1500,[1]Table!$A$2:$N1647,B$1,FALSE)</f>
        <v>A05AA02</v>
      </c>
      <c r="C1500" t="str">
        <f>VLOOKUP($A1500,[1]Table!$A$2:$N1647,C$1,FALSE)</f>
        <v>GAL- EN LEVERTHERAPEUTICA</v>
      </c>
      <c r="D1500" t="str">
        <f>VLOOKUP($A1500,[1]Table!$A$2:$N1647,D$1,FALSE)</f>
        <v>GALTHERAPEUTICA</v>
      </c>
      <c r="E1500" t="str">
        <f>VLOOKUP($A1500,[1]Table!$A$2:$N1647,E$1,FALSE)</f>
        <v>URSODEOXYCHOLZUUR</v>
      </c>
      <c r="F1500" t="str">
        <f>VLOOKUP($A1500,[1]Table!$A$2:$N1647,F$1,FALSE)</f>
        <v>URSOCHOL 300 MG TABLET</v>
      </c>
      <c r="G1500" t="str">
        <f>VLOOKUP($A1500,[1]Table!$A$2:$N1647,G$1,FALSE)</f>
        <v>URSODEOXYCHOLZUUR 300MG TAB</v>
      </c>
      <c r="H1500" t="str">
        <f>VLOOKUP($A1500,[1]Table!$A$2:$N1647,H$1,FALSE)</f>
        <v>tablet</v>
      </c>
      <c r="I1500" t="str">
        <f>VLOOKUP($A1500,[1]Table!$A$2:$N1647,I$1,FALSE)</f>
        <v>or</v>
      </c>
      <c r="J1500">
        <f>VLOOKUP($A1500,[1]Table!$A$2:$N1647,J$1,FALSE)</f>
        <v>300</v>
      </c>
      <c r="K1500" t="str">
        <f>VLOOKUP($A1500,[1]Table!$A$2:$N1647,K$1,FALSE)</f>
        <v>mg/stuk</v>
      </c>
      <c r="L1500">
        <f>VLOOKUP($A1500,[1]Table!$A$2:$N1647,L$1,FALSE)</f>
        <v>150</v>
      </c>
      <c r="M1500" t="str">
        <f>VLOOKUP($A1500,[1]Table!$A$2:$N1647,M$1,FALSE)</f>
        <v>mg</v>
      </c>
      <c r="N1500" t="str">
        <f>VLOOKUP($A1500,[1]Table!$A$2:$N1647,N$1,FALSE)</f>
        <v>Cholestase||Galstenen||Hepatobiliaire aandoeningen bij cystic fibrosis</v>
      </c>
      <c r="O1500" t="str">
        <f>ConcatenateRange(AZ1500:BU1500,"||")</f>
        <v/>
      </c>
    </row>
    <row r="1501" spans="1:15">
      <c r="A1501" s="9">
        <v>131490</v>
      </c>
      <c r="B1501" t="str">
        <f>VLOOKUP($A1501,[1]Table!$A$2:$N1648,B$1,FALSE)</f>
        <v>L04AC05</v>
      </c>
      <c r="C1501" t="str">
        <f>VLOOKUP($A1501,[1]Table!$A$2:$N1648,C$1,FALSE)</f>
        <v>IMMUNOSUPPRESSIVA</v>
      </c>
      <c r="D1501" t="str">
        <f>VLOOKUP($A1501,[1]Table!$A$2:$N1648,D$1,FALSE)</f>
        <v>IMMUNOSUPPRESSIVA</v>
      </c>
      <c r="E1501" t="str">
        <f>VLOOKUP($A1501,[1]Table!$A$2:$N1648,E$1,FALSE)</f>
        <v>USTEKINUMAB</v>
      </c>
      <c r="F1501" t="str">
        <f>VLOOKUP($A1501,[1]Table!$A$2:$N1648,F$1,FALSE)</f>
        <v>STELARA 90 MG/ML INJ VLST 0.5 ML</v>
      </c>
      <c r="G1501" t="str">
        <f>VLOOKUP($A1501,[1]Table!$A$2:$N1648,G$1,FALSE)</f>
        <v>USTEKINUMAB 90MG/ML INJVLST</v>
      </c>
      <c r="H1501" t="str">
        <f>VLOOKUP($A1501,[1]Table!$A$2:$N1648,H$1,FALSE)</f>
        <v>injectievloeistof</v>
      </c>
      <c r="I1501" t="str">
        <f>VLOOKUP($A1501,[1]Table!$A$2:$N1648,I$1,FALSE)</f>
        <v>sc</v>
      </c>
      <c r="J1501">
        <f>VLOOKUP($A1501,[1]Table!$A$2:$N1648,J$1,FALSE)</f>
        <v>90</v>
      </c>
      <c r="K1501" t="str">
        <f>VLOOKUP($A1501,[1]Table!$A$2:$N1648,K$1,FALSE)</f>
        <v>mg/ml</v>
      </c>
      <c r="L1501">
        <f>VLOOKUP($A1501,[1]Table!$A$2:$N1648,L$1,FALSE)</f>
        <v>90</v>
      </c>
      <c r="M1501" t="str">
        <f>VLOOKUP($A1501,[1]Table!$A$2:$N1648,M$1,FALSE)</f>
        <v>mg</v>
      </c>
      <c r="N1501" t="str">
        <f>VLOOKUP($A1501,[1]Table!$A$2:$N1648,N$1,FALSE)</f>
        <v xml:space="preserve">Matige tot ernstige plaque psoriasis, met onvoldoende respons op of intolerantie voor andere therapien </v>
      </c>
      <c r="O1501" t="str">
        <f>ConcatenateRange(AZ1501:BU1501,"||")</f>
        <v/>
      </c>
    </row>
    <row r="1502" spans="1:15">
      <c r="A1502" s="9">
        <v>105457</v>
      </c>
      <c r="B1502" t="str">
        <f>VLOOKUP($A1502,[1]Table!$A$2:$N1649,B$1,FALSE)</f>
        <v>J05AB11</v>
      </c>
      <c r="C1502" t="str">
        <f>VLOOKUP($A1502,[1]Table!$A$2:$N1649,C$1,FALSE)</f>
        <v>ANTIVIRALE MIDDELEN VOOR SYSTEMISCH GEBRUIK</v>
      </c>
      <c r="D1502" t="str">
        <f>VLOOKUP($A1502,[1]Table!$A$2:$N1649,D$1,FALSE)</f>
        <v>DIRECT WERKENDE ANTIVIRALE MIDDELEN</v>
      </c>
      <c r="E1502" t="str">
        <f>VLOOKUP($A1502,[1]Table!$A$2:$N1649,E$1,FALSE)</f>
        <v>VALACICLOVIR</v>
      </c>
      <c r="F1502" t="str">
        <f>VLOOKUP($A1502,[1]Table!$A$2:$N1649,F$1,FALSE)</f>
        <v>ZELITREX 250 MG TABLET</v>
      </c>
      <c r="G1502" t="str">
        <f>VLOOKUP($A1502,[1]Table!$A$2:$N1649,G$1,FALSE)</f>
        <v>VALACICLOVIR 250MG TABLET</v>
      </c>
      <c r="H1502" t="str">
        <f>VLOOKUP($A1502,[1]Table!$A$2:$N1649,H$1,FALSE)</f>
        <v>tablet</v>
      </c>
      <c r="I1502" t="str">
        <f>VLOOKUP($A1502,[1]Table!$A$2:$N1649,I$1,FALSE)</f>
        <v>or</v>
      </c>
      <c r="J1502">
        <f>VLOOKUP($A1502,[1]Table!$A$2:$N1649,J$1,FALSE)</f>
        <v>250</v>
      </c>
      <c r="K1502" t="str">
        <f>VLOOKUP($A1502,[1]Table!$A$2:$N1649,K$1,FALSE)</f>
        <v>mg/stuk</v>
      </c>
      <c r="L1502">
        <f>VLOOKUP($A1502,[1]Table!$A$2:$N1649,L$1,FALSE)</f>
        <v>125</v>
      </c>
      <c r="M1502" t="str">
        <f>VLOOKUP($A1502,[1]Table!$A$2:$N1649,M$1,FALSE)</f>
        <v>mg</v>
      </c>
      <c r="N1502" t="str">
        <f>VLOOKUP($A1502,[1]Table!$A$2:$N1649,N$1,FALSE)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2" t="str">
        <f>ConcatenateRange(AZ1502:BU1502,"||")</f>
        <v/>
      </c>
    </row>
    <row r="1503" spans="1:15">
      <c r="A1503" s="9">
        <v>97845</v>
      </c>
      <c r="B1503" t="str">
        <f>VLOOKUP($A1503,[1]Table!$A$2:$N1650,B$1,FALSE)</f>
        <v>J05AB11</v>
      </c>
      <c r="C1503" t="str">
        <f>VLOOKUP($A1503,[1]Table!$A$2:$N1650,C$1,FALSE)</f>
        <v>ANTIVIRALE MIDDELEN VOOR SYSTEMISCH GEBRUIK</v>
      </c>
      <c r="D1503" t="str">
        <f>VLOOKUP($A1503,[1]Table!$A$2:$N1650,D$1,FALSE)</f>
        <v>DIRECT WERKENDE ANTIVIRALE MIDDELEN</v>
      </c>
      <c r="E1503" t="str">
        <f>VLOOKUP($A1503,[1]Table!$A$2:$N1650,E$1,FALSE)</f>
        <v>VALACICLOVIR</v>
      </c>
      <c r="F1503" t="str">
        <f>VLOOKUP($A1503,[1]Table!$A$2:$N1650,F$1,FALSE)</f>
        <v>ZELITREX 500 MG TABLET</v>
      </c>
      <c r="G1503" t="str">
        <f>VLOOKUP($A1503,[1]Table!$A$2:$N1650,G$1,FALSE)</f>
        <v>VALACICLOVIR 500MG TABLET</v>
      </c>
      <c r="H1503" t="str">
        <f>VLOOKUP($A1503,[1]Table!$A$2:$N1650,H$1,FALSE)</f>
        <v>tablet</v>
      </c>
      <c r="I1503" t="str">
        <f>VLOOKUP($A1503,[1]Table!$A$2:$N1650,I$1,FALSE)</f>
        <v>or</v>
      </c>
      <c r="J1503">
        <f>VLOOKUP($A1503,[1]Table!$A$2:$N1650,J$1,FALSE)</f>
        <v>500</v>
      </c>
      <c r="K1503" t="str">
        <f>VLOOKUP($A1503,[1]Table!$A$2:$N1650,K$1,FALSE)</f>
        <v>mg/stuk</v>
      </c>
      <c r="L1503">
        <f>VLOOKUP($A1503,[1]Table!$A$2:$N1650,L$1,FALSE)</f>
        <v>500</v>
      </c>
      <c r="M1503" t="str">
        <f>VLOOKUP($A1503,[1]Table!$A$2:$N1650,M$1,FALSE)</f>
        <v>mg</v>
      </c>
      <c r="N1503" t="str">
        <f>VLOOKUP($A1503,[1]Table!$A$2:$N1650,N$1,FALSE)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3" t="str">
        <f>ConcatenateRange(AZ1503:BU1503,"||")</f>
        <v/>
      </c>
    </row>
    <row r="1504" spans="1:15">
      <c r="A1504" s="9">
        <v>164526</v>
      </c>
      <c r="B1504" t="str">
        <f>VLOOKUP($A1504,[1]Table!$A$2:$N1651,B$1,FALSE)</f>
        <v>J05AB14</v>
      </c>
      <c r="C1504" t="str">
        <f>VLOOKUP($A1504,[1]Table!$A$2:$N1651,C$1,FALSE)</f>
        <v>ANTIVIRALE MIDDELEN VOOR SYSTEMISCH GEBRUIK</v>
      </c>
      <c r="D1504" t="str">
        <f>VLOOKUP($A1504,[1]Table!$A$2:$N1651,D$1,FALSE)</f>
        <v>DIRECT WERKENDE ANTIVIRALE MIDDELEN</v>
      </c>
      <c r="E1504" t="str">
        <f>VLOOKUP($A1504,[1]Table!$A$2:$N1651,E$1,FALSE)</f>
        <v>VALGANCICLOVIR</v>
      </c>
      <c r="F1504" t="str">
        <f>VLOOKUP($A1504,[1]Table!$A$2:$N1651,F$1,FALSE)</f>
        <v>VALCYTE 50 MG/ML DRANK 100 ML</v>
      </c>
      <c r="G1504" t="str">
        <f>VLOOKUP($A1504,[1]Table!$A$2:$N1651,G$1,FALSE)</f>
        <v>VALGANCICLOVIR 50MG/ML DRAN</v>
      </c>
      <c r="H1504" t="str">
        <f>VLOOKUP($A1504,[1]Table!$A$2:$N1651,H$1,FALSE)</f>
        <v>drank</v>
      </c>
      <c r="I1504" t="str">
        <f>VLOOKUP($A1504,[1]Table!$A$2:$N1651,I$1,FALSE)</f>
        <v>or</v>
      </c>
      <c r="J1504">
        <f>VLOOKUP($A1504,[1]Table!$A$2:$N1651,J$1,FALSE)</f>
        <v>50</v>
      </c>
      <c r="K1504" t="str">
        <f>VLOOKUP($A1504,[1]Table!$A$2:$N1651,K$1,FALSE)</f>
        <v>mg/ml</v>
      </c>
      <c r="L1504">
        <f>VLOOKUP($A1504,[1]Table!$A$2:$N1651,L$1,FALSE)</f>
        <v>50</v>
      </c>
      <c r="M1504" t="str">
        <f>VLOOKUP($A1504,[1]Table!$A$2:$N1651,M$1,FALSE)</f>
        <v>mg</v>
      </c>
      <c r="N1504" t="str">
        <f>VLOOKUP($A1504,[1]Table!$A$2:$N1651,N$1,FALSE)</f>
        <v>Profylaxe bij orgaantransplantatie||Behandeling aangeboren symptomatische CMV infectie||Behandeling CMV||Behandeling Epstein-Barr virus na lever transplantatie</v>
      </c>
      <c r="O1504" t="str">
        <f>ConcatenateRange(AZ1504:BU1504,"||")</f>
        <v/>
      </c>
    </row>
    <row r="1505" spans="1:30">
      <c r="A1505" s="9">
        <v>114510</v>
      </c>
      <c r="B1505" t="str">
        <f>VLOOKUP($A1505,[1]Table!$A$2:$N1652,B$1,FALSE)</f>
        <v>J05AB14</v>
      </c>
      <c r="C1505" t="str">
        <f>VLOOKUP($A1505,[1]Table!$A$2:$N1652,C$1,FALSE)</f>
        <v>ANTIVIRALE MIDDELEN VOOR SYSTEMISCH GEBRUIK</v>
      </c>
      <c r="D1505" t="str">
        <f>VLOOKUP($A1505,[1]Table!$A$2:$N1652,D$1,FALSE)</f>
        <v>DIRECT WERKENDE ANTIVIRALE MIDDELEN</v>
      </c>
      <c r="E1505" t="str">
        <f>VLOOKUP($A1505,[1]Table!$A$2:$N1652,E$1,FALSE)</f>
        <v>VALGANCICLOVIR</v>
      </c>
      <c r="F1505" t="str">
        <f>VLOOKUP($A1505,[1]Table!$A$2:$N1652,F$1,FALSE)</f>
        <v>VALGANCICLOVIR 450 MG TABLET FILMOMHULD</v>
      </c>
      <c r="G1505" t="str">
        <f>VLOOKUP($A1505,[1]Table!$A$2:$N1652,G$1,FALSE)</f>
        <v>VALGANCICLOVIR 450MG TABLET</v>
      </c>
      <c r="H1505" t="str">
        <f>VLOOKUP($A1505,[1]Table!$A$2:$N1652,H$1,FALSE)</f>
        <v>filmomhulde tablet</v>
      </c>
      <c r="I1505" t="str">
        <f>VLOOKUP($A1505,[1]Table!$A$2:$N1652,I$1,FALSE)</f>
        <v>or</v>
      </c>
      <c r="J1505">
        <f>VLOOKUP($A1505,[1]Table!$A$2:$N1652,J$1,FALSE)</f>
        <v>450</v>
      </c>
      <c r="K1505" t="str">
        <f>VLOOKUP($A1505,[1]Table!$A$2:$N1652,K$1,FALSE)</f>
        <v>mg/stuk</v>
      </c>
      <c r="L1505">
        <f>VLOOKUP($A1505,[1]Table!$A$2:$N1652,L$1,FALSE)</f>
        <v>450</v>
      </c>
      <c r="M1505" t="str">
        <f>VLOOKUP($A1505,[1]Table!$A$2:$N1652,M$1,FALSE)</f>
        <v>mg</v>
      </c>
      <c r="N1505" t="str">
        <f>VLOOKUP($A1505,[1]Table!$A$2:$N1652,N$1,FALSE)</f>
        <v>Profylaxe bij orgaantransplantatie||Behandeling aangeboren symptomatische CMV infectie||Behandeling CMV||Behandeling Epstein-Barr virus na lever transplantatie</v>
      </c>
      <c r="O1505" t="str">
        <f>ConcatenateRange(AZ1505:BU1505,"||")</f>
        <v/>
      </c>
    </row>
    <row r="1506" spans="1:30">
      <c r="A1506" s="9">
        <v>97888</v>
      </c>
      <c r="B1506" t="str">
        <f>VLOOKUP($A1506,[1]Table!$A$2:$N1653,B$1,FALSE)</f>
        <v>N03AG01</v>
      </c>
      <c r="C1506" t="str">
        <f>VLOOKUP($A1506,[1]Table!$A$2:$N1653,C$1,FALSE)</f>
        <v>ANTI-EPILEPTICA</v>
      </c>
      <c r="D1506" t="str">
        <f>VLOOKUP($A1506,[1]Table!$A$2:$N1653,D$1,FALSE)</f>
        <v>ANTI-EPILEPTICA</v>
      </c>
      <c r="E1506" t="str">
        <f>VLOOKUP($A1506,[1]Table!$A$2:$N1653,E$1,FALSE)</f>
        <v>VALPROINEZUUR</v>
      </c>
      <c r="F1506" t="str">
        <f>VLOOKUP($A1506,[1]Table!$A$2:$N1653,F$1,FALSE)</f>
        <v>DEPAKINE 40 MG/ML SIROOP 300ML</v>
      </c>
      <c r="G1506" t="str">
        <f>VLOOKUP($A1506,[1]Table!$A$2:$N1653,G$1,FALSE)</f>
        <v>VALPROINEZUUR 40MG/ML</v>
      </c>
      <c r="H1506" t="str">
        <f>VLOOKUP($A1506,[1]Table!$A$2:$N1653,H$1,FALSE)</f>
        <v>drank</v>
      </c>
      <c r="I1506" t="str">
        <f>VLOOKUP($A1506,[1]Table!$A$2:$N1653,I$1,FALSE)</f>
        <v>or</v>
      </c>
      <c r="J1506">
        <f>VLOOKUP($A1506,[1]Table!$A$2:$N1653,J$1,FALSE)</f>
        <v>40</v>
      </c>
      <c r="K1506" t="str">
        <f>VLOOKUP($A1506,[1]Table!$A$2:$N1653,K$1,FALSE)</f>
        <v>mg/ml</v>
      </c>
      <c r="L1506">
        <f>VLOOKUP($A1506,[1]Table!$A$2:$N1653,L$1,FALSE)</f>
        <v>40</v>
      </c>
      <c r="M1506" t="str">
        <f>VLOOKUP($A1506,[1]Table!$A$2:$N1653,M$1,FALSE)</f>
        <v>mg</v>
      </c>
      <c r="N1506" t="str">
        <f>VLOOKUP($A1506,[1]Table!$A$2:$N1653,N$1,FALSE)</f>
        <v>Epilepsie, primair gegeneraliseerde en partiele aanvallen||Bipolaire stoornis type I en II</v>
      </c>
      <c r="O1506" t="str">
        <f>ConcatenateRange(AZ1506:BU1506,"||")</f>
        <v/>
      </c>
    </row>
    <row r="1507" spans="1:30">
      <c r="A1507" s="9">
        <v>124095</v>
      </c>
      <c r="B1507" t="str">
        <f>VLOOKUP($A1507,[1]Table!$A$2:$N1654,B$1,FALSE)</f>
        <v>N03AG01</v>
      </c>
      <c r="C1507" t="str">
        <f>VLOOKUP($A1507,[1]Table!$A$2:$N1654,C$1,FALSE)</f>
        <v>ANTI-EPILEPTICA</v>
      </c>
      <c r="D1507" t="str">
        <f>VLOOKUP($A1507,[1]Table!$A$2:$N1654,D$1,FALSE)</f>
        <v>ANTI-EPILEPTICA</v>
      </c>
      <c r="E1507" t="str">
        <f>VLOOKUP($A1507,[1]Table!$A$2:$N1654,E$1,FALSE)</f>
        <v>VALPROINEZUUR</v>
      </c>
      <c r="F1507" t="str">
        <f>VLOOKUP($A1507,[1]Table!$A$2:$N1654,F$1,FALSE)</f>
        <v>DEPAKINE 300 MG/ML OPLOSSING 60ML</v>
      </c>
      <c r="G1507" t="str">
        <f>VLOOKUP($A1507,[1]Table!$A$2:$N1654,G$1,FALSE)</f>
        <v>VALPROINEZUUR 300MG/ML DRAN</v>
      </c>
      <c r="H1507" t="str">
        <f>VLOOKUP($A1507,[1]Table!$A$2:$N1654,H$1,FALSE)</f>
        <v>drank</v>
      </c>
      <c r="I1507" t="str">
        <f>VLOOKUP($A1507,[1]Table!$A$2:$N1654,I$1,FALSE)</f>
        <v>or</v>
      </c>
      <c r="J1507">
        <f>VLOOKUP($A1507,[1]Table!$A$2:$N1654,J$1,FALSE)</f>
        <v>300</v>
      </c>
      <c r="K1507" t="str">
        <f>VLOOKUP($A1507,[1]Table!$A$2:$N1654,K$1,FALSE)</f>
        <v>mg/ml</v>
      </c>
      <c r="L1507">
        <f>VLOOKUP($A1507,[1]Table!$A$2:$N1654,L$1,FALSE)</f>
        <v>300</v>
      </c>
      <c r="M1507" t="str">
        <f>VLOOKUP($A1507,[1]Table!$A$2:$N1654,M$1,FALSE)</f>
        <v>mg</v>
      </c>
      <c r="N1507" t="str">
        <f>VLOOKUP($A1507,[1]Table!$A$2:$N1654,N$1,FALSE)</f>
        <v>Epilepsie, primair gegeneraliseerde en partiele aanvallen||Bipolaire stoornis type I en II</v>
      </c>
      <c r="O1507" t="str">
        <f>ConcatenateRange(AZ1507:BU1507,"||")</f>
        <v/>
      </c>
    </row>
    <row r="1508" spans="1:30">
      <c r="A1508" s="9">
        <v>124761</v>
      </c>
      <c r="B1508" t="str">
        <f>VLOOKUP($A1508,[1]Table!$A$2:$N1661,B$1,FALSE)</f>
        <v>N03AG01</v>
      </c>
      <c r="C1508" t="str">
        <f>VLOOKUP($A1508,[1]Table!$A$2:$N1661,C$1,FALSE)</f>
        <v>ANTI-EPILEPTICA</v>
      </c>
      <c r="D1508" t="str">
        <f>VLOOKUP($A1508,[1]Table!$A$2:$N1661,D$1,FALSE)</f>
        <v>ANTI-EPILEPTICA</v>
      </c>
      <c r="E1508" t="str">
        <f>VLOOKUP($A1508,[1]Table!$A$2:$N1661,E$1,FALSE)</f>
        <v>VALPROINEZUUR</v>
      </c>
      <c r="F1508" t="str">
        <f>VLOOKUP($A1508,[1]Table!$A$2:$N1661,F$1,FALSE)</f>
        <v>DEPAKINE CHRONOSPHERE 100 MG GRANULAAT MGA</v>
      </c>
      <c r="G1508" t="str">
        <f>VLOOKUP($A1508,[1]Table!$A$2:$N1661,G$1,FALSE)</f>
        <v>VALPROINEZUUR 100MG GRANULA</v>
      </c>
      <c r="H1508" t="str">
        <f>VLOOKUP($A1508,[1]Table!$A$2:$N1661,H$1,FALSE)</f>
        <v>granulaat met gereguleerde afgifte</v>
      </c>
      <c r="I1508" t="str">
        <f>VLOOKUP($A1508,[1]Table!$A$2:$N1661,I$1,FALSE)</f>
        <v>or</v>
      </c>
      <c r="J1508">
        <f>VLOOKUP($A1508,[1]Table!$A$2:$N1661,J$1,FALSE)</f>
        <v>29</v>
      </c>
      <c r="K1508" t="str">
        <f>VLOOKUP($A1508,[1]Table!$A$2:$N1661,K$1,FALSE)</f>
        <v>mg/stuk</v>
      </c>
      <c r="L1508">
        <f>VLOOKUP($A1508,[1]Table!$A$2:$N1661,L$1,FALSE)</f>
        <v>29</v>
      </c>
      <c r="M1508" t="str">
        <f>VLOOKUP($A1508,[1]Table!$A$2:$N1661,M$1,FALSE)</f>
        <v>mg</v>
      </c>
      <c r="N1508" t="str">
        <f>VLOOKUP($A1508,[1]Table!$A$2:$N1661,N$1,FALSE)</f>
        <v>Epilepsie, primair gegeneraliseerde en partiele aanvallen||Bipolaire stoornis type I en II</v>
      </c>
      <c r="O1508" t="str">
        <f>ConcatenateRange(AZ1508:BU1508,"||")</f>
        <v/>
      </c>
    </row>
    <row r="1509" spans="1:30">
      <c r="A1509" s="1">
        <v>124788</v>
      </c>
      <c r="B1509" t="str">
        <f>VLOOKUP($A1509,[1]Table!$A$2:$N1662,B$1,FALSE)</f>
        <v>N03AG01</v>
      </c>
      <c r="C1509" t="str">
        <f>VLOOKUP($A1509,[1]Table!$A$2:$N1662,C$1,FALSE)</f>
        <v>ANTI-EPILEPTICA</v>
      </c>
      <c r="D1509" t="str">
        <f>VLOOKUP($A1509,[1]Table!$A$2:$N1662,D$1,FALSE)</f>
        <v>ANTI-EPILEPTICA</v>
      </c>
      <c r="E1509" t="str">
        <f>VLOOKUP($A1509,[1]Table!$A$2:$N1662,E$1,FALSE)</f>
        <v>VALPROINEZUUR</v>
      </c>
      <c r="F1509" t="str">
        <f>VLOOKUP($A1509,[1]Table!$A$2:$N1662,F$1,FALSE)</f>
        <v>DEPAKINE CHRONOSPHERE 500 MG GRANULAAT MGA</v>
      </c>
      <c r="G1509" t="str">
        <f>VLOOKUP($A1509,[1]Table!$A$2:$N1662,G$1,FALSE)</f>
        <v>VALPROINEZUUR 500MG GRANULA</v>
      </c>
      <c r="H1509" t="str">
        <f>VLOOKUP($A1509,[1]Table!$A$2:$N1662,H$1,FALSE)</f>
        <v>granulaat met gereguleerde afgifte</v>
      </c>
      <c r="I1509" t="str">
        <f>VLOOKUP($A1509,[1]Table!$A$2:$N1662,I$1,FALSE)</f>
        <v>or</v>
      </c>
      <c r="J1509">
        <f>VLOOKUP($A1509,[1]Table!$A$2:$N1662,J$1,FALSE)</f>
        <v>145.1</v>
      </c>
      <c r="K1509" t="str">
        <f>VLOOKUP($A1509,[1]Table!$A$2:$N1662,K$1,FALSE)</f>
        <v>mg/stuk</v>
      </c>
      <c r="L1509">
        <f>VLOOKUP($A1509,[1]Table!$A$2:$N1662,L$1,FALSE)</f>
        <v>145.1</v>
      </c>
      <c r="M1509" t="str">
        <f>VLOOKUP($A1509,[1]Table!$A$2:$N1662,M$1,FALSE)</f>
        <v>mg</v>
      </c>
      <c r="N1509" t="str">
        <f>VLOOKUP($A1509,[1]Table!$A$2:$N1662,N$1,FALSE)</f>
        <v>Epilepsie, primair gegeneraliseerde en partiele aanvallen||Bipolaire stoornis type I en II</v>
      </c>
      <c r="O1509" t="str">
        <f>ConcatenateRange(AZ1509:BU1509,"||")</f>
        <v/>
      </c>
    </row>
    <row r="1510" spans="1:30">
      <c r="A1510" s="9">
        <v>113913</v>
      </c>
      <c r="B1510" t="str">
        <f>VLOOKUP($A1510,[1]Table!$A$2:$N1655,B$1,FALSE)</f>
        <v>N03AG01</v>
      </c>
      <c r="C1510" t="str">
        <f>VLOOKUP($A1510,[1]Table!$A$2:$N1655,C$1,FALSE)</f>
        <v>ANTI-EPILEPTICA</v>
      </c>
      <c r="D1510" t="str">
        <f>VLOOKUP($A1510,[1]Table!$A$2:$N1655,D$1,FALSE)</f>
        <v>ANTI-EPILEPTICA</v>
      </c>
      <c r="E1510" t="str">
        <f>VLOOKUP($A1510,[1]Table!$A$2:$N1655,E$1,FALSE)</f>
        <v>VALPROINEZUUR</v>
      </c>
      <c r="F1510" t="str">
        <f>VLOOKUP($A1510,[1]Table!$A$2:$N1655,F$1,FALSE)</f>
        <v>ORFIRIL 100MG/ML AMPUL 3 ML</v>
      </c>
      <c r="G1510" t="str">
        <f>VLOOKUP($A1510,[1]Table!$A$2:$N1655,G$1,FALSE)</f>
        <v>VALPROINEZUUR 100MG/ML INJV</v>
      </c>
      <c r="H1510" t="str">
        <f>VLOOKUP($A1510,[1]Table!$A$2:$N1655,H$1,FALSE)</f>
        <v>injectievloeistof</v>
      </c>
      <c r="I1510" t="str">
        <f>VLOOKUP($A1510,[1]Table!$A$2:$N1655,I$1,FALSE)</f>
        <v>iv</v>
      </c>
      <c r="J1510">
        <f>VLOOKUP($A1510,[1]Table!$A$2:$N1655,J$1,FALSE)</f>
        <v>100</v>
      </c>
      <c r="K1510" t="str">
        <f>VLOOKUP($A1510,[1]Table!$A$2:$N1655,K$1,FALSE)</f>
        <v>mg/ml</v>
      </c>
      <c r="L1510">
        <f>VLOOKUP($A1510,[1]Table!$A$2:$N1655,L$1,FALSE)</f>
        <v>100</v>
      </c>
      <c r="M1510" t="str">
        <f>VLOOKUP($A1510,[1]Table!$A$2:$N1655,M$1,FALSE)</f>
        <v>mg</v>
      </c>
      <c r="N1510" t="str">
        <f>VLOOKUP($A1510,[1]Table!$A$2:$N1655,N$1,FALSE)</f>
        <v>Epilepsie, primair gegeneraliseerde en partiele aanvallen||Bipolaire stoornis type I en II</v>
      </c>
      <c r="O1510" t="str">
        <f>ConcatenateRange(AZ1510:BU1510,"||")</f>
        <v/>
      </c>
    </row>
    <row r="1511" spans="1:30">
      <c r="A1511" s="9">
        <v>14397</v>
      </c>
      <c r="B1511" t="str">
        <f>VLOOKUP($A1511,[1]Table!$A$2:$N1656,B$1,FALSE)</f>
        <v>N03AG01</v>
      </c>
      <c r="C1511" t="str">
        <f>VLOOKUP($A1511,[1]Table!$A$2:$N1656,C$1,FALSE)</f>
        <v>ANTI-EPILEPTICA</v>
      </c>
      <c r="D1511" t="str">
        <f>VLOOKUP($A1511,[1]Table!$A$2:$N1656,D$1,FALSE)</f>
        <v>ANTI-EPILEPTICA</v>
      </c>
      <c r="E1511" t="str">
        <f>VLOOKUP($A1511,[1]Table!$A$2:$N1656,E$1,FALSE)</f>
        <v>VALPROINEZUUR</v>
      </c>
      <c r="F1511" t="str">
        <f>VLOOKUP($A1511,[1]Table!$A$2:$N1656,F$1,FALSE)</f>
        <v>DEPAKINE ENTERIC 150 MG TABLET MSR</v>
      </c>
      <c r="G1511" t="str">
        <f>VLOOKUP($A1511,[1]Table!$A$2:$N1656,G$1,FALSE)</f>
        <v>VALPROINEZUUR 150MG TAB MSR</v>
      </c>
      <c r="H1511" t="str">
        <f>VLOOKUP($A1511,[1]Table!$A$2:$N1656,H$1,FALSE)</f>
        <v>maagsapresistente tablet</v>
      </c>
      <c r="I1511" t="str">
        <f>VLOOKUP($A1511,[1]Table!$A$2:$N1656,I$1,FALSE)</f>
        <v>or</v>
      </c>
      <c r="J1511">
        <f>VLOOKUP($A1511,[1]Table!$A$2:$N1656,J$1,FALSE)</f>
        <v>150</v>
      </c>
      <c r="K1511" t="str">
        <f>VLOOKUP($A1511,[1]Table!$A$2:$N1656,K$1,FALSE)</f>
        <v>mg/stuk</v>
      </c>
      <c r="L1511">
        <f>VLOOKUP($A1511,[1]Table!$A$2:$N1656,L$1,FALSE)</f>
        <v>150</v>
      </c>
      <c r="M1511" t="str">
        <f>VLOOKUP($A1511,[1]Table!$A$2:$N1656,M$1,FALSE)</f>
        <v>mg</v>
      </c>
      <c r="N1511" t="str">
        <f>VLOOKUP($A1511,[1]Table!$A$2:$N1656,N$1,FALSE)</f>
        <v>Epilepsie, primair gegeneraliseerde en partiele aanvallen||Bipolaire stoornis type I en II</v>
      </c>
      <c r="O1511" t="str">
        <f>ConcatenateRange(AZ1511:BU1511,"||")</f>
        <v/>
      </c>
    </row>
    <row r="1512" spans="1:30">
      <c r="A1512" s="9">
        <v>14400</v>
      </c>
      <c r="B1512" t="str">
        <f>VLOOKUP($A1512,[1]Table!$A$2:$N1657,B$1,FALSE)</f>
        <v>N03AG01</v>
      </c>
      <c r="C1512" t="str">
        <f>VLOOKUP($A1512,[1]Table!$A$2:$N1657,C$1,FALSE)</f>
        <v>ANTI-EPILEPTICA</v>
      </c>
      <c r="D1512" t="str">
        <f>VLOOKUP($A1512,[1]Table!$A$2:$N1657,D$1,FALSE)</f>
        <v>ANTI-EPILEPTICA</v>
      </c>
      <c r="E1512" t="str">
        <f>VLOOKUP($A1512,[1]Table!$A$2:$N1657,E$1,FALSE)</f>
        <v>VALPROINEZUUR</v>
      </c>
      <c r="F1512" t="str">
        <f>VLOOKUP($A1512,[1]Table!$A$2:$N1657,F$1,FALSE)</f>
        <v>DEPAKINE ENTERIC 300 MG TABLET MSR</v>
      </c>
      <c r="G1512" t="str">
        <f>VLOOKUP($A1512,[1]Table!$A$2:$N1657,G$1,FALSE)</f>
        <v>VALPROINEZUUR 300MG TAB MSR</v>
      </c>
      <c r="H1512" t="str">
        <f>VLOOKUP($A1512,[1]Table!$A$2:$N1657,H$1,FALSE)</f>
        <v>maagsapresistente tablet</v>
      </c>
      <c r="I1512" t="str">
        <f>VLOOKUP($A1512,[1]Table!$A$2:$N1657,I$1,FALSE)</f>
        <v>or</v>
      </c>
      <c r="J1512">
        <f>VLOOKUP($A1512,[1]Table!$A$2:$N1657,J$1,FALSE)</f>
        <v>300</v>
      </c>
      <c r="K1512" t="str">
        <f>VLOOKUP($A1512,[1]Table!$A$2:$N1657,K$1,FALSE)</f>
        <v>mg/stuk</v>
      </c>
      <c r="L1512">
        <f>VLOOKUP($A1512,[1]Table!$A$2:$N1657,L$1,FALSE)</f>
        <v>300</v>
      </c>
      <c r="M1512" t="str">
        <f>VLOOKUP($A1512,[1]Table!$A$2:$N1657,M$1,FALSE)</f>
        <v>mg</v>
      </c>
      <c r="N1512" t="str">
        <f>VLOOKUP($A1512,[1]Table!$A$2:$N1657,N$1,FALSE)</f>
        <v>Epilepsie, primair gegeneraliseerde en partiele aanvallen||Bipolaire stoornis type I en II</v>
      </c>
      <c r="O1512" t="str">
        <f>ConcatenateRange(AZ1512:BU1512,"||")</f>
        <v/>
      </c>
    </row>
    <row r="1513" spans="1:30">
      <c r="A1513" s="9">
        <v>14419</v>
      </c>
      <c r="B1513" t="str">
        <f>VLOOKUP($A1513,[1]Table!$A$2:$N1658,B$1,FALSE)</f>
        <v>N03AG01</v>
      </c>
      <c r="C1513" t="str">
        <f>VLOOKUP($A1513,[1]Table!$A$2:$N1658,C$1,FALSE)</f>
        <v>ANTI-EPILEPTICA</v>
      </c>
      <c r="D1513" t="str">
        <f>VLOOKUP($A1513,[1]Table!$A$2:$N1658,D$1,FALSE)</f>
        <v>ANTI-EPILEPTICA</v>
      </c>
      <c r="E1513" t="str">
        <f>VLOOKUP($A1513,[1]Table!$A$2:$N1658,E$1,FALSE)</f>
        <v>VALPROINEZUUR</v>
      </c>
      <c r="F1513" t="str">
        <f>VLOOKUP($A1513,[1]Table!$A$2:$N1658,F$1,FALSE)</f>
        <v>DEPAKINE ENTERIC 500 MG TABLET MSR</v>
      </c>
      <c r="G1513" t="str">
        <f>VLOOKUP($A1513,[1]Table!$A$2:$N1658,G$1,FALSE)</f>
        <v>VALPROINEZUUR 500MG TAB MSR</v>
      </c>
      <c r="H1513" t="str">
        <f>VLOOKUP($A1513,[1]Table!$A$2:$N1658,H$1,FALSE)</f>
        <v>maagsapresistente tablet</v>
      </c>
      <c r="I1513" t="str">
        <f>VLOOKUP($A1513,[1]Table!$A$2:$N1658,I$1,FALSE)</f>
        <v>or</v>
      </c>
      <c r="J1513">
        <f>VLOOKUP($A1513,[1]Table!$A$2:$N1658,J$1,FALSE)</f>
        <v>500</v>
      </c>
      <c r="K1513" t="str">
        <f>VLOOKUP($A1513,[1]Table!$A$2:$N1658,K$1,FALSE)</f>
        <v>mg/stuk</v>
      </c>
      <c r="L1513">
        <f>VLOOKUP($A1513,[1]Table!$A$2:$N1658,L$1,FALSE)</f>
        <v>500</v>
      </c>
      <c r="M1513" t="str">
        <f>VLOOKUP($A1513,[1]Table!$A$2:$N1658,M$1,FALSE)</f>
        <v>mg</v>
      </c>
      <c r="N1513" t="str">
        <f>VLOOKUP($A1513,[1]Table!$A$2:$N1658,N$1,FALSE)</f>
        <v>Epilepsie, primair gegeneraliseerde en partiele aanvallen||Bipolaire stoornis type I en II</v>
      </c>
      <c r="O1513" t="str">
        <f>ConcatenateRange(AZ1513:BU1513,"||")</f>
        <v/>
      </c>
    </row>
    <row r="1514" spans="1:30">
      <c r="A1514" s="8">
        <v>77232</v>
      </c>
      <c r="B1514" t="str">
        <f>VLOOKUP($A1514,[1]Table!$A$2:$N1663,B$1,FALSE)</f>
        <v>N03AG01</v>
      </c>
      <c r="C1514" t="str">
        <f>VLOOKUP($A1514,[1]Table!$A$2:$N1663,C$1,FALSE)</f>
        <v>ANTI-EPILEPTICA</v>
      </c>
      <c r="D1514" t="str">
        <f>VLOOKUP($A1514,[1]Table!$A$2:$N1663,D$1,FALSE)</f>
        <v>ANTI-EPILEPTICA</v>
      </c>
      <c r="E1514" t="s">
        <v>124</v>
      </c>
      <c r="F1514" t="str">
        <f>VLOOKUP($A1514,[1]Table!$A$2:$N1663,F$1,FALSE)</f>
        <v>DEPAKINE CHRONO 300 MG TABLET MGA (RETARD)</v>
      </c>
      <c r="G1514" t="str">
        <f>VLOOKUP($A1514,[1]Table!$A$2:$N1663,G$1,FALSE)</f>
        <v>VALPROINEZUUR 300MG TAB MGA</v>
      </c>
      <c r="H1514" t="str">
        <f>VLOOKUP($A1514,[1]Table!$A$2:$N1663,H$1,FALSE)</f>
        <v>tablet met gereguleerde afgifte</v>
      </c>
      <c r="I1514" t="str">
        <f>VLOOKUP($A1514,[1]Table!$A$2:$N1663,I$1,FALSE)</f>
        <v>or</v>
      </c>
      <c r="J1514">
        <f>VLOOKUP($A1514,[1]Table!$A$2:$N1663,J$1,FALSE)</f>
        <v>87</v>
      </c>
      <c r="K1514" t="str">
        <f>VLOOKUP($A1514,[1]Table!$A$2:$N1663,K$1,FALSE)</f>
        <v>mg/stuk</v>
      </c>
      <c r="L1514">
        <f>VLOOKUP($A1514,[1]Table!$A$2:$N1663,L$1,FALSE)</f>
        <v>43.5</v>
      </c>
      <c r="M1514" t="str">
        <f>VLOOKUP($A1514,[1]Table!$A$2:$N1663,M$1,FALSE)</f>
        <v>mg</v>
      </c>
      <c r="N1514" t="str">
        <f>VLOOKUP($A1514,[1]Table!$A$2:$N1663,N$1,FALSE)</f>
        <v>Epilepsie, primair gegeneraliseerde en partiele aanvallen||Bipolaire stoornis type I en II</v>
      </c>
      <c r="O1514" t="str">
        <f>ConcatenateRange(AZ1514:BU1514,"||")</f>
        <v/>
      </c>
    </row>
    <row r="1515" spans="1:30">
      <c r="A1515" s="9">
        <v>72257</v>
      </c>
      <c r="B1515" t="str">
        <f>VLOOKUP($A1515,[1]Table!$A$2:$N1664,B$1,FALSE)</f>
        <v>N03AG01</v>
      </c>
      <c r="C1515" t="str">
        <f>VLOOKUP($A1515,[1]Table!$A$2:$N1664,C$1,FALSE)</f>
        <v>ANTI-EPILEPTICA</v>
      </c>
      <c r="D1515" t="str">
        <f>VLOOKUP($A1515,[1]Table!$A$2:$N1664,D$1,FALSE)</f>
        <v>ANTI-EPILEPTICA</v>
      </c>
      <c r="E1515" t="s">
        <v>124</v>
      </c>
      <c r="F1515" t="str">
        <f>VLOOKUP($A1515,[1]Table!$A$2:$N1664,F$1,FALSE)</f>
        <v>DEPAKINE CHRONO 500MG TABLET MGA (RETARD)</v>
      </c>
      <c r="G1515" t="str">
        <f>VLOOKUP($A1515,[1]Table!$A$2:$N1664,G$1,FALSE)</f>
        <v>VALPROINEZUUR 500MG TAB MGA</v>
      </c>
      <c r="H1515" t="str">
        <f>VLOOKUP($A1515,[1]Table!$A$2:$N1664,H$1,FALSE)</f>
        <v>tablet met gereguleerde afgifte</v>
      </c>
      <c r="I1515" t="str">
        <f>VLOOKUP($A1515,[1]Table!$A$2:$N1664,I$1,FALSE)</f>
        <v>or</v>
      </c>
      <c r="J1515">
        <f>VLOOKUP($A1515,[1]Table!$A$2:$N1664,J$1,FALSE)</f>
        <v>145</v>
      </c>
      <c r="K1515" t="str">
        <f>VLOOKUP($A1515,[1]Table!$A$2:$N1664,K$1,FALSE)</f>
        <v>mg/stuk</v>
      </c>
      <c r="L1515">
        <f>VLOOKUP($A1515,[1]Table!$A$2:$N1664,L$1,FALSE)</f>
        <v>145</v>
      </c>
      <c r="M1515" t="str">
        <f>VLOOKUP($A1515,[1]Table!$A$2:$N1664,M$1,FALSE)</f>
        <v>mg</v>
      </c>
      <c r="N1515" t="str">
        <f>VLOOKUP($A1515,[1]Table!$A$2:$N1664,N$1,FALSE)</f>
        <v>Epilepsie, primair gegeneraliseerde en partiele aanvallen||Bipolaire stoornis type I en II</v>
      </c>
      <c r="O1515" t="str">
        <f>ConcatenateRange(AZ1515:BU1515,"||")</f>
        <v/>
      </c>
    </row>
    <row r="1516" spans="1:30">
      <c r="A1516" s="9">
        <v>77909</v>
      </c>
      <c r="B1516" t="str">
        <f>VLOOKUP($A1516,[1]Table!$A$2:$N1659,B$1,FALSE)</f>
        <v>N03AG01</v>
      </c>
      <c r="C1516" t="str">
        <f>VLOOKUP($A1516,[1]Table!$A$2:$N1659,C$1,FALSE)</f>
        <v>ANTI-EPILEPTICA</v>
      </c>
      <c r="D1516" t="str">
        <f>VLOOKUP($A1516,[1]Table!$A$2:$N1659,D$1,FALSE)</f>
        <v>ANTI-EPILEPTICA</v>
      </c>
      <c r="E1516" t="str">
        <f>VLOOKUP($A1516,[1]Table!$A$2:$N1659,E$1,FALSE)</f>
        <v>VALPROINEZUUR</v>
      </c>
      <c r="F1516" t="str">
        <f>VLOOKUP($A1516,[1]Table!$A$2:$N1659,F$1,FALSE)</f>
        <v>VALPROINEZUUR 250 MG ZETPIL</v>
      </c>
      <c r="G1516" t="str">
        <f>VLOOKUP($A1516,[1]Table!$A$2:$N1659,G$1,FALSE)</f>
        <v>VALPROINEZUUR 250MG ZETPIL</v>
      </c>
      <c r="H1516" t="str">
        <f>VLOOKUP($A1516,[1]Table!$A$2:$N1659,H$1,FALSE)</f>
        <v>zetpil</v>
      </c>
      <c r="I1516" t="str">
        <f>VLOOKUP($A1516,[1]Table!$A$2:$N1659,I$1,FALSE)</f>
        <v>rect</v>
      </c>
      <c r="J1516">
        <f>VLOOKUP($A1516,[1]Table!$A$2:$N1659,J$1,FALSE)</f>
        <v>250</v>
      </c>
      <c r="K1516" t="str">
        <f>VLOOKUP($A1516,[1]Table!$A$2:$N1659,K$1,FALSE)</f>
        <v>mg/stuk</v>
      </c>
      <c r="L1516">
        <f>VLOOKUP($A1516,[1]Table!$A$2:$N1659,L$1,FALSE)</f>
        <v>250</v>
      </c>
      <c r="M1516" t="str">
        <f>VLOOKUP($A1516,[1]Table!$A$2:$N1659,M$1,FALSE)</f>
        <v>mg</v>
      </c>
      <c r="N1516" t="str">
        <f>VLOOKUP($A1516,[1]Table!$A$2:$N1659,N$1,FALSE)</f>
        <v>Epilepsie, primair gegeneraliseerde en partiele aanvallen||Bipolaire stoornis type I en II</v>
      </c>
      <c r="O1516" t="str">
        <f>ConcatenateRange(AZ1516:BU1516,"||")</f>
        <v/>
      </c>
    </row>
    <row r="1517" spans="1:30">
      <c r="A1517" s="9">
        <v>77895</v>
      </c>
      <c r="B1517" t="str">
        <f>VLOOKUP($A1517,[1]Table!$A$2:$N1660,B$1,FALSE)</f>
        <v>N03AG01</v>
      </c>
      <c r="C1517" t="str">
        <f>VLOOKUP($A1517,[1]Table!$A$2:$N1660,C$1,FALSE)</f>
        <v>ANTI-EPILEPTICA</v>
      </c>
      <c r="D1517" t="str">
        <f>VLOOKUP($A1517,[1]Table!$A$2:$N1660,D$1,FALSE)</f>
        <v>ANTI-EPILEPTICA</v>
      </c>
      <c r="E1517" t="str">
        <f>VLOOKUP($A1517,[1]Table!$A$2:$N1660,E$1,FALSE)</f>
        <v>VALPROINEZUUR</v>
      </c>
      <c r="F1517" t="str">
        <f>VLOOKUP($A1517,[1]Table!$A$2:$N1660,F$1,FALSE)</f>
        <v>VALPROINEZUUR 500 MG ZETPIL</v>
      </c>
      <c r="G1517" t="str">
        <f>VLOOKUP($A1517,[1]Table!$A$2:$N1660,G$1,FALSE)</f>
        <v>VALPROINEZUUR 500MG ZETPIL</v>
      </c>
      <c r="H1517" t="str">
        <f>VLOOKUP($A1517,[1]Table!$A$2:$N1660,H$1,FALSE)</f>
        <v>zetpil</v>
      </c>
      <c r="I1517" t="str">
        <f>VLOOKUP($A1517,[1]Table!$A$2:$N1660,I$1,FALSE)</f>
        <v>rect</v>
      </c>
      <c r="J1517">
        <f>VLOOKUP($A1517,[1]Table!$A$2:$N1660,J$1,FALSE)</f>
        <v>500</v>
      </c>
      <c r="K1517" t="str">
        <f>VLOOKUP($A1517,[1]Table!$A$2:$N1660,K$1,FALSE)</f>
        <v>mg/stuk</v>
      </c>
      <c r="L1517">
        <f>VLOOKUP($A1517,[1]Table!$A$2:$N1660,L$1,FALSE)</f>
        <v>500</v>
      </c>
      <c r="M1517" t="str">
        <f>VLOOKUP($A1517,[1]Table!$A$2:$N1660,M$1,FALSE)</f>
        <v>mg</v>
      </c>
      <c r="N1517" t="str">
        <f>VLOOKUP($A1517,[1]Table!$A$2:$N1660,N$1,FALSE)</f>
        <v>Epilepsie, primair gegeneraliseerde en partiele aanvallen||Bipolaire stoornis type I en II</v>
      </c>
      <c r="O1517" t="str">
        <f>ConcatenateRange(AZ1517:BU1517,"||")</f>
        <v/>
      </c>
    </row>
    <row r="1518" spans="1:30">
      <c r="A1518" s="1">
        <v>114952</v>
      </c>
      <c r="B1518" t="str">
        <f>VLOOKUP($A1518,[1]Table!$A$2:$N1665,B$1,FALSE)</f>
        <v>C09CA03</v>
      </c>
      <c r="C1518" t="str">
        <f>VLOOKUP($A1518,[1]Table!$A$2:$N1665,C$1,FALSE)</f>
        <v>MIDDELEN AANGRIJPEND OP HET RENINE-ANGIOTENSINESYSTEEM</v>
      </c>
      <c r="D1518" t="str">
        <f>VLOOKUP($A1518,[1]Table!$A$2:$N1665,D$1,FALSE)</f>
        <v>ANGIOTENSINE-II-ANTAGONISTEN</v>
      </c>
      <c r="E1518" t="str">
        <f>VLOOKUP($A1518,[1]Table!$A$2:$N1665,E$1,FALSE)</f>
        <v>VALSARTAN</v>
      </c>
      <c r="F1518" t="str">
        <f>VLOOKUP($A1518,[1]Table!$A$2:$N1665,F$1,FALSE)</f>
        <v>VALSARTAN 80 MG TABLET FILMOMHULD</v>
      </c>
      <c r="G1518" t="str">
        <f>VLOOKUP($A1518,[1]Table!$A$2:$N1665,G$1,FALSE)</f>
        <v>VALSARTAN 80MG TABLET OMH</v>
      </c>
      <c r="H1518" t="str">
        <f>VLOOKUP($A1518,[1]Table!$A$2:$N1665,H$1,FALSE)</f>
        <v>omhulde tablet</v>
      </c>
      <c r="I1518" t="str">
        <f>VLOOKUP($A1518,[1]Table!$A$2:$N1665,I$1,FALSE)</f>
        <v>or</v>
      </c>
      <c r="J1518">
        <f>VLOOKUP($A1518,[1]Table!$A$2:$N1665,J$1,FALSE)</f>
        <v>80</v>
      </c>
      <c r="K1518" t="str">
        <f>VLOOKUP($A1518,[1]Table!$A$2:$N1665,K$1,FALSE)</f>
        <v>mg/stuk</v>
      </c>
      <c r="L1518">
        <f>VLOOKUP($A1518,[1]Table!$A$2:$N1665,L$1,FALSE)</f>
        <v>40</v>
      </c>
      <c r="M1518" t="str">
        <f>VLOOKUP($A1518,[1]Table!$A$2:$N1665,M$1,FALSE)</f>
        <v>mg</v>
      </c>
      <c r="N1518" t="str">
        <f>VLOOKUP($A1518,[1]Table!$A$2:$N1665,N$1,FALSE)</f>
        <v>Hypertensie</v>
      </c>
      <c r="O1518" t="str">
        <f>ConcatenateRange(AZ1518:BU1518,"||")</f>
        <v/>
      </c>
    </row>
    <row r="1519" spans="1:30">
      <c r="A1519" s="1">
        <v>114960</v>
      </c>
      <c r="B1519" t="str">
        <f>VLOOKUP($A1519,[1]Table!$A$2:$N1666,B$1,FALSE)</f>
        <v>C09CA03</v>
      </c>
      <c r="C1519" t="str">
        <f>VLOOKUP($A1519,[1]Table!$A$2:$N1666,C$1,FALSE)</f>
        <v>MIDDELEN AANGRIJPEND OP HET RENINE-ANGIOTENSINESYSTEEM</v>
      </c>
      <c r="D1519" t="str">
        <f>VLOOKUP($A1519,[1]Table!$A$2:$N1666,D$1,FALSE)</f>
        <v>ANGIOTENSINE-II-ANTAGONISTEN</v>
      </c>
      <c r="E1519" t="str">
        <f>VLOOKUP($A1519,[1]Table!$A$2:$N1666,E$1,FALSE)</f>
        <v>VALSARTAN</v>
      </c>
      <c r="F1519" t="str">
        <f>VLOOKUP($A1519,[1]Table!$A$2:$N1666,F$1,FALSE)</f>
        <v>VALSARTAN 160 MG TABLET FILMOMHULD</v>
      </c>
      <c r="G1519" t="str">
        <f>VLOOKUP($A1519,[1]Table!$A$2:$N1666,G$1,FALSE)</f>
        <v>VALSARTAN 160MG TABLET OMH</v>
      </c>
      <c r="H1519" t="str">
        <f>VLOOKUP($A1519,[1]Table!$A$2:$N1666,H$1,FALSE)</f>
        <v>omhulde tablet</v>
      </c>
      <c r="I1519" t="str">
        <f>VLOOKUP($A1519,[1]Table!$A$2:$N1666,I$1,FALSE)</f>
        <v>or</v>
      </c>
      <c r="J1519">
        <f>VLOOKUP($A1519,[1]Table!$A$2:$N1666,J$1,FALSE)</f>
        <v>160</v>
      </c>
      <c r="K1519" t="str">
        <f>VLOOKUP($A1519,[1]Table!$A$2:$N1666,K$1,FALSE)</f>
        <v>mg/stuk</v>
      </c>
      <c r="L1519">
        <f>VLOOKUP($A1519,[1]Table!$A$2:$N1666,L$1,FALSE)</f>
        <v>80</v>
      </c>
      <c r="M1519" t="str">
        <f>VLOOKUP($A1519,[1]Table!$A$2:$N1666,M$1,FALSE)</f>
        <v>mg</v>
      </c>
      <c r="N1519" t="str">
        <f>VLOOKUP($A1519,[1]Table!$A$2:$N1666,N$1,FALSE)</f>
        <v>Hypertensie</v>
      </c>
      <c r="O1519" t="str">
        <f>ConcatenateRange(AZ1519:BU1519,"||")</f>
        <v/>
      </c>
    </row>
    <row r="1520" spans="1:30">
      <c r="A1520" s="1">
        <v>82422</v>
      </c>
      <c r="B1520" t="str">
        <f>VLOOKUP($A1520,[1]Table!$A$2:$N1667,B$1,FALSE)</f>
        <v>J01XA01</v>
      </c>
      <c r="C1520" t="str">
        <f>VLOOKUP($A1520,[1]Table!$A$2:$N1667,C$1,FALSE)</f>
        <v>ANTIBACTERIELE MIDDELEN VOOR SYSTEMISCH GEBRUIK</v>
      </c>
      <c r="D1520" t="str">
        <f>VLOOKUP($A1520,[1]Table!$A$2:$N1667,D$1,FALSE)</f>
        <v>OVERIGE ANTIBACTERIELE MIDDELEN</v>
      </c>
      <c r="E1520" t="str">
        <f>VLOOKUP($A1520,[1]Table!$A$2:$N1667,E$1,FALSE)</f>
        <v>VANCOMYCINE</v>
      </c>
      <c r="F1520" t="str">
        <f>VLOOKUP($A1520,[1]Table!$A$2:$N1667,F$1,FALSE)</f>
        <v>VANCOMYCINE 1000 MG POEDER VOOR INFUSIE</v>
      </c>
      <c r="G1520" t="str">
        <f>VLOOKUP($A1520,[1]Table!$A$2:$N1667,G$1,FALSE)</f>
        <v>VANCOMYCINE 1000MG INFPDR</v>
      </c>
      <c r="H1520" t="str">
        <f>VLOOKUP($A1520,[1]Table!$A$2:$N1667,H$1,FALSE)</f>
        <v>poeder voor oplossing voor infusie</v>
      </c>
      <c r="I1520" t="str">
        <f>VLOOKUP($A1520,[1]Table!$A$2:$N1667,I$1,FALSE)</f>
        <v>iv</v>
      </c>
      <c r="J1520">
        <f>VLOOKUP($A1520,[1]Table!$A$2:$N1667,J$1,FALSE)</f>
        <v>1000</v>
      </c>
      <c r="K1520" t="str">
        <f>VLOOKUP($A1520,[1]Table!$A$2:$N1667,K$1,FALSE)</f>
        <v>mg/stuk</v>
      </c>
      <c r="L1520">
        <f>VLOOKUP($A1520,[1]Table!$A$2:$N1667,L$1,FALSE)</f>
        <v>1000</v>
      </c>
      <c r="M1520" t="str">
        <f>VLOOKUP($A1520,[1]Table!$A$2:$N1667,M$1,FALSE)</f>
        <v>mg</v>
      </c>
      <c r="N1520" t="str">
        <f>VLOOKUP($A1520,[1]Table!$A$2:$N1667,N$1,FALSE)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20" t="str">
        <f>ConcatenateRange(AZ1520:BU1520,"||")</f>
        <v/>
      </c>
      <c r="P1520">
        <v>60</v>
      </c>
      <c r="T1520">
        <v>20</v>
      </c>
      <c r="U1520">
        <v>48</v>
      </c>
      <c r="V1520">
        <v>4000</v>
      </c>
      <c r="W1520">
        <v>10</v>
      </c>
      <c r="Y1520">
        <v>60</v>
      </c>
      <c r="AB1520" t="s">
        <v>49</v>
      </c>
      <c r="AC1520" t="s">
        <v>49</v>
      </c>
      <c r="AD1520" t="s">
        <v>49</v>
      </c>
    </row>
    <row r="1521" spans="1:15">
      <c r="A1521" s="9">
        <v>139408</v>
      </c>
      <c r="B1521" t="str">
        <f>VLOOKUP($A1521,[1]Table!$A$2:$N1668,B$1,FALSE)</f>
        <v>L01XE12</v>
      </c>
      <c r="C1521" t="str">
        <f>VLOOKUP($A1521,[1]Table!$A$2:$N1668,C$1,FALSE)</f>
        <v>ONCOLYTICA</v>
      </c>
      <c r="D1521" t="str">
        <f>VLOOKUP($A1521,[1]Table!$A$2:$N1668,D$1,FALSE)</f>
        <v>OVERIGE ONCOLYTICA</v>
      </c>
      <c r="E1521" t="str">
        <f>VLOOKUP($A1521,[1]Table!$A$2:$N1668,E$1,FALSE)</f>
        <v>VANDETANIB</v>
      </c>
      <c r="F1521" t="str">
        <f>VLOOKUP($A1521,[1]Table!$A$2:$N1668,F$1,FALSE)</f>
        <v>CAPRELSA 300 MG TABLET</v>
      </c>
      <c r="G1521" t="str">
        <f>VLOOKUP($A1521,[1]Table!$A$2:$N1668,G$1,FALSE)</f>
        <v>VANDETANIB 300MG TABLET</v>
      </c>
      <c r="H1521" t="str">
        <f>VLOOKUP($A1521,[1]Table!$A$2:$N1668,H$1,FALSE)</f>
        <v>tablet</v>
      </c>
      <c r="I1521" t="str">
        <f>VLOOKUP($A1521,[1]Table!$A$2:$N1668,I$1,FALSE)</f>
        <v>or</v>
      </c>
      <c r="J1521">
        <f>VLOOKUP($A1521,[1]Table!$A$2:$N1668,J$1,FALSE)</f>
        <v>300</v>
      </c>
      <c r="K1521" t="str">
        <f>VLOOKUP($A1521,[1]Table!$A$2:$N1668,K$1,FALSE)</f>
        <v>mg/stuk</v>
      </c>
      <c r="L1521">
        <f>VLOOKUP($A1521,[1]Table!$A$2:$N1668,L$1,FALSE)</f>
        <v>300</v>
      </c>
      <c r="M1521" t="str">
        <f>VLOOKUP($A1521,[1]Table!$A$2:$N1668,M$1,FALSE)</f>
        <v>mg</v>
      </c>
      <c r="N1521" t="str">
        <f>VLOOKUP($A1521,[1]Table!$A$2:$N1668,N$1,FALSE)</f>
        <v>Medullair schildkliercarcinoom</v>
      </c>
      <c r="O1521" t="str">
        <f>ConcatenateRange(AZ1521:BU1521,"||")</f>
        <v/>
      </c>
    </row>
    <row r="1522" spans="1:15">
      <c r="A1522" s="1">
        <v>100226</v>
      </c>
      <c r="B1522" t="str">
        <f>VLOOKUP($A1522,[1]Table!$A$2:$N1669,B$1,FALSE)</f>
        <v>J06BB03</v>
      </c>
      <c r="C1522" t="str">
        <f>VLOOKUP($A1522,[1]Table!$A$2:$N1669,C$1,FALSE)</f>
        <v>SERA EN IMMUNOGLOBULINEN</v>
      </c>
      <c r="D1522" t="str">
        <f>VLOOKUP($A1522,[1]Table!$A$2:$N1669,D$1,FALSE)</f>
        <v>IMMUNOGLOBULINEN</v>
      </c>
      <c r="E1522" t="str">
        <f>VLOOKUP($A1522,[1]Table!$A$2:$N1669,E$1,FALSE)</f>
        <v>VARICELLAZOSTERIMMUNOGLOBULINE</v>
      </c>
      <c r="F1522" t="str">
        <f>VLOOKUP($A1522,[1]Table!$A$2:$N1669,F$1,FALSE)</f>
        <v>VARIQUIN (VARICELLA ZOST IMMUNOGL) 200IE</v>
      </c>
      <c r="G1522" t="str">
        <f>VLOOKUP($A1522,[1]Table!$A$2:$N1669,G$1,FALSE)</f>
        <v>VARICELLA-Z-IMMUNOGL INJVLS</v>
      </c>
      <c r="H1522" t="str">
        <f>VLOOKUP($A1522,[1]Table!$A$2:$N1669,H$1,FALSE)</f>
        <v>injectievloeistof</v>
      </c>
      <c r="I1522" t="str">
        <f>VLOOKUP($A1522,[1]Table!$A$2:$N1669,I$1,FALSE)</f>
        <v>im</v>
      </c>
      <c r="J1522">
        <f>VLOOKUP($A1522,[1]Table!$A$2:$N1669,J$1,FALSE)</f>
        <v>100</v>
      </c>
      <c r="K1522" t="str">
        <f>VLOOKUP($A1522,[1]Table!$A$2:$N1669,K$1,FALSE)</f>
        <v>IE/ml</v>
      </c>
      <c r="L1522">
        <f>VLOOKUP($A1522,[1]Table!$A$2:$N1669,L$1,FALSE)</f>
        <v>100</v>
      </c>
      <c r="M1522" t="str">
        <f>VLOOKUP($A1522,[1]Table!$A$2:$N1669,M$1,FALSE)</f>
        <v>IE</v>
      </c>
      <c r="N1522" t="str">
        <f>VLOOKUP($A1522,[1]Table!$A$2:$N1669,N$1,FALSE)</f>
        <v>Voorkómen van varicella (waterpokken)</v>
      </c>
      <c r="O1522" t="str">
        <f>ConcatenateRange(AZ1522:BU1522,"||")</f>
        <v/>
      </c>
    </row>
    <row r="1523" spans="1:15">
      <c r="A1523" s="9">
        <v>16489</v>
      </c>
      <c r="B1523" t="str">
        <f>VLOOKUP($A1523,[1]Table!$A$2:$N1670,B$1,FALSE)</f>
        <v>C08DA01</v>
      </c>
      <c r="C1523" t="str">
        <f>VLOOKUP($A1523,[1]Table!$A$2:$N1670,C$1,FALSE)</f>
        <v>CALCIUMANTAGONISTEN</v>
      </c>
      <c r="D1523" t="str">
        <f>VLOOKUP($A1523,[1]Table!$A$2:$N1670,D$1,FALSE)</f>
        <v>SELECTIEVE CALCIUMANTAGONISTEN MET DIRECTE HART-EFFECTEN</v>
      </c>
      <c r="E1523" t="str">
        <f>VLOOKUP($A1523,[1]Table!$A$2:$N1670,E$1,FALSE)</f>
        <v>VERAPAMIL</v>
      </c>
      <c r="F1523" t="str">
        <f>VLOOKUP($A1523,[1]Table!$A$2:$N1670,F$1,FALSE)</f>
        <v>VERAPAMIL 80 MG DRAGEE</v>
      </c>
      <c r="G1523" t="str">
        <f>VLOOKUP($A1523,[1]Table!$A$2:$N1670,G$1,FALSE)</f>
        <v>VERAPAMIL 80MG DRAGEE</v>
      </c>
      <c r="H1523" t="str">
        <f>VLOOKUP($A1523,[1]Table!$A$2:$N1670,H$1,FALSE)</f>
        <v>dragee</v>
      </c>
      <c r="I1523" t="str">
        <f>VLOOKUP($A1523,[1]Table!$A$2:$N1670,I$1,FALSE)</f>
        <v>or</v>
      </c>
      <c r="J1523">
        <f>VLOOKUP($A1523,[1]Table!$A$2:$N1670,J$1,FALSE)</f>
        <v>80</v>
      </c>
      <c r="K1523" t="str">
        <f>VLOOKUP($A1523,[1]Table!$A$2:$N1670,K$1,FALSE)</f>
        <v>mg/stuk</v>
      </c>
      <c r="L1523">
        <f>VLOOKUP($A1523,[1]Table!$A$2:$N1670,L$1,FALSE)</f>
        <v>80</v>
      </c>
      <c r="M1523" t="str">
        <f>VLOOKUP($A1523,[1]Table!$A$2:$N1670,M$1,FALSE)</f>
        <v>mg</v>
      </c>
      <c r="N1523" t="str">
        <f>VLOOKUP($A1523,[1]Table!$A$2:$N1670,N$1,FALSE)</f>
        <v xml:space="preserve">Ernstige therapie resistente supraventriculaire tachycardie||Hypertensie, profylaxe supraventriculaire tachycardie||Myoclone epilepsie (Dravet syndrome) </v>
      </c>
      <c r="O1523" t="str">
        <f>ConcatenateRange(AZ1523:BU1523,"||")</f>
        <v/>
      </c>
    </row>
    <row r="1524" spans="1:15">
      <c r="A1524" s="9">
        <v>53368</v>
      </c>
      <c r="B1524" t="str">
        <f>VLOOKUP($A1524,[1]Table!$A$2:$N1671,B$1,FALSE)</f>
        <v>C08DA01</v>
      </c>
      <c r="C1524" t="str">
        <f>VLOOKUP($A1524,[1]Table!$A$2:$N1671,C$1,FALSE)</f>
        <v>CALCIUMANTAGONISTEN</v>
      </c>
      <c r="D1524" t="str">
        <f>VLOOKUP($A1524,[1]Table!$A$2:$N1671,D$1,FALSE)</f>
        <v>SELECTIEVE CALCIUMANTAGONISTEN MET DIRECTE HART-EFFECTEN</v>
      </c>
      <c r="E1524" t="str">
        <f>VLOOKUP($A1524,[1]Table!$A$2:$N1671,E$1,FALSE)</f>
        <v>VERAPAMIL</v>
      </c>
      <c r="F1524" t="str">
        <f>VLOOKUP($A1524,[1]Table!$A$2:$N1671,F$1,FALSE)</f>
        <v>VERAPAMIL 120 MG DRAGEE</v>
      </c>
      <c r="G1524" t="str">
        <f>VLOOKUP($A1524,[1]Table!$A$2:$N1671,G$1,FALSE)</f>
        <v>VERAPAMIL 120MG DRAGEE</v>
      </c>
      <c r="H1524" t="str">
        <f>VLOOKUP($A1524,[1]Table!$A$2:$N1671,H$1,FALSE)</f>
        <v>dragee</v>
      </c>
      <c r="I1524" t="str">
        <f>VLOOKUP($A1524,[1]Table!$A$2:$N1671,I$1,FALSE)</f>
        <v>or</v>
      </c>
      <c r="J1524">
        <f>VLOOKUP($A1524,[1]Table!$A$2:$N1671,J$1,FALSE)</f>
        <v>120</v>
      </c>
      <c r="K1524" t="str">
        <f>VLOOKUP($A1524,[1]Table!$A$2:$N1671,K$1,FALSE)</f>
        <v>mg/stuk</v>
      </c>
      <c r="L1524">
        <f>VLOOKUP($A1524,[1]Table!$A$2:$N1671,L$1,FALSE)</f>
        <v>120</v>
      </c>
      <c r="M1524" t="str">
        <f>VLOOKUP($A1524,[1]Table!$A$2:$N1671,M$1,FALSE)</f>
        <v>mg</v>
      </c>
      <c r="N1524" t="str">
        <f>VLOOKUP($A1524,[1]Table!$A$2:$N1671,N$1,FALSE)</f>
        <v xml:space="preserve">Ernstige therapie resistente supraventriculaire tachycardie||Hypertensie, profylaxe supraventriculaire tachycardie||Myoclone epilepsie (Dravet syndrome) </v>
      </c>
      <c r="O1524" t="str">
        <f>ConcatenateRange(AZ1524:BU1524,"||")</f>
        <v/>
      </c>
    </row>
    <row r="1525" spans="1:15">
      <c r="A1525" s="9">
        <v>8184</v>
      </c>
      <c r="B1525" t="str">
        <f>VLOOKUP($A1525,[1]Table!$A$2:$N1672,B$1,FALSE)</f>
        <v>C08DA01</v>
      </c>
      <c r="C1525" t="str">
        <f>VLOOKUP($A1525,[1]Table!$A$2:$N1672,C$1,FALSE)</f>
        <v>CALCIUMANTAGONISTEN</v>
      </c>
      <c r="D1525" t="str">
        <f>VLOOKUP($A1525,[1]Table!$A$2:$N1672,D$1,FALSE)</f>
        <v>SELECTIEVE CALCIUMANTAGONISTEN MET DIRECTE HART-EFFECTEN</v>
      </c>
      <c r="E1525" t="str">
        <f>VLOOKUP($A1525,[1]Table!$A$2:$N1672,E$1,FALSE)</f>
        <v>VERAPAMIL</v>
      </c>
      <c r="F1525" t="str">
        <f>VLOOKUP($A1525,[1]Table!$A$2:$N1672,F$1,FALSE)</f>
        <v>VERAPAMIL 2.5 MG/ML AMPUL 2 ML</v>
      </c>
      <c r="G1525" t="str">
        <f>VLOOKUP($A1525,[1]Table!$A$2:$N1672,G$1,FALSE)</f>
        <v>VERAPAMIL 2,5MG/ML INJVLST</v>
      </c>
      <c r="H1525" t="str">
        <f>VLOOKUP($A1525,[1]Table!$A$2:$N1672,H$1,FALSE)</f>
        <v>injectievloeistof</v>
      </c>
      <c r="I1525" t="str">
        <f>VLOOKUP($A1525,[1]Table!$A$2:$N1672,I$1,FALSE)</f>
        <v>iv</v>
      </c>
      <c r="J1525">
        <f>VLOOKUP($A1525,[1]Table!$A$2:$N1672,J$1,FALSE)</f>
        <v>2.5</v>
      </c>
      <c r="K1525" t="str">
        <f>VLOOKUP($A1525,[1]Table!$A$2:$N1672,K$1,FALSE)</f>
        <v>mg/ml</v>
      </c>
      <c r="L1525">
        <f>VLOOKUP($A1525,[1]Table!$A$2:$N1672,L$1,FALSE)</f>
        <v>2.5</v>
      </c>
      <c r="M1525" t="str">
        <f>VLOOKUP($A1525,[1]Table!$A$2:$N1672,M$1,FALSE)</f>
        <v>mg</v>
      </c>
      <c r="N1525" t="str">
        <f>VLOOKUP($A1525,[1]Table!$A$2:$N1672,N$1,FALSE)</f>
        <v xml:space="preserve">Ernstige therapie resistente supraventriculaire tachycardie||Hypertensie, profylaxe supraventriculaire tachycardie||Myoclone epilepsie (Dravet syndrome) </v>
      </c>
      <c r="O1525" t="str">
        <f>ConcatenateRange(AZ1525:BU1525,"||")</f>
        <v/>
      </c>
    </row>
    <row r="1526" spans="1:15">
      <c r="A1526" s="1">
        <v>44822</v>
      </c>
      <c r="B1526" t="str">
        <f>VLOOKUP($A1526,[1]Table!$A$2:$N1673,B$1,FALSE)</f>
        <v>C08DA01</v>
      </c>
      <c r="C1526" t="str">
        <f>VLOOKUP($A1526,[1]Table!$A$2:$N1673,C$1,FALSE)</f>
        <v>CALCIUMANTAGONISTEN</v>
      </c>
      <c r="D1526" t="str">
        <f>VLOOKUP($A1526,[1]Table!$A$2:$N1673,D$1,FALSE)</f>
        <v>SELECTIEVE CALCIUMANTAGONISTEN MET DIRECTE HART-EFFECTEN</v>
      </c>
      <c r="E1526" t="str">
        <f>VLOOKUP($A1526,[1]Table!$A$2:$N1673,E$1,FALSE)</f>
        <v>VERAPAMIL</v>
      </c>
      <c r="F1526" t="str">
        <f>VLOOKUP($A1526,[1]Table!$A$2:$N1673,F$1,FALSE)</f>
        <v>VERAPAMIL 40 MG TABLET</v>
      </c>
      <c r="G1526" t="str">
        <f>VLOOKUP($A1526,[1]Table!$A$2:$N1673,G$1,FALSE)</f>
        <v>VERAPAMIL 40MG TABLET</v>
      </c>
      <c r="H1526" t="str">
        <f>VLOOKUP($A1526,[1]Table!$A$2:$N1673,H$1,FALSE)</f>
        <v>tablet</v>
      </c>
      <c r="I1526" t="str">
        <f>VLOOKUP($A1526,[1]Table!$A$2:$N1673,I$1,FALSE)</f>
        <v>or</v>
      </c>
      <c r="J1526">
        <f>VLOOKUP($A1526,[1]Table!$A$2:$N1673,J$1,FALSE)</f>
        <v>40</v>
      </c>
      <c r="K1526" t="str">
        <f>VLOOKUP($A1526,[1]Table!$A$2:$N1673,K$1,FALSE)</f>
        <v>mg/stuk</v>
      </c>
      <c r="L1526">
        <f>VLOOKUP($A1526,[1]Table!$A$2:$N1673,L$1,FALSE)</f>
        <v>40</v>
      </c>
      <c r="M1526" t="str">
        <f>VLOOKUP($A1526,[1]Table!$A$2:$N1673,M$1,FALSE)</f>
        <v>mg</v>
      </c>
      <c r="N1526" t="str">
        <f>VLOOKUP($A1526,[1]Table!$A$2:$N1673,N$1,FALSE)</f>
        <v xml:space="preserve">Ernstige therapie resistente supraventriculaire tachycardie||Hypertensie, profylaxe supraventriculaire tachycardie||Myoclone epilepsie (Dravet syndrome) </v>
      </c>
      <c r="O1526" t="str">
        <f>ConcatenateRange(AZ1526:BU1526,"||")</f>
        <v/>
      </c>
    </row>
    <row r="1527" spans="1:15">
      <c r="A1527" s="9">
        <v>87629</v>
      </c>
      <c r="B1527" t="str">
        <f>VLOOKUP($A1527,[1]Table!$A$2:$N1674,B$1,FALSE)</f>
        <v>C08DA01</v>
      </c>
      <c r="C1527" t="str">
        <f>VLOOKUP($A1527,[1]Table!$A$2:$N1674,C$1,FALSE)</f>
        <v>CALCIUMANTAGONISTEN</v>
      </c>
      <c r="D1527" t="str">
        <f>VLOOKUP($A1527,[1]Table!$A$2:$N1674,D$1,FALSE)</f>
        <v>SELECTIEVE CALCIUMANTAGONISTEN MET DIRECTE HART-EFFECTEN</v>
      </c>
      <c r="E1527" t="s">
        <v>125</v>
      </c>
      <c r="F1527" t="str">
        <f>VLOOKUP($A1527,[1]Table!$A$2:$N1674,F$1,FALSE)</f>
        <v>ISOPTIN SR 120 MG TABLET MGA (RETARD)</v>
      </c>
      <c r="G1527" t="str">
        <f>VLOOKUP($A1527,[1]Table!$A$2:$N1674,G$1,FALSE)</f>
        <v>VERAPAMIL 120MG TABLET MGA</v>
      </c>
      <c r="H1527" t="str">
        <f>VLOOKUP($A1527,[1]Table!$A$2:$N1674,H$1,FALSE)</f>
        <v>tablet met gereguleerde afgifte</v>
      </c>
      <c r="I1527" t="str">
        <f>VLOOKUP($A1527,[1]Table!$A$2:$N1674,I$1,FALSE)</f>
        <v>or</v>
      </c>
      <c r="J1527">
        <f>VLOOKUP($A1527,[1]Table!$A$2:$N1674,J$1,FALSE)</f>
        <v>120</v>
      </c>
      <c r="K1527" t="str">
        <f>VLOOKUP($A1527,[1]Table!$A$2:$N1674,K$1,FALSE)</f>
        <v>mg/stuk</v>
      </c>
      <c r="L1527">
        <f>VLOOKUP($A1527,[1]Table!$A$2:$N1674,L$1,FALSE)</f>
        <v>120</v>
      </c>
      <c r="M1527" t="str">
        <f>VLOOKUP($A1527,[1]Table!$A$2:$N1674,M$1,FALSE)</f>
        <v>mg</v>
      </c>
      <c r="N1527" t="str">
        <f>VLOOKUP($A1527,[1]Table!$A$2:$N1674,N$1,FALSE)</f>
        <v xml:space="preserve">Ernstige therapie resistente supraventriculaire tachycardie||Hypertensie, profylaxe supraventriculaire tachycardie||Myoclone epilepsie (Dravet syndrome) </v>
      </c>
      <c r="O1527" t="str">
        <f>ConcatenateRange(AZ1527:BU1527,"||")</f>
        <v/>
      </c>
    </row>
    <row r="1528" spans="1:15">
      <c r="A1528" s="1">
        <v>88595</v>
      </c>
      <c r="B1528" t="str">
        <f>VLOOKUP($A1528,[1]Table!$A$2:$N1675,B$1,FALSE)</f>
        <v>C08DA01</v>
      </c>
      <c r="C1528" t="str">
        <f>VLOOKUP($A1528,[1]Table!$A$2:$N1675,C$1,FALSE)</f>
        <v>CALCIUMANTAGONISTEN</v>
      </c>
      <c r="D1528" t="str">
        <f>VLOOKUP($A1528,[1]Table!$A$2:$N1675,D$1,FALSE)</f>
        <v>SELECTIEVE CALCIUMANTAGONISTEN MET DIRECTE HART-EFFECTEN</v>
      </c>
      <c r="E1528" t="s">
        <v>125</v>
      </c>
      <c r="F1528" t="str">
        <f>VLOOKUP($A1528,[1]Table!$A$2:$N1675,F$1,FALSE)</f>
        <v>ISOPTIN SR 180 MG TABLET MGA (RETARD)</v>
      </c>
      <c r="G1528" t="str">
        <f>VLOOKUP($A1528,[1]Table!$A$2:$N1675,G$1,FALSE)</f>
        <v>VERAPAMIL 180MG TABLET MGA</v>
      </c>
      <c r="H1528" t="str">
        <f>VLOOKUP($A1528,[1]Table!$A$2:$N1675,H$1,FALSE)</f>
        <v>tablet met gereguleerde afgifte</v>
      </c>
      <c r="I1528" t="str">
        <f>VLOOKUP($A1528,[1]Table!$A$2:$N1675,I$1,FALSE)</f>
        <v>or</v>
      </c>
      <c r="J1528">
        <f>VLOOKUP($A1528,[1]Table!$A$2:$N1675,J$1,FALSE)</f>
        <v>180</v>
      </c>
      <c r="K1528" t="str">
        <f>VLOOKUP($A1528,[1]Table!$A$2:$N1675,K$1,FALSE)</f>
        <v>mg/stuk</v>
      </c>
      <c r="L1528">
        <f>VLOOKUP($A1528,[1]Table!$A$2:$N1675,L$1,FALSE)</f>
        <v>180</v>
      </c>
      <c r="M1528" t="str">
        <f>VLOOKUP($A1528,[1]Table!$A$2:$N1675,M$1,FALSE)</f>
        <v>mg</v>
      </c>
      <c r="N1528" t="str">
        <f>VLOOKUP($A1528,[1]Table!$A$2:$N1675,N$1,FALSE)</f>
        <v xml:space="preserve">Ernstige therapie resistente supraventriculaire tachycardie||Hypertensie, profylaxe supraventriculaire tachycardie||Myoclone epilepsie (Dravet syndrome) </v>
      </c>
      <c r="O1528" t="str">
        <f>ConcatenateRange(AZ1528:BU1528,"||")</f>
        <v/>
      </c>
    </row>
    <row r="1529" spans="1:15">
      <c r="A1529" s="1">
        <v>72079</v>
      </c>
      <c r="B1529" t="str">
        <f>VLOOKUP($A1529,[1]Table!$A$2:$N1676,B$1,FALSE)</f>
        <v>C08DA01</v>
      </c>
      <c r="C1529" t="str">
        <f>VLOOKUP($A1529,[1]Table!$A$2:$N1676,C$1,FALSE)</f>
        <v>CALCIUMANTAGONISTEN</v>
      </c>
      <c r="D1529" t="str">
        <f>VLOOKUP($A1529,[1]Table!$A$2:$N1676,D$1,FALSE)</f>
        <v>SELECTIEVE CALCIUMANTAGONISTEN MET DIRECTE HART-EFFECTEN</v>
      </c>
      <c r="E1529" t="s">
        <v>125</v>
      </c>
      <c r="F1529" t="str">
        <f>VLOOKUP($A1529,[1]Table!$A$2:$N1676,F$1,FALSE)</f>
        <v>VERAPAMIL 240 MG TABLET MGA (RETARD)</v>
      </c>
      <c r="G1529" t="str">
        <f>VLOOKUP($A1529,[1]Table!$A$2:$N1676,G$1,FALSE)</f>
        <v>VERAPAMIL 240MG TABLET MGA</v>
      </c>
      <c r="H1529" t="str">
        <f>VLOOKUP($A1529,[1]Table!$A$2:$N1676,H$1,FALSE)</f>
        <v>tablet met gereguleerde afgifte</v>
      </c>
      <c r="I1529" t="str">
        <f>VLOOKUP($A1529,[1]Table!$A$2:$N1676,I$1,FALSE)</f>
        <v>or</v>
      </c>
      <c r="J1529">
        <f>VLOOKUP($A1529,[1]Table!$A$2:$N1676,J$1,FALSE)</f>
        <v>240</v>
      </c>
      <c r="K1529" t="str">
        <f>VLOOKUP($A1529,[1]Table!$A$2:$N1676,K$1,FALSE)</f>
        <v>mg/stuk</v>
      </c>
      <c r="L1529">
        <f>VLOOKUP($A1529,[1]Table!$A$2:$N1676,L$1,FALSE)</f>
        <v>120</v>
      </c>
      <c r="M1529" t="str">
        <f>VLOOKUP($A1529,[1]Table!$A$2:$N1676,M$1,FALSE)</f>
        <v>mg</v>
      </c>
      <c r="N1529" t="str">
        <f>VLOOKUP($A1529,[1]Table!$A$2:$N1676,N$1,FALSE)</f>
        <v xml:space="preserve">Ernstige therapie resistente supraventriculaire tachycardie||Hypertensie, profylaxe supraventriculaire tachycardie||Myoclone epilepsie (Dravet syndrome) </v>
      </c>
      <c r="O1529" t="str">
        <f>ConcatenateRange(AZ1529:BU1529,"||")</f>
        <v/>
      </c>
    </row>
    <row r="1530" spans="1:15">
      <c r="A1530" s="9">
        <v>115835</v>
      </c>
      <c r="B1530" t="str">
        <f>VLOOKUP($A1530,[1]Table!$A$2:$N1677,B$1,FALSE)</f>
        <v>N03AG04</v>
      </c>
      <c r="C1530" t="str">
        <f>VLOOKUP($A1530,[1]Table!$A$2:$N1677,C$1,FALSE)</f>
        <v>ANTI-EPILEPTICA</v>
      </c>
      <c r="D1530" t="str">
        <f>VLOOKUP($A1530,[1]Table!$A$2:$N1677,D$1,FALSE)</f>
        <v>ANTI-EPILEPTICA</v>
      </c>
      <c r="E1530" t="str">
        <f>VLOOKUP($A1530,[1]Table!$A$2:$N1677,E$1,FALSE)</f>
        <v>VIGABATRINE</v>
      </c>
      <c r="F1530" t="str">
        <f>VLOOKUP($A1530,[1]Table!$A$2:$N1677,F$1,FALSE)</f>
        <v>SABRIL 500MG GRANULAAT</v>
      </c>
      <c r="G1530" t="str">
        <f>VLOOKUP($A1530,[1]Table!$A$2:$N1677,G$1,FALSE)</f>
        <v>VIGABATRINE 500MG GRANULAAT</v>
      </c>
      <c r="H1530" t="str">
        <f>VLOOKUP($A1530,[1]Table!$A$2:$N1677,H$1,FALSE)</f>
        <v>granulaat</v>
      </c>
      <c r="I1530" t="str">
        <f>VLOOKUP($A1530,[1]Table!$A$2:$N1677,I$1,FALSE)</f>
        <v>or</v>
      </c>
      <c r="J1530">
        <f>VLOOKUP($A1530,[1]Table!$A$2:$N1677,J$1,FALSE)</f>
        <v>500</v>
      </c>
      <c r="K1530" t="str">
        <f>VLOOKUP($A1530,[1]Table!$A$2:$N1677,K$1,FALSE)</f>
        <v>mg/stuk</v>
      </c>
      <c r="L1530">
        <f>VLOOKUP($A1530,[1]Table!$A$2:$N1677,L$1,FALSE)</f>
        <v>500</v>
      </c>
      <c r="M1530" t="str">
        <f>VLOOKUP($A1530,[1]Table!$A$2:$N1677,M$1,FALSE)</f>
        <v>mg</v>
      </c>
      <c r="N1530" t="str">
        <f>VLOOKUP($A1530,[1]Table!$A$2:$N1677,N$1,FALSE)</f>
        <v>Epilepsie||Syndroom van West</v>
      </c>
      <c r="O1530" t="str">
        <f>ConcatenateRange(AZ1530:BU1530,"||")</f>
        <v/>
      </c>
    </row>
    <row r="1531" spans="1:15">
      <c r="A1531" s="9">
        <v>81981</v>
      </c>
      <c r="B1531" t="str">
        <f>VLOOKUP($A1531,[1]Table!$A$2:$N1678,B$1,FALSE)</f>
        <v>N03AG04</v>
      </c>
      <c r="C1531" t="str">
        <f>VLOOKUP($A1531,[1]Table!$A$2:$N1678,C$1,FALSE)</f>
        <v>ANTI-EPILEPTICA</v>
      </c>
      <c r="D1531" t="str">
        <f>VLOOKUP($A1531,[1]Table!$A$2:$N1678,D$1,FALSE)</f>
        <v>ANTI-EPILEPTICA</v>
      </c>
      <c r="E1531" t="str">
        <f>VLOOKUP($A1531,[1]Table!$A$2:$N1678,E$1,FALSE)</f>
        <v>VIGABATRINE</v>
      </c>
      <c r="F1531" t="str">
        <f>VLOOKUP($A1531,[1]Table!$A$2:$N1678,F$1,FALSE)</f>
        <v>SABRIL 500 MG TABLET</v>
      </c>
      <c r="G1531" t="str">
        <f>VLOOKUP($A1531,[1]Table!$A$2:$N1678,G$1,FALSE)</f>
        <v>VIGABATRINE 500MG TABLET</v>
      </c>
      <c r="H1531" t="str">
        <f>VLOOKUP($A1531,[1]Table!$A$2:$N1678,H$1,FALSE)</f>
        <v>tablet</v>
      </c>
      <c r="I1531" t="str">
        <f>VLOOKUP($A1531,[1]Table!$A$2:$N1678,I$1,FALSE)</f>
        <v>or</v>
      </c>
      <c r="J1531">
        <f>VLOOKUP($A1531,[1]Table!$A$2:$N1678,J$1,FALSE)</f>
        <v>500</v>
      </c>
      <c r="K1531" t="str">
        <f>VLOOKUP($A1531,[1]Table!$A$2:$N1678,K$1,FALSE)</f>
        <v>mg/stuk</v>
      </c>
      <c r="L1531">
        <f>VLOOKUP($A1531,[1]Table!$A$2:$N1678,L$1,FALSE)</f>
        <v>500</v>
      </c>
      <c r="M1531" t="str">
        <f>VLOOKUP($A1531,[1]Table!$A$2:$N1678,M$1,FALSE)</f>
        <v>mg</v>
      </c>
      <c r="N1531" t="str">
        <f>VLOOKUP($A1531,[1]Table!$A$2:$N1678,N$1,FALSE)</f>
        <v>Epilepsie||Syndroom van West</v>
      </c>
      <c r="O1531" t="str">
        <f>ConcatenateRange(AZ1531:BU1531,"||")</f>
        <v/>
      </c>
    </row>
    <row r="1532" spans="1:15">
      <c r="A1532" s="9">
        <v>89982</v>
      </c>
      <c r="B1532" t="str">
        <f>VLOOKUP($A1532,[1]Table!$A$2:$N1679,B$1,FALSE)</f>
        <v>L01CA01</v>
      </c>
      <c r="C1532" t="str">
        <f>VLOOKUP($A1532,[1]Table!$A$2:$N1679,C$1,FALSE)</f>
        <v>ONCOLYTICA</v>
      </c>
      <c r="D1532" t="str">
        <f>VLOOKUP($A1532,[1]Table!$A$2:$N1679,D$1,FALSE)</f>
        <v>ALKALOIDEN EN OVERIGE NATUURLIJKE PRODUCTEN</v>
      </c>
      <c r="E1532" t="str">
        <f>VLOOKUP($A1532,[1]Table!$A$2:$N1679,E$1,FALSE)</f>
        <v>VINBLASTINE</v>
      </c>
      <c r="F1532" t="str">
        <f>VLOOKUP($A1532,[1]Table!$A$2:$N1679,F$1,FALSE)</f>
        <v>VINBLASTINESULFAAT 10 MG=10 ML INJVLST</v>
      </c>
      <c r="G1532" t="str">
        <f>VLOOKUP($A1532,[1]Table!$A$2:$N1679,G$1,FALSE)</f>
        <v>VINBLASTINE 1MG/ML INJVLST</v>
      </c>
      <c r="H1532" t="str">
        <f>VLOOKUP($A1532,[1]Table!$A$2:$N1679,H$1,FALSE)</f>
        <v>injectievloeistof</v>
      </c>
      <c r="I1532" t="str">
        <f>VLOOKUP($A1532,[1]Table!$A$2:$N1679,I$1,FALSE)</f>
        <v>iv</v>
      </c>
      <c r="J1532">
        <f>VLOOKUP($A1532,[1]Table!$A$2:$N1679,J$1,FALSE)</f>
        <v>1</v>
      </c>
      <c r="K1532" t="str">
        <f>VLOOKUP($A1532,[1]Table!$A$2:$N1679,K$1,FALSE)</f>
        <v>mg/ml</v>
      </c>
      <c r="L1532">
        <f>VLOOKUP($A1532,[1]Table!$A$2:$N1679,L$1,FALSE)</f>
        <v>1</v>
      </c>
      <c r="M1532" t="str">
        <f>VLOOKUP($A1532,[1]Table!$A$2:$N1679,M$1,FALSE)</f>
        <v>mg</v>
      </c>
      <c r="N1532" t="str">
        <f>VLOOKUP($A1532,[1]Table!$A$2:$N1679,N$1,FALSE)</f>
        <v>Oncologische aandoeningen</v>
      </c>
      <c r="O1532" t="str">
        <f>ConcatenateRange(AZ1532:BU1532,"||")</f>
        <v/>
      </c>
    </row>
    <row r="1533" spans="1:15">
      <c r="A1533" s="1">
        <v>45403</v>
      </c>
      <c r="B1533" s="11" t="str">
        <f>VLOOKUP($A1533,[1]Table!$A$2:$N1680,B$1,FALSE)</f>
        <v>L01CA02</v>
      </c>
      <c r="C1533" s="11" t="str">
        <f>VLOOKUP($A1533,[1]Table!$A$2:$N1680,C$1,FALSE)</f>
        <v>ONCOLYTICA</v>
      </c>
      <c r="D1533" s="11" t="str">
        <f>VLOOKUP($A1533,[1]Table!$A$2:$N1680,D$1,FALSE)</f>
        <v>ALKALOIDEN EN OVERIGE NATUURLIJKE PRODUCTEN</v>
      </c>
      <c r="E1533" s="11" t="str">
        <f>VLOOKUP($A1533,[1]Table!$A$2:$N1680,E$1,FALSE)</f>
        <v>VINCRISTINE</v>
      </c>
      <c r="F1533" s="11" t="str">
        <f>VLOOKUP($A1533,[1]Table!$A$2:$N1680,F$1,FALSE)</f>
        <v>VINCRISTINE WKZ MEDI DUMMY</v>
      </c>
      <c r="G1533" s="11" t="str">
        <f>VLOOKUP($A1533,[1]Table!$A$2:$N1680,G$1,FALSE)</f>
        <v>VINCRISTINE 1MG/ML INJVLST</v>
      </c>
      <c r="H1533" s="11" t="str">
        <f>VLOOKUP($A1533,[1]Table!$A$2:$N1680,H$1,FALSE)</f>
        <v>injectievloeistof</v>
      </c>
      <c r="I1533" s="11" t="str">
        <f>VLOOKUP($A1533,[1]Table!$A$2:$N1680,I$1,FALSE)</f>
        <v>iv</v>
      </c>
      <c r="J1533" s="11">
        <f>VLOOKUP($A1533,[1]Table!$A$2:$N1680,J$1,FALSE)</f>
        <v>1</v>
      </c>
      <c r="K1533" s="11" t="str">
        <f>VLOOKUP($A1533,[1]Table!$A$2:$N1680,K$1,FALSE)</f>
        <v>mg/ml</v>
      </c>
      <c r="L1533" s="11">
        <f>VLOOKUP($A1533,[1]Table!$A$2:$N1680,L$1,FALSE)</f>
        <v>1</v>
      </c>
      <c r="M1533" s="11" t="str">
        <f>VLOOKUP($A1533,[1]Table!$A$2:$N1680,M$1,FALSE)</f>
        <v>mg</v>
      </c>
      <c r="N1533" s="11" t="str">
        <f>VLOOKUP($A1533,[1]Table!$A$2:$N1680,N$1,FALSE)</f>
        <v>Oncologische aandoeningen</v>
      </c>
      <c r="O1533" t="str">
        <f>ConcatenateRange(AZ1533:BU1533,"||")</f>
        <v/>
      </c>
    </row>
    <row r="1534" spans="1:15">
      <c r="A1534" s="1">
        <v>133485</v>
      </c>
      <c r="B1534" t="str">
        <f>VLOOKUP($A1534,[1]Table!$A$2:$N1598,B$1,FALSE)</f>
        <v>A11HA08</v>
      </c>
      <c r="C1534" t="str">
        <f>VLOOKUP($A1534,[1]Table!$A$2:$N1598,C$1,FALSE)</f>
        <v>VITAMINEN</v>
      </c>
      <c r="D1534" t="str">
        <f>VLOOKUP($A1534,[1]Table!$A$2:$N1598,D$1,FALSE)</f>
        <v>OVERIGE ENKELVOUDIGE VITAMINEPREPARATEN</v>
      </c>
      <c r="E1534" t="s">
        <v>126</v>
      </c>
      <c r="F1534" t="str">
        <f>VLOOKUP($A1534,[1]Table!$A$2:$N1598,F$1,FALSE)</f>
        <v>VITAMINE E TPGS (VEDROP) 50 MG/ML</v>
      </c>
      <c r="G1534" s="11" t="str">
        <f>VLOOKUP($A1534,[1]Table!$A$2:$N1598,G$1,FALSE)</f>
        <v>TOCOFERSOLAN 50MG/ML DRANK</v>
      </c>
      <c r="H1534" t="str">
        <f>VLOOKUP($A1534,[1]Table!$A$2:$N1598,H$1,FALSE)</f>
        <v>drank</v>
      </c>
      <c r="I1534" t="str">
        <f>VLOOKUP($A1534,[1]Table!$A$2:$N1598,I$1,FALSE)</f>
        <v>or</v>
      </c>
      <c r="J1534">
        <f>VLOOKUP($A1534,[1]Table!$A$2:$N1598,J$1,FALSE)</f>
        <v>50</v>
      </c>
      <c r="K1534" t="str">
        <f>VLOOKUP($A1534,[1]Table!$A$2:$N1598,K$1,FALSE)</f>
        <v>mg/ml</v>
      </c>
      <c r="L1534">
        <f>VLOOKUP($A1534,[1]Table!$A$2:$N1598,L$1,FALSE)</f>
        <v>50</v>
      </c>
      <c r="M1534" t="str">
        <f>VLOOKUP($A1534,[1]Table!$A$2:$N1598,M$1,FALSE)</f>
        <v>mg</v>
      </c>
      <c r="N1534" s="11" t="str">
        <f>VLOOKUP($A1534,[1]Table!$A$2:$N1598,N$1,FALSE)</f>
        <v>Chronische cholestase||Suppletie bij cystische fibrose</v>
      </c>
      <c r="O1534" t="str">
        <f>ConcatenateRange(AZ1534:BU1534,"||")</f>
        <v/>
      </c>
    </row>
    <row r="1535" spans="1:15">
      <c r="A1535" s="1">
        <v>115460</v>
      </c>
      <c r="B1535" s="12" t="str">
        <f>VLOOKUP($A1535,[1]Table!$A$2:$N1681,B$1,FALSE)</f>
        <v>J02AC03</v>
      </c>
      <c r="C1535" s="12" t="str">
        <f>VLOOKUP($A1535,[1]Table!$A$2:$N1681,C$1,FALSE)</f>
        <v>ANTIMYCOTICA VOOR SYSTEMISCH GEBRUIK</v>
      </c>
      <c r="D1535" s="12" t="str">
        <f>VLOOKUP($A1535,[1]Table!$A$2:$N1681,D$1,FALSE)</f>
        <v>ANTIMYCOTICA VOOR SYSTEMISCH GEBRUIK</v>
      </c>
      <c r="E1535" s="12" t="str">
        <f>VLOOKUP($A1535,[1]Table!$A$2:$N1681,E$1,FALSE)</f>
        <v>VORICONAZOL</v>
      </c>
      <c r="F1535" s="12" t="str">
        <f>VLOOKUP($A1535,[1]Table!$A$2:$N1681,F$1,FALSE)</f>
        <v>VFEND   50 MG TABLET</v>
      </c>
      <c r="G1535" s="12" t="str">
        <f>VLOOKUP($A1535,[1]Table!$A$2:$N1681,G$1,FALSE)</f>
        <v>VORICONAZOL 50MG TABLET FO</v>
      </c>
      <c r="H1535" s="12" t="str">
        <f>VLOOKUP($A1535,[1]Table!$A$2:$N1681,H$1,FALSE)</f>
        <v>filmomhulde tablet</v>
      </c>
      <c r="I1535" s="12" t="str">
        <f>VLOOKUP($A1535,[1]Table!$A$2:$N1681,I$1,FALSE)</f>
        <v>or</v>
      </c>
      <c r="J1535" s="12">
        <f>VLOOKUP($A1535,[1]Table!$A$2:$N1681,J$1,FALSE)</f>
        <v>50</v>
      </c>
      <c r="K1535" s="12" t="str">
        <f>VLOOKUP($A1535,[1]Table!$A$2:$N1681,K$1,FALSE)</f>
        <v>mg/stuk</v>
      </c>
      <c r="L1535" s="12">
        <f>VLOOKUP($A1535,[1]Table!$A$2:$N1681,L$1,FALSE)</f>
        <v>50</v>
      </c>
      <c r="M1535" s="12" t="str">
        <f>VLOOKUP($A1535,[1]Table!$A$2:$N1681,M$1,FALSE)</f>
        <v>mg</v>
      </c>
      <c r="N1535" s="12" t="str">
        <f>VLOOKUP($A1535,[1]Table!$A$2:$N1681,N$1,FALSE)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5" t="str">
        <f>ConcatenateRange(AZ1535:BU1535,"||")</f>
        <v/>
      </c>
    </row>
    <row r="1536" spans="1:15">
      <c r="A1536" s="1">
        <v>115479</v>
      </c>
      <c r="B1536" s="12" t="str">
        <f>VLOOKUP($A1536,[1]Table!$A$2:$N1682,B$1,FALSE)</f>
        <v>J02AC03</v>
      </c>
      <c r="C1536" s="12" t="str">
        <f>VLOOKUP($A1536,[1]Table!$A$2:$N1682,C$1,FALSE)</f>
        <v>ANTIMYCOTICA VOOR SYSTEMISCH GEBRUIK</v>
      </c>
      <c r="D1536" s="12" t="str">
        <f>VLOOKUP($A1536,[1]Table!$A$2:$N1682,D$1,FALSE)</f>
        <v>ANTIMYCOTICA VOOR SYSTEMISCH GEBRUIK</v>
      </c>
      <c r="E1536" s="12" t="str">
        <f>VLOOKUP($A1536,[1]Table!$A$2:$N1682,E$1,FALSE)</f>
        <v>VORICONAZOL</v>
      </c>
      <c r="F1536" s="12" t="str">
        <f>VLOOKUP($A1536,[1]Table!$A$2:$N1682,F$1,FALSE)</f>
        <v>VFEND 200 MG TABLET</v>
      </c>
      <c r="G1536" s="12" t="str">
        <f>VLOOKUP($A1536,[1]Table!$A$2:$N1682,G$1,FALSE)</f>
        <v>VORICONAZOL 200MG TABLET FO</v>
      </c>
      <c r="H1536" s="12" t="str">
        <f>VLOOKUP($A1536,[1]Table!$A$2:$N1682,H$1,FALSE)</f>
        <v>filmomhulde tablet</v>
      </c>
      <c r="I1536" s="12" t="str">
        <f>VLOOKUP($A1536,[1]Table!$A$2:$N1682,I$1,FALSE)</f>
        <v>or</v>
      </c>
      <c r="J1536" s="12">
        <f>VLOOKUP($A1536,[1]Table!$A$2:$N1682,J$1,FALSE)</f>
        <v>200</v>
      </c>
      <c r="K1536" s="12" t="str">
        <f>VLOOKUP($A1536,[1]Table!$A$2:$N1682,K$1,FALSE)</f>
        <v>mg/stuk</v>
      </c>
      <c r="L1536" s="12">
        <f>VLOOKUP($A1536,[1]Table!$A$2:$N1682,L$1,FALSE)</f>
        <v>200</v>
      </c>
      <c r="M1536" s="12" t="str">
        <f>VLOOKUP($A1536,[1]Table!$A$2:$N1682,M$1,FALSE)</f>
        <v>mg</v>
      </c>
      <c r="N1536" s="12" t="str">
        <f>VLOOKUP($A1536,[1]Table!$A$2:$N1682,N$1,FALSE)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6" t="str">
        <f>ConcatenateRange(AZ1536:BU1536,"||")</f>
        <v/>
      </c>
    </row>
    <row r="1537" spans="1:28">
      <c r="A1537" s="9">
        <v>115487</v>
      </c>
      <c r="B1537" s="12" t="str">
        <f>VLOOKUP($A1537,[1]Table!$A$2:$N1683,B$1,FALSE)</f>
        <v>J02AC03</v>
      </c>
      <c r="C1537" s="12" t="str">
        <f>VLOOKUP($A1537,[1]Table!$A$2:$N1683,C$1,FALSE)</f>
        <v>ANTIMYCOTICA VOOR SYSTEMISCH GEBRUIK</v>
      </c>
      <c r="D1537" s="12" t="str">
        <f>VLOOKUP($A1537,[1]Table!$A$2:$N1683,D$1,FALSE)</f>
        <v>ANTIMYCOTICA VOOR SYSTEMISCH GEBRUIK</v>
      </c>
      <c r="E1537" s="12" t="str">
        <f>VLOOKUP($A1537,[1]Table!$A$2:$N1683,E$1,FALSE)</f>
        <v>VORICONAZOL</v>
      </c>
      <c r="F1537" s="12" t="str">
        <f>VLOOKUP($A1537,[1]Table!$A$2:$N1683,F$1,FALSE)</f>
        <v>VFEND 200 MG POEDER VOOR INFUUS</v>
      </c>
      <c r="G1537" s="12" t="str">
        <f>VLOOKUP($A1537,[1]Table!$A$2:$N1683,G$1,FALSE)</f>
        <v>VORICONAZOL 200MG INFPDR</v>
      </c>
      <c r="H1537" s="12" t="str">
        <f>VLOOKUP($A1537,[1]Table!$A$2:$N1683,H$1,FALSE)</f>
        <v>poeder voor oplossing voor infusie</v>
      </c>
      <c r="I1537" s="12" t="str">
        <f>VLOOKUP($A1537,[1]Table!$A$2:$N1683,I$1,FALSE)</f>
        <v>iv</v>
      </c>
      <c r="J1537" s="12">
        <f>VLOOKUP($A1537,[1]Table!$A$2:$N1683,J$1,FALSE)</f>
        <v>200</v>
      </c>
      <c r="K1537" s="12" t="str">
        <f>VLOOKUP($A1537,[1]Table!$A$2:$N1683,K$1,FALSE)</f>
        <v>mg/stuk</v>
      </c>
      <c r="L1537" s="12">
        <f>VLOOKUP($A1537,[1]Table!$A$2:$N1683,L$1,FALSE)</f>
        <v>200</v>
      </c>
      <c r="M1537" s="12" t="str">
        <f>VLOOKUP($A1537,[1]Table!$A$2:$N1683,M$1,FALSE)</f>
        <v>mg</v>
      </c>
      <c r="N1537" s="12" t="str">
        <f>VLOOKUP($A1537,[1]Table!$A$2:$N1683,N$1,FALSE)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7" t="str">
        <f>ConcatenateRange(AZ1537:BU1537,"||")</f>
        <v/>
      </c>
      <c r="Q1537">
        <v>8</v>
      </c>
      <c r="R1537">
        <v>16</v>
      </c>
      <c r="W1537">
        <v>5</v>
      </c>
      <c r="Y1537">
        <v>180</v>
      </c>
      <c r="AB1537" t="s">
        <v>49</v>
      </c>
    </row>
    <row r="1538" spans="1:28">
      <c r="A1538" s="1">
        <v>120324</v>
      </c>
      <c r="B1538" s="13" t="str">
        <f>VLOOKUP($A1538,[1]Table!$A$2:$N1684,B$1,FALSE)</f>
        <v>J02AC03</v>
      </c>
      <c r="C1538" s="13" t="str">
        <f>VLOOKUP($A1538,[1]Table!$A$2:$N1684,C$1,FALSE)</f>
        <v>ANTIMYCOTICA VOOR SYSTEMISCH GEBRUIK</v>
      </c>
      <c r="D1538" s="13" t="str">
        <f>VLOOKUP($A1538,[1]Table!$A$2:$N1684,D$1,FALSE)</f>
        <v>ANTIMYCOTICA VOOR SYSTEMISCH GEBRUIK</v>
      </c>
      <c r="E1538" s="13" t="str">
        <f>VLOOKUP($A1538,[1]Table!$A$2:$N1684,E$1,FALSE)</f>
        <v>VORICONAZOL</v>
      </c>
      <c r="F1538" s="13" t="str">
        <f>VLOOKUP($A1538,[1]Table!$A$2:$N1684,F$1,FALSE)</f>
        <v>VFEND  40 MG/ML POEDER VOOR SUSPENSIE  70ML</v>
      </c>
      <c r="G1538" s="13" t="str">
        <f>VLOOKUP($A1538,[1]Table!$A$2:$N1684,G$1,FALSE)</f>
        <v>VORICONAZOL 40MG/ML SUSPENS</v>
      </c>
      <c r="H1538" s="13" t="str">
        <f>VLOOKUP($A1538,[1]Table!$A$2:$N1684,H$1,FALSE)</f>
        <v>suspensie voor oraal gebruik</v>
      </c>
      <c r="I1538" s="13" t="str">
        <f>VLOOKUP($A1538,[1]Table!$A$2:$N1684,I$1,FALSE)</f>
        <v>or</v>
      </c>
      <c r="J1538" s="13">
        <f>VLOOKUP($A1538,[1]Table!$A$2:$N1684,J$1,FALSE)</f>
        <v>40</v>
      </c>
      <c r="K1538" s="13" t="str">
        <f>VLOOKUP($A1538,[1]Table!$A$2:$N1684,K$1,FALSE)</f>
        <v>mg/ml</v>
      </c>
      <c r="L1538" s="13">
        <f>VLOOKUP($A1538,[1]Table!$A$2:$N1684,L$1,FALSE)</f>
        <v>40</v>
      </c>
      <c r="M1538" s="13" t="str">
        <f>VLOOKUP($A1538,[1]Table!$A$2:$N1684,M$1,FALSE)</f>
        <v>mg</v>
      </c>
      <c r="N1538" s="13" t="str">
        <f>VLOOKUP($A1538,[1]Table!$A$2:$N1684,N$1,FALSE)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8" t="str">
        <f>ConcatenateRange(AZ1538:BU1538,"||")</f>
        <v/>
      </c>
    </row>
    <row r="1539" spans="1:28">
      <c r="A1539" s="9">
        <v>37044</v>
      </c>
      <c r="B1539" s="13" t="str">
        <f>VLOOKUP($A1539,[1]Table!$A$2:$N1687,B$1,FALSE)</f>
        <v>R01AA07</v>
      </c>
      <c r="C1539" s="13" t="str">
        <f>VLOOKUP($A1539,[1]Table!$A$2:$N1687,C$1,FALSE)</f>
        <v>MIDDELEN VOOR NASAAL GEBRUIK</v>
      </c>
      <c r="D1539" s="13" t="str">
        <f>VLOOKUP($A1539,[1]Table!$A$2:$N1687,D$1,FALSE)</f>
        <v>DECONGESTIVA EN ANDERE LOKALE MIDDELEN VOOR NASAAL GEBRUIK</v>
      </c>
      <c r="E1539" s="13" t="str">
        <f>VLOOKUP($A1539,[1]Table!$A$2:$N1687,E$1,FALSE)</f>
        <v>XYLOMETAZOLINE</v>
      </c>
      <c r="F1539" s="13" t="str">
        <f>VLOOKUP($A1539,[1]Table!$A$2:$N1687,F$1,FALSE)</f>
        <v>XYLOMETAZOLINE 0,025 % NEUSDRUPPELS 10 ML</v>
      </c>
      <c r="G1539" s="13" t="str">
        <f>VLOOKUP($A1539,[1]Table!$A$2:$N1687,G$1,FALSE)</f>
        <v>XYLOMETAZOL 0,25MG/ML NEUSD</v>
      </c>
      <c r="H1539" s="13" t="str">
        <f>VLOOKUP($A1539,[1]Table!$A$2:$N1687,H$1,FALSE)</f>
        <v>neusdruppels</v>
      </c>
      <c r="I1539" s="13" t="str">
        <f>VLOOKUP($A1539,[1]Table!$A$2:$N1687,I$1,FALSE)</f>
        <v>nasaal</v>
      </c>
      <c r="J1539" s="13">
        <f>VLOOKUP($A1539,[1]Table!$A$2:$N1687,J$1,FALSE)</f>
        <v>0.25</v>
      </c>
      <c r="K1539" s="13" t="str">
        <f>VLOOKUP($A1539,[1]Table!$A$2:$N1687,K$1,FALSE)</f>
        <v>mg/ml</v>
      </c>
      <c r="L1539" s="13">
        <f>VLOOKUP($A1539,[1]Table!$A$2:$N1687,L$1,FALSE)</f>
        <v>0.25</v>
      </c>
      <c r="M1539" s="13" t="str">
        <f>VLOOKUP($A1539,[1]Table!$A$2:$N1687,M$1,FALSE)</f>
        <v>mg</v>
      </c>
      <c r="N1539" s="13" t="str">
        <f>VLOOKUP($A1539,[1]Table!$A$2:$N1687,N$1,FALSE)</f>
        <v>Verstopte neus</v>
      </c>
      <c r="O1539" t="str">
        <f>ConcatenateRange(AZ1539:BU1539,"||")</f>
        <v/>
      </c>
    </row>
    <row r="1540" spans="1:28">
      <c r="A1540" s="9">
        <v>18643</v>
      </c>
      <c r="B1540" s="13" t="str">
        <f>VLOOKUP($A1540,[1]Table!$A$2:$N1688,B$1,FALSE)</f>
        <v>R01AA07</v>
      </c>
      <c r="C1540" s="13" t="str">
        <f>VLOOKUP($A1540,[1]Table!$A$2:$N1688,C$1,FALSE)</f>
        <v>MIDDELEN VOOR NASAAL GEBRUIK</v>
      </c>
      <c r="D1540" s="13" t="str">
        <f>VLOOKUP($A1540,[1]Table!$A$2:$N1688,D$1,FALSE)</f>
        <v>DECONGESTIVA EN ANDERE LOKALE MIDDELEN VOOR NASAAL GEBRUIK</v>
      </c>
      <c r="E1540" s="13" t="str">
        <f>VLOOKUP($A1540,[1]Table!$A$2:$N1688,E$1,FALSE)</f>
        <v>XYLOMETAZOLINE</v>
      </c>
      <c r="F1540" s="13" t="str">
        <f>VLOOKUP($A1540,[1]Table!$A$2:$N1688,F$1,FALSE)</f>
        <v>XYLOMETAZOLINE 0.05% NEUSDRUPPELS</v>
      </c>
      <c r="G1540" s="13" t="str">
        <f>VLOOKUP($A1540,[1]Table!$A$2:$N1688,G$1,FALSE)</f>
        <v>XYLOMETAZOL 0,5MG/ML NEUSDR</v>
      </c>
      <c r="H1540" s="13" t="str">
        <f>VLOOKUP($A1540,[1]Table!$A$2:$N1688,H$1,FALSE)</f>
        <v>neusdruppels</v>
      </c>
      <c r="I1540" s="13" t="str">
        <f>VLOOKUP($A1540,[1]Table!$A$2:$N1688,I$1,FALSE)</f>
        <v>nasaal</v>
      </c>
      <c r="J1540" s="13">
        <f>VLOOKUP($A1540,[1]Table!$A$2:$N1688,J$1,FALSE)</f>
        <v>0.5</v>
      </c>
      <c r="K1540" s="13" t="str">
        <f>VLOOKUP($A1540,[1]Table!$A$2:$N1688,K$1,FALSE)</f>
        <v>mg/ml</v>
      </c>
      <c r="L1540" s="13">
        <f>VLOOKUP($A1540,[1]Table!$A$2:$N1688,L$1,FALSE)</f>
        <v>0.5</v>
      </c>
      <c r="M1540" s="13" t="str">
        <f>VLOOKUP($A1540,[1]Table!$A$2:$N1688,M$1,FALSE)</f>
        <v>mg</v>
      </c>
      <c r="N1540" s="13" t="str">
        <f>VLOOKUP($A1540,[1]Table!$A$2:$N1688,N$1,FALSE)</f>
        <v>Verstopte neus</v>
      </c>
      <c r="O1540" t="str">
        <f>ConcatenateRange(AZ1540:BU1540,"||")</f>
        <v/>
      </c>
    </row>
    <row r="1541" spans="1:28">
      <c r="A1541" s="9">
        <v>18651</v>
      </c>
      <c r="B1541" s="13" t="str">
        <f>VLOOKUP($A1541,[1]Table!$A$2:$N1689,B$1,FALSE)</f>
        <v>R01AA07</v>
      </c>
      <c r="C1541" s="13" t="str">
        <f>VLOOKUP($A1541,[1]Table!$A$2:$N1689,C$1,FALSE)</f>
        <v>MIDDELEN VOOR NASAAL GEBRUIK</v>
      </c>
      <c r="D1541" s="13" t="str">
        <f>VLOOKUP($A1541,[1]Table!$A$2:$N1689,D$1,FALSE)</f>
        <v>DECONGESTIVA EN ANDERE LOKALE MIDDELEN VOOR NASAAL GEBRUIK</v>
      </c>
      <c r="E1541" s="13" t="str">
        <f>VLOOKUP($A1541,[1]Table!$A$2:$N1689,E$1,FALSE)</f>
        <v>XYLOMETAZOLINE</v>
      </c>
      <c r="F1541" s="13" t="str">
        <f>VLOOKUP($A1541,[1]Table!$A$2:$N1689,F$1,FALSE)</f>
        <v>XYLOMETAZOLINE 0.1% NEUSDRUPPELS</v>
      </c>
      <c r="G1541" s="13" t="str">
        <f>VLOOKUP($A1541,[1]Table!$A$2:$N1689,G$1,FALSE)</f>
        <v>XYLOMETAZOLINE 1MG/ML NEUSD</v>
      </c>
      <c r="H1541" s="13" t="str">
        <f>VLOOKUP($A1541,[1]Table!$A$2:$N1689,H$1,FALSE)</f>
        <v>neusdruppels</v>
      </c>
      <c r="I1541" s="13" t="str">
        <f>VLOOKUP($A1541,[1]Table!$A$2:$N1689,I$1,FALSE)</f>
        <v>nasaal</v>
      </c>
      <c r="J1541" s="13">
        <f>VLOOKUP($A1541,[1]Table!$A$2:$N1689,J$1,FALSE)</f>
        <v>1</v>
      </c>
      <c r="K1541" s="13" t="str">
        <f>VLOOKUP($A1541,[1]Table!$A$2:$N1689,K$1,FALSE)</f>
        <v>mg/ml</v>
      </c>
      <c r="L1541" s="13">
        <f>VLOOKUP($A1541,[1]Table!$A$2:$N1689,L$1,FALSE)</f>
        <v>1</v>
      </c>
      <c r="M1541" s="13" t="str">
        <f>VLOOKUP($A1541,[1]Table!$A$2:$N1689,M$1,FALSE)</f>
        <v>mg</v>
      </c>
      <c r="N1541" s="13" t="str">
        <f>VLOOKUP($A1541,[1]Table!$A$2:$N1689,N$1,FALSE)</f>
        <v>Verstopte neus</v>
      </c>
      <c r="O1541" t="str">
        <f>ConcatenateRange(AZ1541:BU1541,"||")</f>
        <v/>
      </c>
    </row>
    <row r="1542" spans="1:28">
      <c r="A1542" s="1">
        <v>7552</v>
      </c>
      <c r="B1542" s="13" t="str">
        <f>VLOOKUP($A1542,[1]Table!$A$2:$N1690,B$1,FALSE)</f>
        <v>R01AA07</v>
      </c>
      <c r="C1542" s="13" t="str">
        <f>VLOOKUP($A1542,[1]Table!$A$2:$N1690,C$1,FALSE)</f>
        <v>MIDDELEN VOOR NASAAL GEBRUIK</v>
      </c>
      <c r="D1542" s="13" t="str">
        <f>VLOOKUP($A1542,[1]Table!$A$2:$N1690,D$1,FALSE)</f>
        <v>DECONGESTIVA EN ANDERE LOKALE MIDDELEN VOOR NASAAL GEBRUIK</v>
      </c>
      <c r="E1542" s="13" t="str">
        <f>VLOOKUP($A1542,[1]Table!$A$2:$N1690,E$1,FALSE)</f>
        <v>XYLOMETAZOLINE</v>
      </c>
      <c r="F1542" s="13" t="str">
        <f>VLOOKUP($A1542,[1]Table!$A$2:$N1690,F$1,FALSE)</f>
        <v>OTRIVIN 1MG/ML NEUSSPRAY +DOSEERPOMP</v>
      </c>
      <c r="G1542" s="13" t="str">
        <f>VLOOKUP($A1542,[1]Table!$A$2:$N1690,G$1,FALSE)</f>
        <v>XYLOMETAZOL 1MG/ML NEUSSPRA</v>
      </c>
      <c r="H1542" s="13" t="str">
        <f>VLOOKUP($A1542,[1]Table!$A$2:$N1690,H$1,FALSE)</f>
        <v>neusspray</v>
      </c>
      <c r="I1542" s="13" t="str">
        <f>VLOOKUP($A1542,[1]Table!$A$2:$N1690,I$1,FALSE)</f>
        <v>nasaal</v>
      </c>
      <c r="J1542" s="13">
        <f>VLOOKUP($A1542,[1]Table!$A$2:$N1690,J$1,FALSE)</f>
        <v>1</v>
      </c>
      <c r="K1542" s="13" t="str">
        <f>VLOOKUP($A1542,[1]Table!$A$2:$N1690,K$1,FALSE)</f>
        <v>mg/ml</v>
      </c>
      <c r="L1542" s="13">
        <f>VLOOKUP($A1542,[1]Table!$A$2:$N1690,L$1,FALSE)</f>
        <v>1</v>
      </c>
      <c r="M1542" s="13" t="str">
        <f>VLOOKUP($A1542,[1]Table!$A$2:$N1690,M$1,FALSE)</f>
        <v>mg</v>
      </c>
      <c r="N1542" s="13" t="str">
        <f>VLOOKUP($A1542,[1]Table!$A$2:$N1690,N$1,FALSE)</f>
        <v>Verstopte neus</v>
      </c>
      <c r="O1542" t="str">
        <f>ConcatenateRange(AZ1542:BU1542,"||")</f>
        <v/>
      </c>
    </row>
    <row r="1543" spans="1:28">
      <c r="A1543" s="1">
        <v>64211</v>
      </c>
      <c r="B1543" s="13" t="str">
        <f>VLOOKUP($A1543,[1]Table!$A$2:$N1691,B$1,FALSE)</f>
        <v>J05AF01</v>
      </c>
      <c r="C1543" s="13" t="str">
        <f>VLOOKUP($A1543,[1]Table!$A$2:$N1691,C$1,FALSE)</f>
        <v>ANTIVIRALE MIDDELEN VOOR SYSTEMISCH GEBRUIK</v>
      </c>
      <c r="D1543" s="13" t="str">
        <f>VLOOKUP($A1543,[1]Table!$A$2:$N1691,D$1,FALSE)</f>
        <v>DIRECT WERKENDE ANTIVIRALE MIDDELEN</v>
      </c>
      <c r="E1543" s="13" t="str">
        <f>VLOOKUP($A1543,[1]Table!$A$2:$N1691,E$1,FALSE)</f>
        <v>ZIDOVUDINE</v>
      </c>
      <c r="F1543" s="13" t="str">
        <f>VLOOKUP($A1543,[1]Table!$A$2:$N1691,F$1,FALSE)</f>
        <v>RETROVIR 100 MG CAPSULE</v>
      </c>
      <c r="G1543" s="13" t="str">
        <f>VLOOKUP($A1543,[1]Table!$A$2:$N1691,G$1,FALSE)</f>
        <v>ZIDOVUDINE 100MG CAPSULE</v>
      </c>
      <c r="H1543" s="13" t="str">
        <f>VLOOKUP($A1543,[1]Table!$A$2:$N1691,H$1,FALSE)</f>
        <v>capsule</v>
      </c>
      <c r="I1543" s="13" t="str">
        <f>VLOOKUP($A1543,[1]Table!$A$2:$N1691,I$1,FALSE)</f>
        <v>or</v>
      </c>
      <c r="J1543" s="13">
        <f>VLOOKUP($A1543,[1]Table!$A$2:$N1691,J$1,FALSE)</f>
        <v>100</v>
      </c>
      <c r="K1543" s="13" t="str">
        <f>VLOOKUP($A1543,[1]Table!$A$2:$N1691,K$1,FALSE)</f>
        <v>mg/stuk</v>
      </c>
      <c r="L1543" s="13">
        <f>VLOOKUP($A1543,[1]Table!$A$2:$N1691,L$1,FALSE)</f>
        <v>100</v>
      </c>
      <c r="M1543" s="13" t="str">
        <f>VLOOKUP($A1543,[1]Table!$A$2:$N1691,M$1,FALSE)</f>
        <v>mg</v>
      </c>
      <c r="N1543" s="13" t="str">
        <f>VLOOKUP($A1543,[1]Table!$A$2:$N1691,N$1,FALSE)</f>
        <v>HIV||Neonatale profylaxe bij HIV positieve moeder</v>
      </c>
      <c r="O1543" t="str">
        <f>ConcatenateRange(AZ1543:BU1543,"||")</f>
        <v/>
      </c>
    </row>
    <row r="1544" spans="1:28">
      <c r="A1544" s="1">
        <v>89818</v>
      </c>
      <c r="B1544" s="18" t="str">
        <f>VLOOKUP($A1544,[1]Table!$A$2:$N1692,B$1,FALSE)</f>
        <v>J05AF01</v>
      </c>
      <c r="C1544" s="18" t="str">
        <f>VLOOKUP($A1544,[1]Table!$A$2:$N1692,C$1,FALSE)</f>
        <v>ANTIVIRALE MIDDELEN VOOR SYSTEMISCH GEBRUIK</v>
      </c>
      <c r="D1544" s="18" t="str">
        <f>VLOOKUP($A1544,[1]Table!$A$2:$N1692,D$1,FALSE)</f>
        <v>DIRECT WERKENDE ANTIVIRALE MIDDELEN</v>
      </c>
      <c r="E1544" s="18" t="str">
        <f>VLOOKUP($A1544,[1]Table!$A$2:$N1692,E$1,FALSE)</f>
        <v>ZIDOVUDINE</v>
      </c>
      <c r="F1544" s="18" t="str">
        <f>VLOOKUP($A1544,[1]Table!$A$2:$N1692,F$1,FALSE)</f>
        <v>RETROVIR 10 MG/ML INFVLST CONC 20 ML</v>
      </c>
      <c r="G1544" s="18" t="str">
        <f>VLOOKUP($A1544,[1]Table!$A$2:$N1692,G$1,FALSE)</f>
        <v>ZIDOVUDINE 10MG/ML INF CONC</v>
      </c>
      <c r="H1544" s="18" t="str">
        <f>VLOOKUP($A1544,[1]Table!$A$2:$N1692,H$1,FALSE)</f>
        <v>concentraat voor oplossing voor infusie</v>
      </c>
      <c r="I1544" s="18" t="str">
        <f>VLOOKUP($A1544,[1]Table!$A$2:$N1692,I$1,FALSE)</f>
        <v>iv</v>
      </c>
      <c r="J1544" s="18">
        <f>VLOOKUP($A1544,[1]Table!$A$2:$N1692,J$1,FALSE)</f>
        <v>10</v>
      </c>
      <c r="K1544" s="18" t="str">
        <f>VLOOKUP($A1544,[1]Table!$A$2:$N1692,K$1,FALSE)</f>
        <v>mg/ml</v>
      </c>
      <c r="L1544" s="18">
        <f>VLOOKUP($A1544,[1]Table!$A$2:$N1692,L$1,FALSE)</f>
        <v>10</v>
      </c>
      <c r="M1544" s="18" t="str">
        <f>VLOOKUP($A1544,[1]Table!$A$2:$N1692,M$1,FALSE)</f>
        <v>mg</v>
      </c>
      <c r="N1544" s="18" t="str">
        <f>VLOOKUP($A1544,[1]Table!$A$2:$N1692,N$1,FALSE)</f>
        <v>HIV||Neonatale profylaxe bij HIV positieve moeder</v>
      </c>
      <c r="O1544" s="18" t="str">
        <f>ConcatenateRange(AZ1544:BU1544,"||")</f>
        <v/>
      </c>
    </row>
    <row r="1545" spans="1:28">
      <c r="A1545" s="1">
        <v>85715</v>
      </c>
      <c r="B1545" s="20" t="str">
        <f>VLOOKUP($A1545,[1]Table!$A$2:$N1693,B$1,FALSE)</f>
        <v>J05AF01</v>
      </c>
      <c r="C1545" s="20" t="str">
        <f>VLOOKUP($A1545,[1]Table!$A$2:$N1693,C$1,FALSE)</f>
        <v>ANTIVIRALE MIDDELEN VOOR SYSTEMISCH GEBRUIK</v>
      </c>
      <c r="D1545" s="20" t="str">
        <f>VLOOKUP($A1545,[1]Table!$A$2:$N1693,D$1,FALSE)</f>
        <v>DIRECT WERKENDE ANTIVIRALE MIDDELEN</v>
      </c>
      <c r="E1545" s="20" t="str">
        <f>VLOOKUP($A1545,[1]Table!$A$2:$N1693,E$1,FALSE)</f>
        <v>ZIDOVUDINE</v>
      </c>
      <c r="F1545" s="20" t="str">
        <f>VLOOKUP($A1545,[1]Table!$A$2:$N1693,F$1,FALSE)</f>
        <v>RETROVIR AZT 10 MG/ML DRANK 200ML</v>
      </c>
      <c r="G1545" s="20" t="str">
        <f>VLOOKUP($A1545,[1]Table!$A$2:$N1693,G$1,FALSE)</f>
        <v>ZIDOVUDINE 10MG/ML DRANK</v>
      </c>
      <c r="H1545" s="20" t="str">
        <f>VLOOKUP($A1545,[1]Table!$A$2:$N1693,H$1,FALSE)</f>
        <v>drank</v>
      </c>
      <c r="I1545" s="20" t="str">
        <f>VLOOKUP($A1545,[1]Table!$A$2:$N1693,I$1,FALSE)</f>
        <v>or</v>
      </c>
      <c r="J1545" s="20">
        <f>VLOOKUP($A1545,[1]Table!$A$2:$N1693,J$1,FALSE)</f>
        <v>10</v>
      </c>
      <c r="K1545" s="20" t="str">
        <f>VLOOKUP($A1545,[1]Table!$A$2:$N1693,K$1,FALSE)</f>
        <v>mg/ml</v>
      </c>
      <c r="L1545" s="20">
        <f>VLOOKUP($A1545,[1]Table!$A$2:$N1693,L$1,FALSE)</f>
        <v>10</v>
      </c>
      <c r="M1545" s="20" t="str">
        <f>VLOOKUP($A1545,[1]Table!$A$2:$N1693,M$1,FALSE)</f>
        <v>mg</v>
      </c>
      <c r="N1545" s="20" t="str">
        <f>VLOOKUP($A1545,[1]Table!$A$2:$N1693,N$1,FALSE)</f>
        <v>HIV||Neonatale profylaxe bij HIV positieve moeder</v>
      </c>
      <c r="O1545" s="20" t="str">
        <f>ConcatenateRange(AZ1545:BU1545,"||")</f>
        <v/>
      </c>
    </row>
    <row r="1546" spans="1:28">
      <c r="A1546" s="9">
        <v>9989</v>
      </c>
      <c r="B1546" s="20" t="str">
        <f>VLOOKUP($A1546,[1]Table!$A$2:$N1694,B$1,FALSE)</f>
        <v>D06BA01</v>
      </c>
      <c r="C1546" s="20" t="str">
        <f>VLOOKUP($A1546,[1]Table!$A$2:$N1694,C$1,FALSE)</f>
        <v>ANTIMICROBIELE MIDDELEN VOOR DERMATOLOGISCH GEBRUIK</v>
      </c>
      <c r="D1546" s="20" t="str">
        <f>VLOOKUP($A1546,[1]Table!$A$2:$N1694,D$1,FALSE)</f>
        <v>LOKALE CHEMISCHE ANTIMICROBIELE MIDDELEN</v>
      </c>
      <c r="E1546" s="20" t="str">
        <f>VLOOKUP($A1546,[1]Table!$A$2:$N1694,E$1,FALSE)</f>
        <v>ZILVERSULFADIAZINE</v>
      </c>
      <c r="F1546" s="20" t="str">
        <f>VLOOKUP($A1546,[1]Table!$A$2:$N1694,F$1,FALSE)</f>
        <v>ZILVERSULFADIAZINE 10 MG/G CREME 50 G</v>
      </c>
      <c r="G1546" s="20" t="str">
        <f>VLOOKUP($A1546,[1]Table!$A$2:$N1694,G$1,FALSE)</f>
        <v>ZILVERSULFADIAZINE CREME</v>
      </c>
      <c r="H1546" s="20" t="str">
        <f>VLOOKUP($A1546,[1]Table!$A$2:$N1694,H$1,FALSE)</f>
        <v>creme</v>
      </c>
      <c r="I1546" s="20" t="str">
        <f>VLOOKUP($A1546,[1]Table!$A$2:$N1694,I$1,FALSE)</f>
        <v>cutaan</v>
      </c>
      <c r="J1546" s="20">
        <f>VLOOKUP($A1546,[1]Table!$A$2:$N1694,J$1,FALSE)</f>
        <v>10</v>
      </c>
      <c r="K1546" s="20" t="str">
        <f>VLOOKUP($A1546,[1]Table!$A$2:$N1694,K$1,FALSE)</f>
        <v>mg/gr</v>
      </c>
      <c r="L1546" s="20">
        <f>VLOOKUP($A1546,[1]Table!$A$2:$N1694,L$1,FALSE)</f>
        <v>10</v>
      </c>
      <c r="M1546" s="20" t="str">
        <f>VLOOKUP($A1546,[1]Table!$A$2:$N1694,M$1,FALSE)</f>
        <v>mg</v>
      </c>
      <c r="N1546" s="20" t="str">
        <f>VLOOKUP($A1546,[1]Table!$A$2:$N1694,N$1,FALSE)</f>
        <v>Preventie en behandeling van infecties bij brandwonden (2e en 3e graads) en decubitus ulcera.</v>
      </c>
      <c r="O1546" s="20" t="str">
        <f>ConcatenateRange(AZ1546:BU1546,"||")</f>
        <v/>
      </c>
    </row>
    <row r="1547" spans="1:28">
      <c r="A1547" s="9">
        <v>124931</v>
      </c>
      <c r="B1547" s="20" t="str">
        <f>VLOOKUP($A1547,[1]Table!$A$2:$N1695,B$1,FALSE)</f>
        <v>A16AX05</v>
      </c>
      <c r="C1547" s="20" t="str">
        <f>VLOOKUP($A1547,[1]Table!$A$2:$N1695,C$1,FALSE)</f>
        <v>OVERIGE MAAGDARMKANAAL- EN METABOLISMEPRODUCTEN</v>
      </c>
      <c r="D1547" s="20" t="str">
        <f>VLOOKUP($A1547,[1]Table!$A$2:$N1695,D$1,FALSE)</f>
        <v>OVERIGE MAAGDARMKANAAL- EN METABOLISMEPRODUCTEN</v>
      </c>
      <c r="E1547" s="20" t="str">
        <f>VLOOKUP($A1547,[1]Table!$A$2:$N1695,E$1,FALSE)</f>
        <v>ZINKACETAAT</v>
      </c>
      <c r="F1547" s="20" t="str">
        <f>VLOOKUP($A1547,[1]Table!$A$2:$N1695,F$1,FALSE)</f>
        <v>WILZIN 168 MG (= 50 MG ZN) CAPSULE</v>
      </c>
      <c r="G1547" s="20" t="str">
        <f>VLOOKUP($A1547,[1]Table!$A$2:$N1695,G$1,FALSE)</f>
        <v>ZINKACETAAT 168MG CAPSULE</v>
      </c>
      <c r="H1547" s="20" t="str">
        <f>VLOOKUP($A1547,[1]Table!$A$2:$N1695,H$1,FALSE)</f>
        <v>capsule</v>
      </c>
      <c r="I1547" s="20" t="str">
        <f>VLOOKUP($A1547,[1]Table!$A$2:$N1695,I$1,FALSE)</f>
        <v>or</v>
      </c>
      <c r="J1547" s="20">
        <f>VLOOKUP($A1547,[1]Table!$A$2:$N1695,J$1,FALSE)</f>
        <v>168</v>
      </c>
      <c r="K1547" s="20" t="str">
        <f>VLOOKUP($A1547,[1]Table!$A$2:$N1695,K$1,FALSE)</f>
        <v>mg/stuk</v>
      </c>
      <c r="L1547" s="20">
        <f>VLOOKUP($A1547,[1]Table!$A$2:$N1695,L$1,FALSE)</f>
        <v>168</v>
      </c>
      <c r="M1547" s="20" t="str">
        <f>VLOOKUP($A1547,[1]Table!$A$2:$N1695,M$1,FALSE)</f>
        <v>mg</v>
      </c>
      <c r="N1547" s="20" t="str">
        <f>VLOOKUP($A1547,[1]Table!$A$2:$N1695,N$1,FALSE)</f>
        <v>M. Wilson</v>
      </c>
      <c r="O1547" s="20" t="str">
        <f>ConcatenateRange(AZ1547:BU1547,"||")</f>
        <v/>
      </c>
    </row>
    <row r="1548" spans="1:28">
      <c r="A1548" s="9">
        <v>134937</v>
      </c>
      <c r="B1548" s="20" t="str">
        <f>VLOOKUP($A1548,[1]Table!$A$2:$N1696,B$1,FALSE)</f>
        <v>N03AX15</v>
      </c>
      <c r="C1548" s="20" t="str">
        <f>VLOOKUP($A1548,[1]Table!$A$2:$N1696,C$1,FALSE)</f>
        <v>ANTI-EPILEPTICA</v>
      </c>
      <c r="D1548" s="20" t="str">
        <f>VLOOKUP($A1548,[1]Table!$A$2:$N1696,D$1,FALSE)</f>
        <v>ANTI-EPILEPTICA</v>
      </c>
      <c r="E1548" s="20" t="str">
        <f>VLOOKUP($A1548,[1]Table!$A$2:$N1696,E$1,FALSE)</f>
        <v>ZONISAMIDE</v>
      </c>
      <c r="F1548" s="20" t="str">
        <f>VLOOKUP($A1548,[1]Table!$A$2:$N1696,F$1,FALSE)</f>
        <v>ZONEGRAN 25 MG CAPSULE</v>
      </c>
      <c r="G1548" s="20" t="str">
        <f>VLOOKUP($A1548,[1]Table!$A$2:$N1696,G$1,FALSE)</f>
        <v>ZONISAMIDE 25MG CAPSULE</v>
      </c>
      <c r="H1548" s="20" t="str">
        <f>VLOOKUP($A1548,[1]Table!$A$2:$N1696,H$1,FALSE)</f>
        <v>capsule</v>
      </c>
      <c r="I1548" s="20" t="str">
        <f>VLOOKUP($A1548,[1]Table!$A$2:$N1696,I$1,FALSE)</f>
        <v>or</v>
      </c>
      <c r="J1548" s="20">
        <f>VLOOKUP($A1548,[1]Table!$A$2:$N1696,J$1,FALSE)</f>
        <v>25</v>
      </c>
      <c r="K1548" s="20" t="str">
        <f>VLOOKUP($A1548,[1]Table!$A$2:$N1696,K$1,FALSE)</f>
        <v>mg/stuk</v>
      </c>
      <c r="L1548" s="20">
        <f>VLOOKUP($A1548,[1]Table!$A$2:$N1696,L$1,FALSE)</f>
        <v>25</v>
      </c>
      <c r="M1548" s="20" t="str">
        <f>VLOOKUP($A1548,[1]Table!$A$2:$N1696,M$1,FALSE)</f>
        <v>mg</v>
      </c>
      <c r="N1548" s="20" t="str">
        <f>VLOOKUP($A1548,[1]Table!$A$2:$N1696,N$1,FALSE)</f>
        <v>Epilepsie, adjuvante therapie: In combinatie met CYP3A4-inducerende stoffen||Epilepsie, adjuvante therapie: ZONDER CYP3A4-inducerende stoffen</v>
      </c>
      <c r="O1548" s="20" t="str">
        <f>ConcatenateRange(AZ1548:BU1548,"||")</f>
        <v/>
      </c>
    </row>
    <row r="1549" spans="1:28">
      <c r="A1549" s="9">
        <v>134945</v>
      </c>
      <c r="B1549" s="20" t="str">
        <f>VLOOKUP($A1549,[1]Table!$A$2:$N1697,B$1,FALSE)</f>
        <v>N03AX15</v>
      </c>
      <c r="C1549" s="20" t="str">
        <f>VLOOKUP($A1549,[1]Table!$A$2:$N1697,C$1,FALSE)</f>
        <v>ANTI-EPILEPTICA</v>
      </c>
      <c r="D1549" s="20" t="str">
        <f>VLOOKUP($A1549,[1]Table!$A$2:$N1697,D$1,FALSE)</f>
        <v>ANTI-EPILEPTICA</v>
      </c>
      <c r="E1549" s="20" t="str">
        <f>VLOOKUP($A1549,[1]Table!$A$2:$N1697,E$1,FALSE)</f>
        <v>ZONISAMIDE</v>
      </c>
      <c r="F1549" s="20" t="str">
        <f>VLOOKUP($A1549,[1]Table!$A$2:$N1697,F$1,FALSE)</f>
        <v>ZONEGRAN 50 MG CAPSULE</v>
      </c>
      <c r="G1549" s="20" t="str">
        <f>VLOOKUP($A1549,[1]Table!$A$2:$N1697,G$1,FALSE)</f>
        <v>ZONISAMIDE 50MG CAPSULE</v>
      </c>
      <c r="H1549" s="20" t="str">
        <f>VLOOKUP($A1549,[1]Table!$A$2:$N1697,H$1,FALSE)</f>
        <v>capsule</v>
      </c>
      <c r="I1549" s="20" t="str">
        <f>VLOOKUP($A1549,[1]Table!$A$2:$N1697,I$1,FALSE)</f>
        <v>or</v>
      </c>
      <c r="J1549" s="20">
        <f>VLOOKUP($A1549,[1]Table!$A$2:$N1697,J$1,FALSE)</f>
        <v>50</v>
      </c>
      <c r="K1549" s="20" t="str">
        <f>VLOOKUP($A1549,[1]Table!$A$2:$N1697,K$1,FALSE)</f>
        <v>mg/stuk</v>
      </c>
      <c r="L1549" s="20">
        <f>VLOOKUP($A1549,[1]Table!$A$2:$N1697,L$1,FALSE)</f>
        <v>50</v>
      </c>
      <c r="M1549" s="20" t="str">
        <f>VLOOKUP($A1549,[1]Table!$A$2:$N1697,M$1,FALSE)</f>
        <v>mg</v>
      </c>
      <c r="N1549" s="20" t="str">
        <f>VLOOKUP($A1549,[1]Table!$A$2:$N1697,N$1,FALSE)</f>
        <v>Epilepsie, adjuvante therapie: In combinatie met CYP3A4-inducerende stoffen||Epilepsie, adjuvante therapie: ZONDER CYP3A4-inducerende stoffen</v>
      </c>
      <c r="O1549" t="str">
        <f>ConcatenateRange(AZ1549:BU1549,"||")</f>
        <v/>
      </c>
    </row>
    <row r="1550" spans="1:28">
      <c r="A1550" s="9">
        <v>134953</v>
      </c>
      <c r="B1550" s="20" t="str">
        <f>VLOOKUP($A1550,[1]Table!$A$2:$N1698,B$1,FALSE)</f>
        <v>N03AX15</v>
      </c>
      <c r="C1550" s="20" t="str">
        <f>VLOOKUP($A1550,[1]Table!$A$2:$N1698,C$1,FALSE)</f>
        <v>ANTI-EPILEPTICA</v>
      </c>
      <c r="D1550" s="20" t="str">
        <f>VLOOKUP($A1550,[1]Table!$A$2:$N1698,D$1,FALSE)</f>
        <v>ANTI-EPILEPTICA</v>
      </c>
      <c r="E1550" s="20" t="str">
        <f>VLOOKUP($A1550,[1]Table!$A$2:$N1698,E$1,FALSE)</f>
        <v>ZONISAMIDE</v>
      </c>
      <c r="F1550" s="20" t="str">
        <f>VLOOKUP($A1550,[1]Table!$A$2:$N1698,F$1,FALSE)</f>
        <v>ZONEGRAN 100 MG CAPSULE</v>
      </c>
      <c r="G1550" s="20" t="str">
        <f>VLOOKUP($A1550,[1]Table!$A$2:$N1698,G$1,FALSE)</f>
        <v>ZONISAMIDE 100MG CAPSULE</v>
      </c>
      <c r="H1550" s="20" t="str">
        <f>VLOOKUP($A1550,[1]Table!$A$2:$N1698,H$1,FALSE)</f>
        <v>capsule</v>
      </c>
      <c r="I1550" s="20" t="str">
        <f>VLOOKUP($A1550,[1]Table!$A$2:$N1698,I$1,FALSE)</f>
        <v>or</v>
      </c>
      <c r="J1550" s="20">
        <f>VLOOKUP($A1550,[1]Table!$A$2:$N1698,J$1,FALSE)</f>
        <v>100</v>
      </c>
      <c r="K1550" s="20" t="str">
        <f>VLOOKUP($A1550,[1]Table!$A$2:$N1698,K$1,FALSE)</f>
        <v>mg/stuk</v>
      </c>
      <c r="L1550" s="20">
        <f>VLOOKUP($A1550,[1]Table!$A$2:$N1698,L$1,FALSE)</f>
        <v>100</v>
      </c>
      <c r="M1550" s="20" t="str">
        <f>VLOOKUP($A1550,[1]Table!$A$2:$N1698,M$1,FALSE)</f>
        <v>mg</v>
      </c>
      <c r="N1550" s="20" t="str">
        <f>VLOOKUP($A1550,[1]Table!$A$2:$N1698,N$1,FALSE)</f>
        <v>Epilepsie, adjuvante therapie: In combinatie met CYP3A4-inducerende stoffen||Epilepsie, adjuvante therapie: ZONDER CYP3A4-inducerende stoffen</v>
      </c>
      <c r="O1550" t="str">
        <f>ConcatenateRange(AZ1550:BU1550,"||")</f>
        <v/>
      </c>
    </row>
  </sheetData>
  <autoFilter ref="A2:U1549"/>
  <sortState ref="A3:AY1550">
    <sortCondition ref="E3:E1550"/>
    <sortCondition ref="H3:H1550"/>
    <sortCondition ref="J3:J155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/>
  <sheetData>
    <row r="1" spans="1:4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>
      <c r="A3" t="s">
        <v>2</v>
      </c>
      <c r="B3">
        <v>3</v>
      </c>
      <c r="D3" t="str">
        <f t="shared" si="0"/>
        <v>Private Const constHoofdGroepIndx As Integer = 3</v>
      </c>
    </row>
    <row r="4" spans="1:4">
      <c r="A4" t="s">
        <v>3</v>
      </c>
      <c r="B4">
        <v>4</v>
      </c>
      <c r="D4" t="str">
        <f t="shared" si="0"/>
        <v>Private Const constSubGroepIndx As Integer = 4</v>
      </c>
    </row>
    <row r="5" spans="1:4">
      <c r="A5" t="s">
        <v>4</v>
      </c>
      <c r="B5">
        <v>5</v>
      </c>
      <c r="D5" t="str">
        <f t="shared" si="0"/>
        <v>Private Const constGeneriekIndx As Integer = 5</v>
      </c>
    </row>
    <row r="6" spans="1:4">
      <c r="A6" t="s">
        <v>53</v>
      </c>
      <c r="B6">
        <v>6</v>
      </c>
      <c r="D6" t="str">
        <f t="shared" si="0"/>
        <v>Private Const constProductIndx As Integer = 6</v>
      </c>
    </row>
    <row r="7" spans="1:4">
      <c r="A7" t="s">
        <v>5</v>
      </c>
      <c r="B7">
        <v>7</v>
      </c>
      <c r="D7" t="str">
        <f t="shared" si="0"/>
        <v>Private Const constEtiketIndx As Integer = 7</v>
      </c>
    </row>
    <row r="8" spans="1:4">
      <c r="A8" t="s">
        <v>6</v>
      </c>
      <c r="B8">
        <v>8</v>
      </c>
      <c r="D8" t="str">
        <f t="shared" si="0"/>
        <v>Private Const constVormIndx As Integer = 8</v>
      </c>
    </row>
    <row r="9" spans="1:4">
      <c r="A9" t="s">
        <v>7</v>
      </c>
      <c r="B9">
        <v>9</v>
      </c>
      <c r="D9" t="str">
        <f t="shared" si="0"/>
        <v>Private Const constRouteIndx As Integer = 9</v>
      </c>
    </row>
    <row r="10" spans="1:4">
      <c r="A10" t="s">
        <v>8</v>
      </c>
      <c r="B10">
        <v>10</v>
      </c>
      <c r="D10" t="str">
        <f t="shared" si="0"/>
        <v>Private Const constSterkteIndx As Integer = 10</v>
      </c>
    </row>
    <row r="11" spans="1:4">
      <c r="A11" t="s">
        <v>9</v>
      </c>
      <c r="B11">
        <v>11</v>
      </c>
      <c r="D11" t="str">
        <f t="shared" si="0"/>
        <v>Private Const constEenheidIndx As Integer = 11</v>
      </c>
    </row>
    <row r="12" spans="1:4">
      <c r="A12" t="s">
        <v>10</v>
      </c>
      <c r="B12">
        <v>12</v>
      </c>
      <c r="D12" t="str">
        <f t="shared" si="0"/>
        <v>Private Const constStandDoseIndx As Integer = 12</v>
      </c>
    </row>
    <row r="13" spans="1:4">
      <c r="A13" t="s">
        <v>11</v>
      </c>
      <c r="B13">
        <v>13</v>
      </c>
      <c r="D13" t="str">
        <f t="shared" si="0"/>
        <v>Private Const constDoseEenheidIndx As Integer = 13</v>
      </c>
    </row>
    <row r="14" spans="1:4">
      <c r="A14" t="s">
        <v>12</v>
      </c>
      <c r="B14">
        <v>14</v>
      </c>
      <c r="D14" t="str">
        <f t="shared" si="0"/>
        <v>Private Const constIndicatiesIndx As Integer = 14</v>
      </c>
    </row>
    <row r="15" spans="1:4">
      <c r="A15" t="s">
        <v>21</v>
      </c>
      <c r="B15">
        <v>15</v>
      </c>
      <c r="D15" t="str">
        <f t="shared" si="0"/>
        <v>Private Const constFreqIndx As Integer = 15</v>
      </c>
    </row>
    <row r="16" spans="1:4">
      <c r="A16" t="s">
        <v>16</v>
      </c>
      <c r="B16">
        <v>16</v>
      </c>
      <c r="D16" t="str">
        <f t="shared" si="0"/>
        <v>Private Const constPICU_DoseIndx As Integer = 16</v>
      </c>
    </row>
    <row r="17" spans="1:4">
      <c r="A17" t="s">
        <v>17</v>
      </c>
      <c r="B17">
        <v>17</v>
      </c>
      <c r="D17" t="str">
        <f t="shared" si="0"/>
        <v>Private Const constPICU_OnderIndx As Integer = 17</v>
      </c>
    </row>
    <row r="18" spans="1:4">
      <c r="A18" t="s">
        <v>18</v>
      </c>
      <c r="B18">
        <v>18</v>
      </c>
      <c r="D18" t="str">
        <f t="shared" si="0"/>
        <v>Private Const constPICU_BovenIndx As Integer = 18</v>
      </c>
    </row>
    <row r="19" spans="1:4">
      <c r="A19" t="s">
        <v>22</v>
      </c>
      <c r="B19">
        <v>19</v>
      </c>
      <c r="D19" t="str">
        <f t="shared" si="0"/>
        <v>Private Const constNICU_DoseIndx As Integer = 19</v>
      </c>
    </row>
    <row r="20" spans="1:4">
      <c r="A20" t="s">
        <v>19</v>
      </c>
      <c r="B20">
        <v>20</v>
      </c>
      <c r="D20" t="str">
        <f t="shared" si="0"/>
        <v>Private Const constNICU_OnderIndx As Integer = 20</v>
      </c>
    </row>
    <row r="21" spans="1:4">
      <c r="A21" t="s">
        <v>20</v>
      </c>
      <c r="B21">
        <v>21</v>
      </c>
      <c r="D21" t="str">
        <f t="shared" si="0"/>
        <v>Private Const constNICU_BovenIndx As Integer = 21</v>
      </c>
    </row>
    <row r="22" spans="1:4">
      <c r="A22" t="s">
        <v>50</v>
      </c>
      <c r="B22">
        <v>22</v>
      </c>
      <c r="D22" t="str">
        <f t="shared" si="0"/>
        <v>Private Const constMax_DoseIndx As Integer = 22</v>
      </c>
    </row>
    <row r="23" spans="1:4">
      <c r="A23" t="s">
        <v>15</v>
      </c>
      <c r="B23">
        <v>23</v>
      </c>
      <c r="D23" t="str">
        <f t="shared" si="0"/>
        <v>Private Const constMaxConcIndx As Integer = 23</v>
      </c>
    </row>
    <row r="24" spans="1:4">
      <c r="A24" t="s">
        <v>13</v>
      </c>
      <c r="B24">
        <v>24</v>
      </c>
      <c r="D24" t="str">
        <f t="shared" si="0"/>
        <v>Private Const constOplVlstIndx As Integer = 24</v>
      </c>
    </row>
    <row r="25" spans="1:4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2017-12-13T14:13:32Z</dcterms:modified>
</cp:coreProperties>
</file>